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https://hp.sharepoint.com/teams/PSSWPSCore/Shared Documents/GBU Platform Planning, Schedules and Status Update/Winclient Planning/"/>
    </mc:Choice>
  </mc:AlternateContent>
  <xr:revisionPtr revIDLastSave="0" documentId="8_{4513CAF6-8402-465D-B38B-2B6A80254C03}" xr6:coauthVersionLast="47" xr6:coauthVersionMax="47" xr10:uidLastSave="{00000000-0000-0000-0000-000000000000}"/>
  <bookViews>
    <workbookView xWindow="28680" yWindow="-135" windowWidth="29040" windowHeight="15720" tabRatio="797" firstSheet="1" activeTab="2" xr2:uid="{AB6A9384-ADD2-4D19-91BA-DDF770E67EDC}"/>
  </bookViews>
  <sheets>
    <sheet name="Module Owners" sheetId="3" r:id="rId1"/>
    <sheet name="HPX Version" sheetId="8" r:id="rId2"/>
    <sheet name="HPX Feature Table" sheetId="12" r:id="rId3"/>
    <sheet name="2026 NPI" sheetId="24" r:id="rId4"/>
    <sheet name="2026 Sustaining CQ1" sheetId="26" r:id="rId5"/>
    <sheet name="2025 Sustaining CQ4" sheetId="25" r:id="rId6"/>
    <sheet name="SnowWhite" sheetId="17" r:id="rId7"/>
    <sheet name="2025 OOC" sheetId="23" r:id="rId8"/>
    <sheet name="2025 NPI" sheetId="21" r:id="rId9"/>
    <sheet name="2025 Sustaining CQ2" sheetId="22" r:id="rId10"/>
    <sheet name="2024 OOC2" sheetId="20" r:id="rId11"/>
    <sheet name="2024 OOC" sheetId="18" r:id="rId12"/>
    <sheet name="2024 Sustaining CQ3" sheetId="19" r:id="rId13"/>
    <sheet name="2024 NPI" sheetId="14" r:id="rId14"/>
    <sheet name="2024 Refresh CQ1" sheetId="15" r:id="rId15"/>
    <sheet name="2023 CQ3" sheetId="13" r:id="rId16"/>
    <sheet name="2023 NPI" sheetId="1" r:id="rId17"/>
    <sheet name="2023 CQ1" sheetId="9" r:id="rId18"/>
    <sheet name="2023 OOC" sheetId="11" r:id="rId19"/>
    <sheet name="myHP Version" sheetId="6" r:id="rId20"/>
  </sheets>
  <definedNames>
    <definedName name="_xlnm._FilterDatabase" localSheetId="17" hidden="1">'2023 CQ1'!$B$17:$CB$98</definedName>
    <definedName name="_xlnm._FilterDatabase" localSheetId="15" hidden="1">'2023 CQ3'!$B$17:$CB$84</definedName>
    <definedName name="_xlnm._FilterDatabase" localSheetId="16" hidden="1">'2023 NPI'!$B$17:$CB$64</definedName>
    <definedName name="_xlnm._FilterDatabase" localSheetId="18" hidden="1">'2023 OOC'!$B$17:$CB$45</definedName>
    <definedName name="_xlnm._FilterDatabase" localSheetId="13" hidden="1">'2024 NPI'!$B$17:$EL$56</definedName>
    <definedName name="_xlnm._FilterDatabase" localSheetId="11" hidden="1">'2024 OOC'!$B$17:$BS$42</definedName>
    <definedName name="_xlnm._FilterDatabase" localSheetId="10" hidden="1">'2024 OOC2'!$B$17:$AY$23</definedName>
    <definedName name="_xlnm._FilterDatabase" localSheetId="14" hidden="1">'2024 Refresh CQ1'!$B$17:$EL$82</definedName>
    <definedName name="_xlnm._FilterDatabase" localSheetId="12" hidden="1">'2024 Sustaining CQ3'!$B$17:$BS$40</definedName>
    <definedName name="_xlnm._FilterDatabase" localSheetId="8" hidden="1">'2025 NPI'!$B$17:$BY$73</definedName>
    <definedName name="_xlnm._FilterDatabase" localSheetId="7" hidden="1">'2025 OOC'!$B$17:$BE$70</definedName>
    <definedName name="_xlnm._FilterDatabase" localSheetId="9" hidden="1">'2025 Sustaining CQ2'!$B$17:$AU$39</definedName>
    <definedName name="_xlnm._FilterDatabase" localSheetId="5" hidden="1">'2025 Sustaining CQ4'!$B$17:$BU$18</definedName>
    <definedName name="_xlnm._FilterDatabase" localSheetId="3" hidden="1">'2026 NPI'!$B$17:$CE$61</definedName>
    <definedName name="_xlnm._FilterDatabase" localSheetId="4" hidden="1">'2026 Sustaining CQ1'!$B$17:$BU$18</definedName>
    <definedName name="_xlnm._FilterDatabase" localSheetId="2" hidden="1">'HPX Feature Table'!$A$3:$F$87</definedName>
    <definedName name="_xlnm._FilterDatabase" localSheetId="6" hidden="1">SnowWhite!$B$16:$V$17</definedName>
    <definedName name="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9" i="12" l="1"/>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48" i="12"/>
  <c r="F148" i="12"/>
  <c r="F191" i="12"/>
  <c r="G191" i="12"/>
  <c r="H191" i="12"/>
  <c r="F149" i="12"/>
  <c r="G149" i="12"/>
  <c r="H149" i="12"/>
  <c r="F150" i="12"/>
  <c r="G150" i="12"/>
  <c r="H150" i="12"/>
  <c r="F151" i="12"/>
  <c r="G151" i="12"/>
  <c r="H151" i="12"/>
  <c r="F152" i="12"/>
  <c r="G152" i="12"/>
  <c r="H152" i="12"/>
  <c r="F153" i="12"/>
  <c r="G153" i="12"/>
  <c r="H153" i="12"/>
  <c r="F154" i="12"/>
  <c r="G154" i="12"/>
  <c r="H154" i="12"/>
  <c r="F155" i="12"/>
  <c r="G155" i="12"/>
  <c r="H155" i="12"/>
  <c r="F156" i="12"/>
  <c r="G156" i="12"/>
  <c r="H156" i="12"/>
  <c r="F157" i="12"/>
  <c r="G157" i="12"/>
  <c r="H157" i="12"/>
  <c r="F158" i="12"/>
  <c r="G158" i="12"/>
  <c r="H158" i="12"/>
  <c r="F159" i="12"/>
  <c r="G159" i="12"/>
  <c r="H159" i="12"/>
  <c r="F160" i="12"/>
  <c r="G160" i="12"/>
  <c r="H160" i="12"/>
  <c r="F161" i="12"/>
  <c r="G161" i="12"/>
  <c r="H161" i="12"/>
  <c r="F162" i="12"/>
  <c r="G162" i="12"/>
  <c r="H162" i="12"/>
  <c r="F163" i="12"/>
  <c r="G163" i="12"/>
  <c r="H163" i="12"/>
  <c r="F164" i="12"/>
  <c r="G164" i="12"/>
  <c r="H164" i="12"/>
  <c r="F165" i="12"/>
  <c r="G165" i="12"/>
  <c r="H165" i="12"/>
  <c r="F166" i="12"/>
  <c r="G166" i="12"/>
  <c r="H166" i="12"/>
  <c r="F167" i="12"/>
  <c r="G167" i="12"/>
  <c r="H167" i="12"/>
  <c r="F168" i="12"/>
  <c r="G168" i="12"/>
  <c r="H168" i="12"/>
  <c r="F169" i="12"/>
  <c r="G169" i="12"/>
  <c r="H169" i="12"/>
  <c r="F170" i="12"/>
  <c r="G170" i="12"/>
  <c r="H170" i="12"/>
  <c r="F171" i="12"/>
  <c r="G171" i="12"/>
  <c r="H171" i="12"/>
  <c r="F172" i="12"/>
  <c r="G172" i="12"/>
  <c r="H172" i="12"/>
  <c r="F173" i="12"/>
  <c r="G173" i="12"/>
  <c r="H173" i="12"/>
  <c r="F174" i="12"/>
  <c r="G174" i="12"/>
  <c r="H174" i="12"/>
  <c r="F175" i="12"/>
  <c r="G175" i="12"/>
  <c r="H175" i="12"/>
  <c r="F176" i="12"/>
  <c r="G176" i="12"/>
  <c r="H176" i="12"/>
  <c r="F177" i="12"/>
  <c r="G177" i="12"/>
  <c r="H177" i="12"/>
  <c r="F178" i="12"/>
  <c r="G178" i="12"/>
  <c r="H178" i="12"/>
  <c r="F179" i="12"/>
  <c r="G179" i="12"/>
  <c r="H179" i="12"/>
  <c r="F180" i="12"/>
  <c r="G180" i="12"/>
  <c r="H180" i="12"/>
  <c r="F181" i="12"/>
  <c r="G181" i="12"/>
  <c r="H181" i="12"/>
  <c r="F182" i="12"/>
  <c r="G182" i="12"/>
  <c r="H182" i="12"/>
  <c r="F183" i="12"/>
  <c r="G183" i="12"/>
  <c r="H183" i="12"/>
  <c r="F184" i="12"/>
  <c r="G184" i="12"/>
  <c r="H184" i="12"/>
  <c r="F185" i="12"/>
  <c r="G185" i="12"/>
  <c r="H185" i="12"/>
  <c r="F186" i="12"/>
  <c r="G186" i="12"/>
  <c r="H186" i="12"/>
  <c r="F187" i="12"/>
  <c r="G187" i="12"/>
  <c r="H187" i="12"/>
  <c r="F188" i="12"/>
  <c r="G188" i="12"/>
  <c r="H188" i="12"/>
  <c r="F189" i="12"/>
  <c r="G189" i="12"/>
  <c r="H189" i="12"/>
  <c r="F190" i="12"/>
  <c r="G190" i="12"/>
  <c r="H190" i="12"/>
  <c r="H148" i="12"/>
  <c r="G148" i="12"/>
  <c r="G147" i="12"/>
  <c r="G145" i="12"/>
  <c r="H145" i="12"/>
  <c r="G146" i="12"/>
  <c r="H146" i="12"/>
  <c r="H147" i="12"/>
  <c r="H144" i="12"/>
  <c r="G144" i="12"/>
  <c r="H143" i="12"/>
  <c r="G143" i="12"/>
  <c r="H142" i="12"/>
  <c r="G142" i="12"/>
  <c r="H141" i="12"/>
  <c r="G141" i="12"/>
  <c r="H140" i="12"/>
  <c r="G140" i="12"/>
  <c r="G138" i="12"/>
  <c r="H138" i="12"/>
  <c r="G139" i="12"/>
  <c r="H139" i="12"/>
  <c r="H119" i="12"/>
  <c r="G93" i="12"/>
  <c r="H93" i="12"/>
  <c r="G94" i="12"/>
  <c r="H94" i="12"/>
  <c r="G95" i="12"/>
  <c r="H95" i="12"/>
  <c r="G96" i="12"/>
  <c r="H96" i="12"/>
  <c r="G97" i="12"/>
  <c r="H97" i="12"/>
  <c r="G98" i="12"/>
  <c r="H98" i="12"/>
  <c r="G99" i="12"/>
  <c r="H99" i="12"/>
  <c r="G100" i="12"/>
  <c r="H100" i="12"/>
  <c r="G101" i="12"/>
  <c r="H101" i="12"/>
  <c r="G102" i="12"/>
  <c r="H102" i="12"/>
  <c r="G103" i="12"/>
  <c r="H103" i="12"/>
  <c r="G104" i="12"/>
  <c r="H104" i="12"/>
  <c r="G105" i="12"/>
  <c r="H105" i="12"/>
  <c r="G106" i="12"/>
  <c r="H106" i="12"/>
  <c r="G107" i="12"/>
  <c r="H107" i="12"/>
  <c r="G108" i="12"/>
  <c r="H108" i="12"/>
  <c r="G109" i="12"/>
  <c r="H109" i="12"/>
  <c r="G110" i="12"/>
  <c r="H110" i="12"/>
  <c r="G111" i="12"/>
  <c r="H111" i="12"/>
  <c r="G112" i="12"/>
  <c r="H112" i="12"/>
  <c r="G113" i="12"/>
  <c r="H113" i="12"/>
  <c r="G114" i="12"/>
  <c r="H114" i="12"/>
  <c r="G115" i="12"/>
  <c r="H115" i="12"/>
  <c r="G116" i="12"/>
  <c r="H116" i="12"/>
  <c r="G117" i="12"/>
  <c r="H117" i="12"/>
  <c r="G118" i="12"/>
  <c r="H118" i="12"/>
  <c r="G119" i="12"/>
  <c r="G120" i="12"/>
  <c r="H120" i="12"/>
  <c r="G121" i="12"/>
  <c r="H121" i="12"/>
  <c r="G122" i="12"/>
  <c r="H122" i="12"/>
  <c r="G123" i="12"/>
  <c r="H123" i="12"/>
  <c r="G124" i="12"/>
  <c r="H124" i="12"/>
  <c r="G125" i="12"/>
  <c r="H125" i="12"/>
  <c r="G126" i="12"/>
  <c r="H126" i="12"/>
  <c r="G127" i="12"/>
  <c r="H127" i="12"/>
  <c r="G128" i="12"/>
  <c r="H128" i="12"/>
  <c r="G129" i="12"/>
  <c r="H129" i="12"/>
  <c r="G130" i="12"/>
  <c r="H130" i="12"/>
  <c r="G131" i="12"/>
  <c r="H131" i="12"/>
  <c r="G132" i="12"/>
  <c r="H132" i="12"/>
  <c r="G133" i="12"/>
  <c r="H133" i="12"/>
  <c r="G134" i="12"/>
  <c r="H134" i="12"/>
  <c r="G135" i="12"/>
  <c r="H135" i="12"/>
  <c r="G136" i="12"/>
  <c r="H136" i="12"/>
  <c r="G137" i="12"/>
  <c r="H137" i="12"/>
  <c r="H92" i="12"/>
  <c r="G92" i="12"/>
  <c r="H90" i="12"/>
  <c r="G90"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53"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tc={CF3B7E59-D958-47BF-B40F-54FEEFA1BF76}</author>
  </authors>
  <commentList>
    <comment ref="BO99" authorId="0" shapeId="0" xr:uid="{CF3B7E59-D958-47BF-B40F-54FEEFA1BF76}">
      <text>
        <t>[Threaded comment]
Your version of Excel allows you to read this threaded comment; however, any edits to it will get removed if the file is opened in a newer version of Excel. Learn more: https://go.microsoft.com/fwlink/?linkid=870924
Comment:
    DCR-in, Add Himax support in OOC</t>
      </text>
    </comment>
  </commentList>
</comments>
</file>

<file path=xl/sharedStrings.xml><?xml version="1.0" encoding="utf-8"?>
<sst xmlns="http://schemas.openxmlformats.org/spreadsheetml/2006/main" count="26176" uniqueCount="1746">
  <si>
    <t>myHP</t>
  </si>
  <si>
    <t>Module/Scope</t>
  </si>
  <si>
    <t>Assign to Component</t>
  </si>
  <si>
    <t>Owner</t>
  </si>
  <si>
    <t>Core/Generic for consumer</t>
  </si>
  <si>
    <t>Lee, Su-Hau &lt;su-hau.lee1@hp.com&gt;; Huang, Alex &lt;alex.huang@hp.com&gt;</t>
  </si>
  <si>
    <t>Core/Generic for CMIT</t>
  </si>
  <si>
    <t>myHP for CMIT</t>
  </si>
  <si>
    <t>Consumer Audio Controls</t>
  </si>
  <si>
    <t>myHP module_Audio Control</t>
  </si>
  <si>
    <t>Huang, Alex &lt;alex.huang@hp.com&gt;</t>
  </si>
  <si>
    <t>Consumer myHP Audio Switch</t>
  </si>
  <si>
    <t>myHP module_Audio Switch</t>
  </si>
  <si>
    <t>Consumer Display Control</t>
  </si>
  <si>
    <t>myHP module_Display Control</t>
  </si>
  <si>
    <t>Wang, Vicky (Consumer SWPM) &lt;vicky.wang3@hp.com&gt;</t>
  </si>
  <si>
    <t>CMIT Programmable Key</t>
  </si>
  <si>
    <t>myHP module_Programmable Key</t>
  </si>
  <si>
    <t>Narayanappa, Geetha (CW-Mphasis  - SFT) &lt;geetha.narayanappa1@hp.com&gt;; Armstrong, Sridhar (CW) &lt;sridhar.armstrong@hp.com&gt;</t>
  </si>
  <si>
    <t>SmartCam 1, SmartCam 2</t>
  </si>
  <si>
    <t>myHP module_SmartCam</t>
  </si>
  <si>
    <t>Hsiao, Steven (CW-CW DSAI) &lt;steven.hsiao@hp.com&gt;, Wang, Vicky (Consumer SWPM) &lt;vicky.wang3@hp.com&gt;</t>
  </si>
  <si>
    <t>SmartCam 3</t>
  </si>
  <si>
    <t>myHP module_SmartCam3</t>
  </si>
  <si>
    <t>CMIT IC1.0</t>
  </si>
  <si>
    <t>myHP module_IC1.0</t>
  </si>
  <si>
    <t>Armstrong, Sridhar (CW) &lt;sridhar.armstrong@hp.com&gt;</t>
  </si>
  <si>
    <t>CMIT Smart Experiences</t>
  </si>
  <si>
    <t>myHP module_Smart Experiences</t>
  </si>
  <si>
    <t>Guru, Anand &lt;anand.guru@hp.com&gt;</t>
  </si>
  <si>
    <t>CMIT Audio Controls</t>
  </si>
  <si>
    <t>myHP module_CMITAudio</t>
  </si>
  <si>
    <t>Jagdale, Shailesh (CW-Capgemini -WW PM) &lt;shailesh.jagdale@hp.com&gt;</t>
  </si>
  <si>
    <t>HPX</t>
  </si>
  <si>
    <t>HPX for CMIT</t>
  </si>
  <si>
    <t>HPX_Audio Control</t>
  </si>
  <si>
    <t>Huang, Alex &lt;alex.huang@hp.com&gt;
(NB: Katherine Wei
DT: Ken Chiu)</t>
  </si>
  <si>
    <t>HPX_Audio Switch</t>
  </si>
  <si>
    <t>HPX_Display Control</t>
  </si>
  <si>
    <t>JADHAV, SANJEEV (CW) &lt;sanjeev.jadhav@hp.com&gt;
(Wang, Vicky (Consumer SWPM) &lt;vicky.wang3@hp.com&gt;)</t>
  </si>
  <si>
    <t>HPX_Programmable Key</t>
  </si>
  <si>
    <t>HPX_SmartCam 2.0</t>
  </si>
  <si>
    <t>Hsiao, Steven (CW-CW DSAI) &lt;steven.hsiao@hp.com&gt;
(Wang, Vicky (Consumer SWPM) &lt;vicky.wang3@hp.com&gt;)</t>
  </si>
  <si>
    <t>SmartCam 3.5</t>
  </si>
  <si>
    <t>HPX_SmartCam3.5</t>
  </si>
  <si>
    <t>HPX_Smart Experiences</t>
  </si>
  <si>
    <t>Narayanappa, Geetha (CW-Mphasis  - SFT) &lt;geetha.narayanappa1@hp.com&gt;</t>
  </si>
  <si>
    <t>Pen Control (Consumer)</t>
  </si>
  <si>
    <t>HPX_Pen Control</t>
  </si>
  <si>
    <t>Lin, Makayla &lt;makaylal@hp.com&gt;
(Patel, Jay (CW) &lt;jay.patel@hp.com&gt;)</t>
  </si>
  <si>
    <t>5G</t>
  </si>
  <si>
    <t>HPX_5G</t>
  </si>
  <si>
    <t>Mouse</t>
  </si>
  <si>
    <t>HPX_Mouse</t>
  </si>
  <si>
    <t>RGB Keyboard</t>
  </si>
  <si>
    <t>HPX_RGB Keyboard</t>
  </si>
  <si>
    <t>Support</t>
  </si>
  <si>
    <t>HPX_Support</t>
  </si>
  <si>
    <t>Qiao, Jing (Catherine, DTO-DXT) &lt;jing.qiao@hp.com&gt;</t>
  </si>
  <si>
    <t>Thermal Control</t>
  </si>
  <si>
    <t>HPX_System Control</t>
  </si>
  <si>
    <t>Narayanappa, Geetha (CW-Mphasis  - SFT) &lt;geetha.narayanappa1@hp.com&gt;
(Tsai, Josette &lt;josette.tsai@hp.com&gt;)</t>
  </si>
  <si>
    <t>Network Booster</t>
  </si>
  <si>
    <t>HPX_Network Booster</t>
  </si>
  <si>
    <t>Softpaq</t>
  </si>
  <si>
    <t>HPX_Softpaq</t>
  </si>
  <si>
    <t>Trackpad</t>
  </si>
  <si>
    <t>HPX_Trackpad</t>
  </si>
  <si>
    <t>Chang, Karen (CW-CPS SE) &lt;karen.chang1@hp.com&gt;
(Tsai, Josette &lt;josette.tsai@hp.com&gt;)</t>
  </si>
  <si>
    <t>Screen Time</t>
  </si>
  <si>
    <t>HPX_Screen Time</t>
  </si>
  <si>
    <t>Chang, Jack (CPS SE) &lt;jack.chang@hp.com&gt;
(Tsai, Josette &lt;josette.tsai@hp.com&gt;)</t>
  </si>
  <si>
    <t>Screen Distance</t>
  </si>
  <si>
    <t>HPX_Screen Distance</t>
  </si>
  <si>
    <t>Tsai, TC CPS SE &lt;tc.tsai@hp.com&gt;
(Tsai, Josette &lt;josette.tsai@hp.com&gt;)</t>
  </si>
  <si>
    <t>System Control (Consumer)</t>
  </si>
  <si>
    <t>System Control (Commercial)</t>
  </si>
  <si>
    <t>HPX_System Control_CMIT</t>
  </si>
  <si>
    <t>Battery Manager (Commercial)</t>
  </si>
  <si>
    <t>HPX_Battery Manager_CMIT</t>
  </si>
  <si>
    <t>Wi-Fi Sharing (Consumer)</t>
  </si>
  <si>
    <t>HPX_WiFi Sharing</t>
  </si>
  <si>
    <t>Tsai, Josette &lt;josette.tsai@hp.com&gt;</t>
  </si>
  <si>
    <t>Main Feature</t>
  </si>
  <si>
    <t>Auto Launch</t>
  </si>
  <si>
    <t>First Use Flow</t>
  </si>
  <si>
    <t>Audio Switch
(Appears in taskband)</t>
  </si>
  <si>
    <t>Home Page</t>
  </si>
  <si>
    <t>Audio Control</t>
  </si>
  <si>
    <t>Video Control</t>
  </si>
  <si>
    <t>Presence Detection</t>
  </si>
  <si>
    <t>HP Programmable Key</t>
  </si>
  <si>
    <t>System Control</t>
  </si>
  <si>
    <t>Settings</t>
  </si>
  <si>
    <t>Pen</t>
  </si>
  <si>
    <t>Battery Manager</t>
  </si>
  <si>
    <t>Gesture</t>
  </si>
  <si>
    <t>Docking</t>
  </si>
  <si>
    <t>Energy Consumption</t>
  </si>
  <si>
    <t>Camera and presence detection</t>
  </si>
  <si>
    <t>HP GO</t>
  </si>
  <si>
    <t>Smart Displays</t>
  </si>
  <si>
    <t>Look To Move</t>
  </si>
  <si>
    <t>Sub-Feature</t>
  </si>
  <si>
    <t>Audio Levels</t>
  </si>
  <si>
    <t>Noise Cancellation/ AI Noise Removal</t>
  </si>
  <si>
    <t>Equalizer</t>
  </si>
  <si>
    <t>Speaker Swap</t>
  </si>
  <si>
    <t>Speaker Configuration
(only in Tower PC)</t>
  </si>
  <si>
    <t>Dynamic Audio</t>
  </si>
  <si>
    <t>Audio Personalization</t>
  </si>
  <si>
    <t>AI Dynamic Spatial effect</t>
  </si>
  <si>
    <t>Studio Recording Mode</t>
  </si>
  <si>
    <t>Restore Default</t>
  </si>
  <si>
    <t>Feature Byte</t>
  </si>
  <si>
    <t>Auto Frame</t>
  </si>
  <si>
    <t>Low Light</t>
  </si>
  <si>
    <t>Backlight</t>
  </si>
  <si>
    <t>Background Blur/Image</t>
  </si>
  <si>
    <t>Auto and Manual Keystone</t>
  </si>
  <si>
    <t>Be-Right-Back</t>
  </si>
  <si>
    <t>Video and Image Capture/PDF</t>
  </si>
  <si>
    <t>Live Stream</t>
  </si>
  <si>
    <t>Rotate/Zoom/Pan</t>
  </si>
  <si>
    <t>Output Resolution</t>
  </si>
  <si>
    <t>Skin Color Correction</t>
  </si>
  <si>
    <t>Appearance Filter</t>
  </si>
  <si>
    <t>Presence Share</t>
  </si>
  <si>
    <t>Multicamera (Mixer tab)</t>
  </si>
  <si>
    <t>Auto Camera Select</t>
  </si>
  <si>
    <t>Gallery Mode</t>
  </si>
  <si>
    <t>Anti-Flicker (Selected platforms. Open MS Camera app and check Video Settings. If Flicker reduction is supported, Anti-flicker will be shown in SmartCam)</t>
  </si>
  <si>
    <t>Privacy Alert</t>
  </si>
  <si>
    <t>Auto Screen Dimming</t>
  </si>
  <si>
    <t>Mode switch
(bandwidth prioritization) - non Evo sku only</t>
  </si>
  <si>
    <t>App, Website, Folder, File Launch</t>
  </si>
  <si>
    <t>Smart Resource Optimizer</t>
  </si>
  <si>
    <t>Date</t>
  </si>
  <si>
    <t>Component</t>
  </si>
  <si>
    <t>Build Type</t>
  </si>
  <si>
    <t>Version</t>
  </si>
  <si>
    <t>Part Number(IRS)</t>
  </si>
  <si>
    <t>Release Notes</t>
  </si>
  <si>
    <t>Modules Enabled</t>
  </si>
  <si>
    <t>Dev Build</t>
  </si>
  <si>
    <t>25.12249.42.0.A.1</t>
  </si>
  <si>
    <t>P014C9-B2A</t>
  </si>
  <si>
    <r>
      <rPr>
        <sz val="11"/>
        <color rgb="FFFF0000"/>
        <rFont val="Calibri"/>
        <family val="2"/>
      </rPr>
      <t>For 2023 NPI, CFR on or after 1/3 platforms</t>
    </r>
    <r>
      <rPr>
        <sz val="11"/>
        <rFont val="Calibri"/>
        <family val="2"/>
      </rPr>
      <t xml:space="preserve">
Changes:
First HPX Dev Track build
Known issues:
1. HPX doesn't work in offline mode yet
2. HP ID (Sign In) only works in HP network
3. The Welcome page only works in HP network
4. The Support page only works in HP network
5. SmartCam2 preview camera is always in "Please wait" state</t>
    </r>
  </si>
  <si>
    <t>1. Welcome Page
2. Video Control
           - SmartCam 2 (if the system has SmartCam2 feature byte qj)
           - SmartCam 3.5.14.0 (if the system has SmartCam3 feature byte qM)
3. HP Programmable Key
4. Privacy alert
5. Auto Screen Dimming
6. Support
7. Settings</t>
  </si>
  <si>
    <t>V</t>
  </si>
  <si>
    <t>25.12251.139.0.A.1</t>
  </si>
  <si>
    <t>P014C9-B2B</t>
  </si>
  <si>
    <r>
      <rPr>
        <sz val="11"/>
        <color rgb="FFFF0000"/>
        <rFont val="Calibri"/>
        <family val="2"/>
      </rPr>
      <t>For 2023 NPI, CFR on or after 1/3 platforms</t>
    </r>
    <r>
      <rPr>
        <sz val="11"/>
        <rFont val="Calibri"/>
        <family val="2"/>
      </rPr>
      <t xml:space="preserve">
Main changes:
•	Update SmartCam to 3.5.20.0
•	Redundant control cards will not show
•	Sound Calibration removed
•	Performance enhancement
•	Localization fixes
•	Fixed HPX shows white screen when launch in offline mode
Known issues:
1. HP ID (Sign In) only works in HP network
2. The Support page content only shows in HP network
3. SmartCam2 preview camera is always in "Please wait" state</t>
    </r>
  </si>
  <si>
    <t>1. Welcome Page
2. Video Control
           - SmartCam 2 (if the system has SmartCam2 feature byte qj)
           - SmartCam 3.5.20.0 (if the system has SmartCam3 feature byte qM)
3. HP Programmable Key
4. Privacy alert
5. Auto Screen Dimming
6. Support
7. Settings</t>
  </si>
  <si>
    <t>ITG Build</t>
  </si>
  <si>
    <t>25.22301.11.0.A.1</t>
  </si>
  <si>
    <t>P014C9-B2C</t>
  </si>
  <si>
    <r>
      <rPr>
        <sz val="11"/>
        <color rgb="FFFF0000"/>
        <rFont val="Calibri"/>
        <family val="2"/>
      </rPr>
      <t>For 2023 NPI, CFR on or after 1/10 platforms</t>
    </r>
    <r>
      <rPr>
        <sz val="11"/>
        <rFont val="Calibri"/>
        <family val="2"/>
      </rPr>
      <t xml:space="preserve">
Main changes:
- Update SmartCam to 3.5.26.0
- HPXWC-5009\Flyout menu in Arabic language appears in wrong side (they should appear in right side)
- HPXWC-5126\[Home Page] PC Control Section does not render on Home page
- HPXWC-5133\To enable for getting all the keys from the AKV
- HPXWC-3399\[CGQA] Thank you! screen UI is not same as design specification
- HPXWC-5062\[HPX][L10N] HP registration page not localized with some languages
- HPXWC-5027\[SFT_MPH][OTA][VideoControl] Video control module is not visible in HPX V.25.12251.154.0
-  Removed Privacy Settings in First Use Flow
- Removed Mouse from menu
Known issues:
1. HP ID (Sign In) only works in HP network
2. The Support page content only shows in HP network
3. SmartCam2 preview camera is always in "Please wait" state</t>
    </r>
  </si>
  <si>
    <t>1. Welcome Page
2. Video Control
           - SmartCam 2 (if the system has SmartCam2 feature byte qj)
           - SmartCam 3.5.26.0 (if the system has SmartCam3 feature byte qM)
3. HP Programmable Key
4. Privacy alert
5. Auto Screen Dimming
6. Support
7. Settings</t>
  </si>
  <si>
    <t>25.22302.22.0.A.1</t>
  </si>
  <si>
    <t>P014C9-B2D</t>
  </si>
  <si>
    <r>
      <rPr>
        <sz val="11"/>
        <color rgb="FFFF0000"/>
        <rFont val="Calibri"/>
        <family val="2"/>
      </rPr>
      <t>For 2023 NPI, CFR on or after 1/10 platforms</t>
    </r>
    <r>
      <rPr>
        <sz val="11"/>
        <rFont val="Calibri"/>
        <family val="2"/>
      </rPr>
      <t xml:space="preserve">
Main changes:
- HPXWC-5281\Update SmartCam Nuget package to 3.5.30
- HPXWC-5009\Flyout menu in Arabic language appears in wrong side (they should appear in right side)
- HPXWC-5126\[Home Page] PC Control Section does not render on Home page
- HPXWC-5133\To enable for getting all the keys from the AKV
- HPXWC-3399\[CGQA] Thank you! screen UI is not same as design specification
- HPXWC-5062\[HPX][L10N] HP registration page not localized with some languages
- HPXWC-5027\[SFT_MPH][OTA][VideoControl] Video control module is not visible in HPX V.25.12251.154.0
- Removed Privacy Settings in First Use Flow
- Removed Mouse from menu
- HPXWC-5286\[London]"Programmable key" not able to launch from "Home page".
- HPXWC-4923\Update translation files to be in line with the latest spec
- HPXWC-4741\SIO2161423 - [CommercialPC:AsteroidsR/GalaxianR/PacmanR] Some words not localization in HPX on non-English image.
- HPXWC-5072\SIO2163859 - Prompt text has "&amp; apos;" in Programmable key in French image
- HPXWC-4947\ SIO2162928 - UI show black page when launch HPX without internet
Known issues:
1. HP ID (Sign In) only works in HP network
2. The Support page content only shows in HP network
3. SmartCam2 preview camera is always in "Please wait" state</t>
    </r>
  </si>
  <si>
    <t>1. Welcome Page
2. Video Control
           - SmartCam 2 (if the system has SmartCam2 feature byte qj)
           - SmartCam 3.5.30.0 (if the system has SmartCam3 feature byte qM)
3. HP Programmable Key
4. Privacy alert
5. Auto Screen Dimming
6. Keyboard
7. Support
8. Settings</t>
  </si>
  <si>
    <t>25.22302.36.0.A.1</t>
  </si>
  <si>
    <t>P014C9-B2E</t>
  </si>
  <si>
    <r>
      <rPr>
        <sz val="11"/>
        <color rgb="FFFF0000"/>
        <rFont val="Calibri"/>
        <family val="2"/>
      </rPr>
      <t>For 2023 NPI, CFR on or after 1/10 platforms</t>
    </r>
    <r>
      <rPr>
        <sz val="11"/>
        <rFont val="Calibri"/>
        <family val="2"/>
      </rPr>
      <t xml:space="preserve">
Main changes:
Keyboard feature removed
Fixed SmartCam2 camera preview always show "Please wait"
Sign In/Welcome/Support pages can now work in non-HP network
•	HPXSUP-687\The string "Support" in left navigation isn't translated for id-ID language.
•	HPXWC-4276\[SFT_MPH][PCDevice] Text cut-off and overlapping observed when increasing text size to maximum
•	HPXWC-5121\Integrate Localizations and Replace HPDC.dll file
•	HPXWC-5160\[SFT_MPH][SmartExp][L10N] Extra string for "30 minutes" in Romanian-RO language
•	HPXWC-5200\[SmartExp]: Loalization support for consent dialog
•	HPXWC-4982\SIO2162441 - [NB][QTA][SCIT-NPI] Window will auto exit when click "Manage Options" during HPX first use flow
•	HPXWC-4957\ [SFT_MPH][Registration][L10N] Registration Page is missing in Hebrew Language
•	HPXWC-5061\[Setup] HPX will crash when first launch with HE-IL language
•	HPXWC-4864\[SFT_MPH][Registration] Checkbox UI is not matching with figma design
•	HPXWC-5078\ [SFT-MPH][OTA][Video] Camera preview is greyed out when we click on Video Control module (SC2)
•	HPXWC-5392\ Add deep link for sublevel items
•	HPXWC-5240\ Keyboard module seems to be not under any feature switch
•	HPXSUP-716\ [Support] Support page still not loading, keep flashing with latest ITG build, after implemented the production link.
•	HPXSUP-623\ [Support home page]- The support home page hangs on loading page
•	HPXSUP-620\ [Offline] - The Device name/SN/PN are missing.
•	HPXSUP-625\ [Offline] - No translation on offline page
•	HPXSUP-628\ [Offline] - We still show up Phone card in offline even though the location isn't US/CA
•	HPXSUP-675\ [Offline] - Support icon and the string are too close together in latest build
•	HPXSUP-395\ [Offlline -Accessibility] - Serval Failures when run Automated checks
•	HPXSUP-679\ [Custom protocol &amp;Hotkey] The support page always hangs when enter the myhp://support/device in RUN window
•	HPXSUP-585\ [Offline]-The contents of the call card and web card on the offline page are not aligned
•	HPXSUP-586\ [Offline]-When zooming out HPX window, the scroll bar is not as expected on offline page.
•	HPXSUP-616\ [Offline] - The offline UI is different from Mockup
•	HPXWC-5334\ [SFT_MPH][SmartExp] Privacy Alert page is not opening on clicking toast notification
•	HPXWC-5072\ SIO2163859 - Prompt text has "&amp; apos;" in Programmable key in French image</t>
    </r>
  </si>
  <si>
    <t>1. Welcome Page
2. Video Control
           - SmartCam 2 (if the system has SmartCam2 feature byte qj)
           - SmartCam 3.5.30.0 (if the system has SmartCam3 feature byte qM)
3. HP Programmable Key
4. Privacy alert
5. Auto Screen Dimming
6. Support
7. Settings</t>
  </si>
  <si>
    <t>Integration Build</t>
  </si>
  <si>
    <t>25.22303.43.0.A.1</t>
  </si>
  <si>
    <t>P014C9-B2F</t>
  </si>
  <si>
    <r>
      <rPr>
        <sz val="11"/>
        <color rgb="FFFF0000"/>
        <rFont val="Calibri"/>
        <family val="2"/>
      </rPr>
      <t>For 2023 NPI, CFR on or after 1/10 platforms</t>
    </r>
    <r>
      <rPr>
        <sz val="11"/>
        <rFont val="Calibri"/>
        <family val="2"/>
      </rPr>
      <t xml:space="preserve">
Main changes:
Update Smartcam 3 to 3.5.37.0
Keyboard feature removed
Fixed SmartCam2 camera preview always show "Please wait"
Sign In/Welcome/Support pages can now work in non-HP network
•	HPXSUP-687\The string "Support" in left navigation isn't translated for id-ID language.
•	HPXWC-4276\[SFT_MPH][PCDevice] Text cut-off and overlapping observed when increasing text size to maximum
•	HPXWC-5121\Integrate Localizations and Replace HPDC.dll file
•	HPXWC-5160\[SFT_MPH][SmartExp][L10N] Extra string for "30 minutes" in Romanian-RO language
•	HPXWC-5200\[SmartExp]: Loalization support for consent dialog
•	HPXWC-4982\SIO2162441 - [NB][QTA][SCIT-NPI] Window will auto exit when click "Manage Options" during HPX first use flow
•	HPXWC-4957\ [SFT_MPH][Registration][L10N] Registration Page is missing in Hebrew Language
•	HPXWC-5061\[Setup] HPX will crash when first launch with HE-IL language
•	HPXWC-4864\[SFT_MPH][Registration] Checkbox UI is not matching with figma design
•	HPXWC-5078\ [SFT-MPH][OTA][Video] Camera preview is greyed out when we click on Video Control module (SC2)
•	HPXWC-5392\ Add deep link for sublevel items
•	HPXWC-5240\ Keyboard module seems to be not under any feature switch
•	HPXSUP-716\ [Support] Support page still not loading, keep flashing with latest ITG build, after implemented the production link.
•	HPXSUP-623\ [Support home page]- The support home page hangs on loading page
•	HPXSUP-620\ [Offline] - The Device name/SN/PN are missing.
•	HPXSUP-625\ [Offline] - No translation on offline page
•	HPXSUP-628\ [Offline] - We still show up Phone card in offline even though the location isn't US/CA
•	HPXSUP-675\ [Offline] - Support icon and the string are too close together in latest build
•	HPXSUP-395\ [Offlline -Accessibility] - Serval Failures when run Automated checks
•	HPXSUP-679\ [Custom protocol &amp;Hotkey] The support page always hangs when enter the myhp://support/device in RUN window
•	HPXSUP-585\ [Offline]-The contents of the call card and web card on the offline page are not aligned
•	HPXSUP-586\ [Offline]-When zooming out HPX window, the scroll bar is not as expected on offline page.
•	HPXSUP-616\ [Offline] - The offline UI is different from Mockup
•	HPXWC-5334\ [SFT_MPH][SmartExp] Privacy Alert page is not opening on clicking toast notification
•	HPXWC-5072\ SIO2163859 - Prompt text has "&amp; apos;" in Programmable key in French image
•	HPXWC-5406\ [PCVideo] Show 'start HP Present Video failed' error when trying to launch Video control.
•	Update Smartcam 3 to 3.5.37.0
•	HPXWC-4895\ SIO2162130 - [Pen] Pen Control list under HPX Devices, but HP Pen Settings already installed.
•	HPXWC-5231\ [Localization] Chinese dialects appear in the wrong dialect
•	HPXWC-5334\ [SFT_MPH][SmartExp] Privacy Alert page is not opening on clicking toast notification
•	HPXWC-5315\ [SFT_MPH][RGBKB] "Restore setting" button looks different from figma UI
•	HPXWC-4931\ State of hamburger menu is not changing in left navigation on hover
o	HPXWC-5142\ Create a template for System Control in HPX
o	HPXWC-5417\ [EIT] Even after logging out, the screen remains in the logged-in state.
•	HPXWC-5296\ [Core] "Something went wrong" error message always pop up on some machines</t>
    </r>
  </si>
  <si>
    <t>1. Home Page
2. Video Control
           - SmartCam 2 (if the system has SmartCam2 feature byte qj)
           - SmartCam 3.5.37.0 (if the system has SmartCam3 feature byte qM)
3. HP Programmable Key
4. Privacy alert
5. Auto Screen Dimming
6. Support
7. Settings</t>
  </si>
  <si>
    <t>Staging Build</t>
  </si>
  <si>
    <t>25.42304.147.0.A.1</t>
  </si>
  <si>
    <t>P014C9-B2G</t>
  </si>
  <si>
    <r>
      <rPr>
        <sz val="11"/>
        <color rgb="FFFF0000"/>
        <rFont val="Calibri"/>
        <family val="2"/>
      </rPr>
      <t>For 2023 NPI, CFR on or after 1/10 platforms</t>
    </r>
    <r>
      <rPr>
        <sz val="11"/>
        <rFont val="Calibri"/>
        <family val="2"/>
      </rPr>
      <t xml:space="preserve">
Main changes:
Update SmartCam to 3.5.39.0
•	HPXWC-4499\ Left navigation should be reflected when device name is updated in PCDevicePage
•	HPXSUP-749\ Update ClientID to HPXWin for warranty API
•	HPXWC-4967\ [SFT_MPH][Services]intermittently on clicking on "go to myAccount" in the flyout shows an error
•	HPXWC-2811\ [CGQA][FirstUse] Font size/color/style are not matching same as design specification for first use flow all screens.
•	HPXWC-5477\ [SmartExp][PPR] Incorrect Padding Inside the Card
•	HPXWC-4889\ First use using oversize (and duplicate) PNGs instead of JPG assets for photo images
•	HPXSUP-750\ [Localization]-The support page shows Simplified Chinese on zh-TW machine
•	HPXWC-5432\ [SFT_MPH][OTA] PC Device warranty status is mismatch with Support page warranty status
•	HPXWC-5177\ [UI][Truncation] Truncated text needs an on hover flyout that displays the full string to the user
•	HPXWC-4249\ [SFT_MPH][Core] Battery life test result exceeding more than 0.01 threshold value for HPX application.
•	HPXWC-5541\Smartexperiences using oversize PNGs for photo content
•	HPXWC-4142\[PPR] HP Registration country dropdown text font should match with country dropdown values font.
•	HPXWC-5413\[HomePg] Application crashes from Interstitial pages
•	HPXWC-5567\[SFT_MPH][Core] PC Device UI shows mostly empty on changing back the High contrast to None.
•	HPXWC-5703\ [Core][Performance] Memory leak observed upon clicking on different module from left navigation panel
•	HPXWC-5704\ [Core] Webview instances are never destroyed, eventually leading to memory full/crash
•	HPXWC-5722\ [SFT_MPH][SmartExp] Snooze Duration Dropdown box is not visible in Privacy Alert Page
•	HPXWC-5550\ SIO2167393 - [SIT][SWT-SW][CZN-H][HPX0.5_OTA]"Connect" button show cut off when offline in myHP\home page on AB2 image.
•	HPXWC-5750\ [Settings] Change Copyright to 2023</t>
    </r>
  </si>
  <si>
    <t>1. Home Page
2. Video Control
           - SmartCam 2 (if the system has SmartCam2 feature byte qj)
           - SmartCam 3.5.39.0 (if the system has SmartCam3 feature byte qM)
3. HP Programmable Key
4. Privacy alert
5. Auto Screen Dimming
6. Support
7. Settings</t>
  </si>
  <si>
    <t>25.42305.150.0.A.1</t>
  </si>
  <si>
    <t>P014C9-B2H</t>
  </si>
  <si>
    <r>
      <rPr>
        <sz val="11"/>
        <color rgb="FFFF0000"/>
        <rFont val="Calibri"/>
        <family val="2"/>
      </rPr>
      <t>For 2023 NPI, CFR on or after 1/10 platforms</t>
    </r>
    <r>
      <rPr>
        <sz val="11"/>
        <rFont val="Calibri"/>
        <family val="2"/>
      </rPr>
      <t xml:space="preserve">
Main changes:
Staging Build
Update SmartCam to 3.5.39.0
HPXWC-5815\[myAccount] HPX closed when we click 'go to my account' in ITG build.
HPXWC-5184\[SFT_MPH][OTA][Settings] Intermittently HPX version is displaying as NULL
HPXWC-5772\[UI] Icons are not properly visible in some resolutions.
HPXWC-5752\[PPR] Square corner with different color near rounded corner
HPXWC-4978\[SFT_MPH][OTA]  Text cut-off is seen when we minimize the Privacy Settings page.
HPXWC-5749\[PCDevice] Warranty status icon for "Unknown" mismatch with figma on ultron laptop
HPXWC-5162\[SFT_MPH][DisplayControl] Text box cutoff seen when we navigate using tab button
HPXWC-5799\[DevOps] 0 version bulk script needs to be skipped when there is not file under ./change folder
HPXWC-5677\[CGQA] myHP icon is missing in internet connection screen title-bar.
HPXWC-5470\[Core] LocalizationJplugin is not providing 5 character locale
HPXWC-5816\[Support][Deeplink] Support card on PC Device page takes you to top level Support module
HPXWC-5797\[Pen] Feature-specific (Pen? Wacom.ISD.SettingsClient.dll) binary embedded in the Shell (UWP or DesktopExtension)
HPXWC-5552\[PCVideo] HPPV screen can not open again  when restart PC then launch HPPV screen again
HPXWC-5735\[Analytics] PC Mouse generating unnecessary events on hover
HPXWC-5355\[AudioControl] Sound does not change when increase or decrease the ft and db value when click play test button
HPXWC-5474\[HPPK][PPR] Modal window: Application, header typography is incorrect</t>
    </r>
  </si>
  <si>
    <t>25.42305.5.0.A.1</t>
  </si>
  <si>
    <t>P014C9-B2J</t>
  </si>
  <si>
    <r>
      <rPr>
        <sz val="11"/>
        <color rgb="FFFF0000"/>
        <rFont val="Calibri"/>
        <family val="2"/>
      </rPr>
      <t>For 2023 NPI, CFR on or after 1/10 platforms</t>
    </r>
    <r>
      <rPr>
        <sz val="11"/>
        <rFont val="Calibri"/>
        <family val="2"/>
      </rPr>
      <t xml:space="preserve">
Main changes:
Note: This is still a staging build. We are still waiting for a production build that will be used for shipping.
Fixed issues:
SIO2167712 - [SIT][FIT-MM][Zonin][ADL-S][HPX0.5_OTA] There is no "Audio control" item and "Video control" item in Device/PC device page after launch the HPX.(AB2&amp;ABJ)
SIO2169145 - [SIT][SWT-SW][Montes-ADL][HPX0.5_OTA] There is no smartcam in HPX after OTA upgrade from MS store. (HPX v25.42305.150.0)
SIO2169133 - [SIT][SWT-SW][Contino][Barcelo][HPX0.5_OTA]There is no smartcam in HPX after OTA upgrade from MS store. (HPX v25.42305.150.0)
SIO2169215 - [SIT][SWT-SW][ADL][HPX0.5_OTA]There is no Video Control in myHP(HPX).
SIO2169158 - [SIT][SWT-SW][BCL-R][Win11][PV1][HPX0.5_OTA] HPX(myHP) Version show 25.22304.113.0 in About page but should be 25.42305.150.0 (F/R:1/2 units)
HPXSUP-767\[OCChat] Chat Page will be loading sometimes when change country frequently.
HPXWC-5926\[Home] Welcome Banner should not have comma when User is  signed in to the account
HPXWC-4305\[SFT_MPH][CoreNav][Accessibility] Narrator fails to read expected action when hamburger menu is opened/closed. myHP icon read as custom
HPXWC-6015\[Home Page] Set new static height for Recommended for you section of Home page
HPXWC-5563\[Accessibility] There is no response when using Enter key to open notification and profile icons.
HPXWC-5764\[Communications]In Spanish-Spain Language, Mismatch in toggle alignment in Settings-Notifications page
HPXWC-5763\[Communications]In Catalan - Ca Language, Mismatch in toggle alignment in Settings-Notifications page
HPXWC-4829\[HPX 0.5] Icon: PC Unselected Device icon is incorrect
HPXWC-4828\[HPX 0.5] Icon: Devices icon and color is incorrect</t>
    </r>
  </si>
  <si>
    <t>25.42306.11.0.A.1</t>
  </si>
  <si>
    <t>P014C9-B2K</t>
  </si>
  <si>
    <r>
      <rPr>
        <sz val="11"/>
        <color rgb="FFFF0000"/>
        <rFont val="Calibri"/>
        <family val="2"/>
      </rPr>
      <t>For 2023 NPI, CFR on or after 1/30 platforms</t>
    </r>
    <r>
      <rPr>
        <sz val="11"/>
        <rFont val="Calibri"/>
        <family val="2"/>
      </rPr>
      <t xml:space="preserve">
Main changes:
Note: This is still a staging build. We are still waiting for a production build that will be used for shipping.
Fixed issues since 25.42306.8.0 :
- HPXWC-5868\ [CGQA] HP icon is not properly visible for some resolutions in HP Registration and privacy policy screens.
- HPXWC-3926\ [CGQA] Privacy-Policy screen UI is not matching with design specification.
- HPXWC-5806\ [Display] Feature-specific (DisplayControl? HPDC.dll) binary embedded in the Shell (UWP or DesktopExtension)
- HPXWC-5492\ [Pen] Pen Control not visible even if standalone Pen Settings App is not present in device
- HPXWC-6032\ [AudioControl][DynamicAudio] Dynamic Audio should not show up in side panel on Nittany
- HPXWC-5939\ [PCDevice] "Get Details" for warranty info is seen after HPX application restarts.
- HPXSUP-939\ PCDevice - image borders are black SVG methone images
- HPXWC-5668\ [RGBKB] Code optimization in Effects
Fixed issues since 25.42306.9.0 :
- HPXWC-6005\ [Core] Home page Programmable Key icon is incorrect on HP1 platforms
- HPXWC-5603\ SIO2167745 - [SIT][SWT-SW][22H2-SFR][Blizzard_L] The function is lost on 4ch and 5.1ch of speaker configuration with support devices
- HPXWC-5547\ SIO2167525 - [NB][Roc][Kraken][CFR][QTA][SCIT-NPI] Navigation auto open and can not use the myHP Home page
- HPXWC-5860\ [PCDevice] The Warranty icon for in-warranty system is not correct after clicking on Get Details
- HPXWC-5755\[Audio][PPR] Sound calibration dropdown menu should use updated style
- HPXWC-5862\[SFT_MPH][SmartExp][L10N] 'HP Privacy link' text cutoff in some languages on dialog box
Fixed issues in 25.42306.11.0 :
- HPXWC-5495\[SFT_MPH][Core] Resize window, see movement and adjustment of the UI elements in accordance to window size
- HPXWC-6180\SIO2167901 - [NB][Kraken][Roc] The "&lt;--" button overlaps "x" close button in HPX/Home/Recommended for you on ABV image.
- HPXWC-5653\SIO2167554 - [NB][Roc][Kraken][SCIT-NPI] The characters show "" when enter "12345"(Arabic) in the registration page.
- HPXWC-5824\[SFT_MPH][DisplayControl][Accessibility] Narrator cannot read any feature on Display Control module using finger touch and clicking through mouse
- HPXWC-5824\[SFT_MPH][DisplayControl][Accessibility] Narrator cannot read any feature on Display Control module using finger touch and clicking through mouse
- HPXWC-6186\[Account][PCDevice] Home/Device page mashup after idle time
- HPXWC-5788\[SFT_MPH][SmartExp][L10N] 'Auto Screen Dimming' string is not localized in Greek-EL language
- HPXWC-5967\Feature-specific (PCAudio? MaxxAudioAPOShellRPC64.dll) binary embedded in the Shell (UWP or DesktopExtension)
- HPXWC-5973\[Audio] EQ is not showing correct units on Grogu and London</t>
    </r>
  </si>
  <si>
    <t>25.42306.27.0.A.1</t>
  </si>
  <si>
    <t>P014C9-B2L</t>
  </si>
  <si>
    <r>
      <rPr>
        <sz val="11"/>
        <color rgb="FFFF0000"/>
        <rFont val="Calibri"/>
        <family val="2"/>
      </rPr>
      <t>For 2023 NPI, CFR on or after 1/30 platforms</t>
    </r>
    <r>
      <rPr>
        <sz val="11"/>
        <rFont val="Calibri"/>
        <family val="2"/>
      </rPr>
      <t xml:space="preserve">
Main changes:
•	HPXWC-6190\[Audio] Enhancement - Turn OFF "Restore Defaults" button within audio control on HPX 0.5 to support 09Feb23 release
•	HPXWC-5960\[Communications] Investigate to fix toggle button alignment issue
•	HPXWC-5396\[Home] Missing PC connect(5G) from home page
•	HPXWC-5865\[SFT_MPH][Homepage] Narrator is not able to read the selected text (control your pc header).
•	HPXWC-4401\[HighContrast] Turn on High Contrast theme, open one page, cannot see the Icon in the left menu
•	HPXWC-5778\[SFT_MPH][FirstUse][Privacy] About Your Privacy Page has not shown when all the consent value are set to unknown.
•	HPXWC-6149\[Offline] Error shows when disconnect the network.  HPX does not work offline.
•	HPXWC-6239\[5G] HPX crashed when use cellular data connection
•	HPXWC-6142\[AudioControl] Dynamic Audio content is not classified correctly
•	HPXWC-6063\[AudioControl] Audio presets default option is "Voice" instead of "Music" in Arti-A machine
•	HPXWC-4399\[PCConnect] Cannot navigate to the PCConnect module through the link of PC device module
•	JWEB-5894\[Analytics] [Instrumentation] Privacy Setting Analytics Data
•	HPXWC-6120\[FirstUse][HPID] HP registration and HP privacy missing when launch HPX at the first time
•	HPXWC-5165\[SFT_MPH][SmartExp][L10N] UI is not localized for Smart Experiences cards in Bahasa Indonesian (ID) language
•	HPXWC-6202\[Core] Support is missing on Home page</t>
    </r>
  </si>
  <si>
    <t>Production build</t>
  </si>
  <si>
    <t>25.52307.21.0.A.1</t>
  </si>
  <si>
    <t>P014C9-B2N</t>
  </si>
  <si>
    <r>
      <rPr>
        <sz val="11"/>
        <color rgb="FFFF0000"/>
        <rFont val="Calibri"/>
        <family val="2"/>
      </rPr>
      <t>For 2023 NPI, CFR on or after 1/30 platforms</t>
    </r>
    <r>
      <rPr>
        <sz val="11"/>
        <rFont val="Calibri"/>
        <family val="2"/>
      </rPr>
      <t xml:space="preserve">
Main changes:
Fixed issues
•	HPXWC-6200\ SIO2170743 - [NB][Iaso][SCIT-NPI] No response when used finger to click the pen icon in HPX\Devices\PC Device.
•	HPXWC-6326\[SFT_MPH][Homepage] The text content and image in the hero banner is overlapping on Arabic and Hebrew language.
•	HPXWC-5718\[SFT_MPH][OTA][HomePage] When navigate to HomePage it shows first Offline Message and it displays Home page
•	HPXWC-6238\ SIO2171018 - [SIT][SWT-SW][HPX0.5_OTA] HPX auto exit after unplug headset.
•	HPXWC-6143\[SFT_MPH][OTA][Support] Intermittently Product number and serial number is not displayed in Support page
•	HPXWC-6351\On PC Device page, "Get Details" link is in English when Windows display language is in Chinese
•	HPXWC-6352\App crashed when continuously select Folder/file item from Dropdown on Programmable key
•	HPXWC-6191\Hamburger Menu holding element has the wrong corners
•	HPXWC-6139\SIO2170302 - [DigdugR] myHP content character will shows "..." after change text size in Setting/Accessibility.
•	HPXWC-5473\[HPPK][PPR] Modal window: Application, margins and spacing are not as specified
•	
Fixed user store:
•	Add back audio DLL.
•	Add language support for sr-BA
•	HPXWC-6157\Add device mode button in PCSystemControl module
•	HPXWC-6008\Ability to override features flags with manageability tools
•	HPXWC-6248\[Home Page] Remove native code setting the Banner heading.
•	HPXWC-6357\Implement translated strings for February received - PCDevicePage
•	HPXWC-6306\Add get mode and sanity check in System Control nuget</t>
    </r>
  </si>
  <si>
    <t>25.52308.38.0.A.1</t>
  </si>
  <si>
    <t>P014C9-B2P</t>
  </si>
  <si>
    <r>
      <rPr>
        <sz val="11"/>
        <color rgb="FFFF0000"/>
        <rFont val="Calibri"/>
        <family val="2"/>
      </rPr>
      <t>For 2023 NPI, CF on or after 3/2 platforms</t>
    </r>
    <r>
      <rPr>
        <sz val="11"/>
        <rFont val="Calibri"/>
        <family val="2"/>
      </rPr>
      <t xml:space="preserve">
Main changes:
P1:
1.	HPXWC-6776\ [Video] Integrate Smartcam into HPX v3.5.46
2.	HPXWC-6249\[Core][HomePg] Launch time to full home page is ~22 seconds
3.	HPXWC-6685\[AudioControl] Speaker Configuration and Sound Calibration show on unsupported machine
4.	HPXWC-6515\[PCDevice] Delay in loading PC device page
5.	HPXWC-6593\[PCVideo] No response when close HPPV then click "video control" button on HPX on SC3
6.	HPXWC-6514\[AudioControl] Audio controls page load time need about 5 seconds or longer sometimes
7.	HPXWC-6368\[SFT_MPH][Registration] Stuck on loading screen after registering for HP Registration.
8.	HPXWC-6401\[London] Hotkey response is ~20 seconds
9.	HPXWC-5006\SIO2163295/SIO2162832/SIO2162826 - [Sparty][Zonin] "Conference" and "Personal" function is not different under Input &gt; Noise Reduction &gt; MIC mode
10.	HPXWC-5695\ SIO2168322 - [SIT][FIT-FUN[CarmenK][GML-R][HPX0.5_OTA] Sound is noise during Microsoft teams meeting and turn on "Noise Removal" button in Audio control.
11.	HPXWC-5998\[AudioControl] Noise Removal will be turned on after clicking Restore Default button
12.	HPXWC-5878\[Video] Add launch button and icon to secondary page for Smartcam 3+ systems
P2:
1.	HPXWC-6367\ [SFT_MPH][SettingsPage] Not able to scroll in privacy tab to view "To review your privacy setting, click here" on text size at maximum
2.	HPXWC-6734\SIO2173473 [Localization] The default text of the options in Microphone Mode will be cut off when launch HPX.
3.	HPXWC-6240\SIO2170872 - [NB][Varcolac][PV][IEC] Offline messages not seen easily when open HPX without network on OLED panel SKUs.
4.	HPXWC-6692\[SFT_MPH][AudioControl] Output and input dropdown alignment is not proper.
5.	HPXWC-6420\[SFT_MPH][Registration] HP registration missing when launch HPX at the first time.
6.	HPXWC-6260\SIO2169521 Missing "Use the HP Virtual Assistant" and "Run hardware diagnostics" under HPX/Support/Device support/Guided troubleshooting with build
7.	HPXWC-6304\[SFT_MPH][SupportPage] Support page icon in the left navigation menu mismatches when navigated other than the left navigation menu
8.	HPXWC-6264\[AudioControl] HP Dynamic audio notification popped up on unsupported machine
9.	HPXWC-6595\[PCVideo] Video Controls button on blank Video Controls page minimizes SmartCam 3 instead of bringing to foreground
10.	HPXWC-6406\[PCVideo] New HPPV screen pops up again and always show initialization screen when keep HPPV foreground and quickly click "video controls" button twice
11.	HPXWC-6408\SIO2171255 - [Hokie]  "Go to my account" launches in web browser.
12.	HPXWC-6618\Update HPDC.dll Ver. 5.1.0.058 with HP Display Control NuGet package and include it in HPX
13.	HPXWC-6258\[Device] Direction of Arrow in Back button isn't aligned with right to left system (Saudi Arabia and Hebrew Languages)
14.	HPXWC-6365\[SFT_MPH][SmartExp][L10N] Contents present in the alert notification are not localized for ID language
15.	HPXWC-6402\[Display Control] Display Control is not localized in nl-NL(Dutch) Language
16.	HPXWC-6303\SIO2171361 - [SIT][SWT-SW][22C2][Arctic][RPL]HPX0.5_OTA]Click Get Details not Loc to CH in AB2 Region</t>
    </r>
  </si>
  <si>
    <t>1. Home Page
2. Video Control
           - SmartCam 2 (if the system has SmartCam2 feature byte qj)
           - SmartCam 3.5.46.0 (if the system has SmartCam3 feature byte qM)
3. HP Programmable Key
4. Privacy alert
5. Auto Screen Dimming
6. Support
7. Settings</t>
  </si>
  <si>
    <t>25.52309.54.0.A.1</t>
  </si>
  <si>
    <t>P014C9-B2Q</t>
  </si>
  <si>
    <r>
      <rPr>
        <sz val="11"/>
        <color rgb="FFFF0000"/>
        <rFont val="Calibri"/>
        <family val="2"/>
      </rPr>
      <t>For 2023 NPI, CF on or after 3/2 platforms</t>
    </r>
    <r>
      <rPr>
        <sz val="11"/>
        <rFont val="Calibri"/>
        <family val="2"/>
      </rPr>
      <t xml:space="preserve">
Main changes:
•	HPXWC-7000\ [FirstLaunch] Registration and Privacy shows after myhp to HPX update
•	HPXWC-6564\ HPX not usable after deep linking, when user is on any "Recommended for you" page
•	HPXWC-5851\ [Settings] When we minimize the Settings Notification page, text is cut off and not able to scroll down the screen
•	HPXWC-6796\ PCDevice depends on Fusion for registry reads (but claims it doesn't)
•	HPXWC-6729\ [CGQA][L10N] "Connect internet" screen is not localized as expected for RTL languages.
•	HPXWC-6704\ [SFT_MPH][PCDevice] Change system's name, observe previous system's name for a second, then new name shown
•	HPXWC-6760\[HPX] Build version is not synchronized in top bar &amp; about/settings on non-production build.
•	HPXWC-5000\[SFT_MPH][OTA][Settings] We seen some delay in Setting page to load in HPX Module
•	HPXSUP-1033\[Support page] The offline page flashed When clicking 'Support' on the left navigation bar
•	HPXWC-5361\ [SFT_MPH][CoreNav][Accessibility] Narrator fails to read some strings on Top App bar
•	HPXWC-6367\[SFT_MPH][SettingsPage] Not able to scroll in privacy tab to view "To review your privacy setting, click here" on text size at maximum</t>
    </r>
  </si>
  <si>
    <t>25.52310.61.0.A.1</t>
  </si>
  <si>
    <t>P014C9-B2R</t>
  </si>
  <si>
    <r>
      <rPr>
        <sz val="11"/>
        <color rgb="FFFF0000"/>
        <rFont val="Calibri"/>
        <family val="2"/>
      </rPr>
      <t>For 2023 NPI, CF on or after 3/10 platforms</t>
    </r>
    <r>
      <rPr>
        <sz val="11"/>
        <rFont val="Calibri"/>
        <family val="2"/>
      </rPr>
      <t xml:space="preserve">
•	HPXWC-7098\[SFT_MPH][OTA][SmartCamv2] Smartcam V2 Functionality's are not working.
•	HPXWC-6546\[RGBKB] Consume rgbkeyboard-updatedkbdpreview feature flag in RGB Keyboard native module
•	HPXWC-7108\[Settings] App crashes when double click 'click here' on settings page.
•	HPXWC-6887\Investigate if getUpdateUX is running each time the app runs
•	
•	HPXWC-7185\[SFT_MPH][RGBKB][HighContrast] Toggle button is not visible when we select Aquatic, Desert, Dusk, Night sky Contrast themes.
•	HPXWC-7185\[SFT_MPH][RGBKB][HighContrast] Toggle button is not visible when we select Aquatic, Desert, Dusk, Night sky Contrast themes.
•	HPXWC-5365\[RGBKB] Fraction of time toggle enabled when reopening myHP
•	HPXWC-7025\[SFT_MPH][OTA][AudioControl] Equalizer band cut off is seen in 32 slider
•	HPXWC-6710\[AudioControl] Immersive audio doesn't work on first time
•	HPXWC-7027\[AudioControl] General Features is shown and expandable in the side panel when there are no options
•	HPXWC-7175\[DisplayControl][HighContrast]Brightness &amp; Contrast icons are missing when we select Aquatic, Dusk, Night sky themes.
•	HPXWC-6935\[SFT_MPH][Core] Text Cut-Off seen using tab button when we make text size is bigger to 225%.
•	HPXWC-7072\[LeftNav] Hamburger menu AUID not being shown in Analytics logs
•	HPXWC-6933\[SFT_MPH][RGBKB] Color exceeded in highlighted box when we navigate through Tab key  
•	HPXSUP-1109\[Support home page][Skeleton] The circle should not display border.
•	HPXWC-6747\BackgroundTask error handling clean up - smartexperiences
•	HPXSUP-729\[Offline]-No automationids for offline UI
•	HPXSUP-1119\[Support Home Page][Skeleton] - The support home page and RN's skeleton native page are appears at the same time on 4K display machine.
•	HPXWC-7132\[AudioControl] No Audio under PCDevice and on home page.
•	HPXWC-7141\[SFT_MPH][SmartExp] Smart experiences cards are missing in HPX v.25.52309.54.0
•	HPXWC-7146\[SFT_MPH][SmartCam3.5] Video Control card is missing in Ultron/ Starfox/ Raza platform.
•	HPXSUP-1102\[VA] - 5G card can't be displayed on 5G PC.
•	HPXWC-7030\[AudioControl] The toggle default status is Off for Noise reduction
•	HPXWC-7003\[SFT_MPH][NPS] NPS notification not localized when choose Taiwan as Windows display language
•	HPXWC-6735\[AudioControl] MIC Mode default setting is Personal in HPX.
•	HPXWC-6767\[AudioControl] Mic Mode still shows up when turn off Noise Reduction and then switch back to Internal mic
•	HPXWC-6141\SIO2170133 - [SIT][Zonin][HPX0.5_OTA] "Noise Removal" function is turned on by default after 1st launch of HPX Audio Control
•	HPXWC-6884\[SFT_MPH][DisplayControl] We can save the Timer without selecting either turn-on and turn-off Timer from LBL scheduler
•	HPXWC-6764\[RGBKB]  When user disable the "Enable RGB Lighting" toggle button when user mouse over the "Restore Default Setting" button some animation effect is displayed.
•	HPXWC-6820\[SFT_MPH][DisplayControl][HighContrast] Brightness &amp; Contrast slider is missing when we select Aquatic, Desert, Dusk, Night sky themes.
•	HPXWC-6283\[Analytics] [Instrumentation] EventPar2 is not incrementing for EventName entryPoint
•	HPXWC-4204\[SFT_MPH][Display] LBL Scheduler strings are not fully display when we increase text size to Maximum.
•	HPXWC-6934\[SFT_MPH][RGBKB] "Restore Default setting" button is not adjusted when we increase the text-size larger
•	HPXWC-6771\[SFT_MPH][RGBKB][WER] Automated checks failed for "Brightness slider"
•	HPXWC-6299\[SmartExp][PPR] Modal dialog is not as specified
•	HPXWC-7016\My Account Analytics not seen on PIE</t>
    </r>
  </si>
  <si>
    <t>25.52311.74.0.A.1</t>
  </si>
  <si>
    <t>P014C9-B2S</t>
  </si>
  <si>
    <t>Main changes:
•	HPXWC-7473\[Video] Integrate smartcam 3.5.54 into HPX
•	HPXWC-7334\Add HP.PrivacyConsentUI nuget 2.1.30 and Fusion Analytics 2.1.23 to HPX to support Narrator fixes
•	HPXWC-6895\[Core][LeftNav] Background color is not correct with High contrast black theme
•	HPXWC-7207\[Accessibility] myHP icon should not be navigable.
•	HPXWC-6937\Nav indicator line is inconsistent for selected nav-item on Left Nav.
•	HPXWC-5990\SIO2169341 - [SIT][SWT-SW][HPX0.5_OTA]  The Manage notifications/Desktop... items still show enable state and can click toggle when clicked Home item and the re-clicked Settings/Notification with offline mode.
•	HPXSUP-585\[Offline]-The contents of the call card and web card on the offline page are not aligned
•	HPXWC-6896\Control your PC tiles aren't fitting to the grid</t>
  </si>
  <si>
    <t>1. Home Page
2. Video Control
           - SmartCam 2 (if the system has SmartCam2 feature byte qj)
           - SmartCam 3.5.54.0 (if the system has SmartCam3 feature byte qM)
3. HP Programmable Key
4. Privacy alert
5. Auto Screen Dimming
6. Support
7. Settings</t>
  </si>
  <si>
    <t>25.52312.97.0.A.1</t>
  </si>
  <si>
    <t>P014C9-B2U</t>
  </si>
  <si>
    <r>
      <t xml:space="preserve">Main changes:
</t>
    </r>
    <r>
      <rPr>
        <sz val="11"/>
        <color rgb="FFFF0000"/>
        <rFont val="Calibri"/>
        <family val="2"/>
      </rPr>
      <t>For 2023 OOC: Arizona</t>
    </r>
    <r>
      <rPr>
        <sz val="11"/>
        <rFont val="Calibri"/>
        <family val="2"/>
      </rPr>
      <t xml:space="preserve">
Note: This is the same version as 3/28 OTA version
•	HPXWC-5597\[Smartcam] Smartcam3 opens in the background on first launch if open from PC device (not Home).
•	HPXWC-7652\[5G] The commercial platform show 5G module
•	HPXWC-7624\SIO2177410/SIO2177457- [HarryPotter][AutoLaunch] HPX won't be launched automatically after reboot system.
•	HPXWC-7480\SIO2176724 - [NB][Knucker] The unit warranty expire date in myHP/PC Device UI is not same with myHP/Support/Device Support UI.
•	HPXSUP-1125\[SFT_MPH][SupportPage][HighContrast] While Offline the background color is not applied properly
•	HPXWC-7189\[SFT_MPH][SmartExp][HighContrast] Text cutoff for info present in Privacy Alert /Auto screen dimming UI for all the contrast themes
•	HPXWC-7028\[HPX] It is better show highlight when user hover on "get details" &amp; " view data collected" in PC device module. - Handle PR
•	HPXWC-6314\[ProgKey] "X" button will move down when minimized the HPX screen then select application in programmable key
•	HPXWC-7566\ [CGQA] "Share your feedback" toggle status does not remain same after relaunch app
•	HPXWC-7660\ [High contrast] Hp logo in first launch privacy and registration page not visible when mode is changed to highcontrast black theme
•	HPXSUP-585\ [Offline]-The contents of the call card and web card on the offline page are not aligned
•	HPXWC-7245\ SIO2176025/SIO2176243 [SIT][OTA] Platform info shows NA in myHP/Devices/PC Device
•	HPXWC-7446\ [SFT_MPH][SmartExp][Accessibility] Narrator is reading close[x] and 'HP Privacy Statement' as button
•	HPXWC-4645\ [SFT_MPH][SmartExp] Text cutoff seen when the text size increase to maximum
•	HPXWC-7444\ [SFT_MPH][SmartExp][WER-Accessibility] Automated checks failing for contents present in dialogue box
•	HPXWC-7441\ [SFT_MPH][SmartExp][Accessibility][KeyboardNav] Placeholder is not applied properly for checkbox in dialogue box when navigating through tab
•	HPXWC-7701\ Change translation for autoScreenDimming in es-ES language
•	HPXWC-7437\ Do not show Privacy settings Tab for Corp images In case HP Privacy setting app does not exists
•	HPXWC-7443\ [SFT_MPH][Registration][Accessibility] Automated checks test is failing for Country Dropdown in Registration Page.
•	HPXWC-7184\ [PCDevice][HighContrast]  Windows 11 &amp; 10 issues on High Contrast theme
•	HPXWC-7374\ SIO2176217 - [SIT][SWT-SW][RPL][Win11] The warranty of HPX and HPSA's are shown differently.
•	HPXWC-7243\ auto launch events not being captured correctly
•	HPXWC-5361\[SFT_MPH][CoreNav][Accessibility] Narrator fails to read some strings on Top App bar
•	HPXWC-7207\[Accessibility] myHP icon should not be navigable.
•	HPXWC-7158\[SFT_MPH][Services][HighContrast] No change of states for the avatar</t>
    </r>
  </si>
  <si>
    <t>25.52313.104.0.A.1</t>
  </si>
  <si>
    <t>P014C9-B2T</t>
  </si>
  <si>
    <r>
      <t xml:space="preserve">Main changes:
</t>
    </r>
    <r>
      <rPr>
        <sz val="11"/>
        <color rgb="FFFF0000"/>
        <rFont val="Calibri"/>
        <family val="2"/>
      </rPr>
      <t>NOTE: This is NOT for shipping yet</t>
    </r>
    <r>
      <rPr>
        <sz val="11"/>
        <rFont val="Calibri"/>
        <family val="2"/>
      </rPr>
      <t xml:space="preserve">
•	SmartCam tooltip translation added
•	HPXWC-7963\[Video-42] Integration Smartcam v3.5.59
•	HPXWC-7596\SIO2176172 - [HedwigR6U] "Video Controls" show in system which doesn't have 'qj' or 'qM' FB.
•	HPXWC-7413\[HighContrast] No separation between header, status and action card section
•	HPXWC-7048\[HighContrast] Flyout menu items are not changing bg color when mouse hover-over on it in High Contrast
•	HPXWC-7842\Bug 1146349: myHP (HPX), no Amazon EMR data flowing through production via HPA or Fusion Analytics: File "[guid].json' has an incorrect dataclass = No metadata for class ID 10.73 and version 2.0 exists.
•	HPXWC-7008\Programmable key AUID is missing
•	HPXWC-7432\[Analytics][Instrumentation] FuF second chance registration is returning a error code in analytics
•	HPXWC-7491\[PC Device][AUID] Some text elements AUID missing in PC Device module
•	HPXWC-7411\[HighContrast] Hover color not getting applied in High Contrast Mode.
•	HPXWC-7528\[SFT_MPH][Settings] Toggle buttons in Notification tab is moving back slightly on turning the toggle buttons to OFF state.
•	HPXWC-7148\[PCVideo] New HPPV screen pops up again and always show initialization screen when close HPPV screen then quickly click "video controls" button twice.
•	HPXWC-7789\[SFT_MPH][OTA][Settings] Privacy option is not displaying.
•	HPXWC-7611\[Registration][Highcontrast] Border colour of Country drop-down box is inconsistent in registration page when turn on high contrast with "aquatic"\"dusk"\"night sky".
•	HPXWC-7688\[HPX][PCVideo] Video controls button are not localization in video controls page.
•	HPXWC-7798\PCDevice - image borders are black SVG methone images
•	HPXWC-4654\[HomePage] Cannot set dynamic height in JWebs
•	HPXWC-6564\HPX not usable after deep linking, when user is on any "Recommended for you" page
•	HPXWC-7421\[HighContrast] Back navigation arrow on top bar is not visible in high contrast modes
•	HPXWC-7615\[Image][AUID] Missing AUID for myHP logo on the top left corner on HPX dashboard
•	HPXWC-4645\[SFT_MPH][SmartExp] Text cutoff seen when the text size increase to maximum
•	HPXWC-7444\[SFT_MPH][SmartExp][WER-Accessibility] Automated checks failing for contents present in dialogue box
•	HPXWC-7491\[PC Device][AUID] Some text elements AUID missing in PC Device module
•	HPXWC-7684\[PCDevice] [HighContrast] Tool tip is not having boundary.
•	HPXWC-7442\[SFT_MPH][Services][Narrator] Narrator reads only links in the My account page and if manually selected its reading as custom.
•	HPXWC-7488\[Core] Unused dependencies bloat modules in the web-views directory </t>
    </r>
  </si>
  <si>
    <t>1. Home Page
2. Video Control
           - SmartCam 2 (if the system has SmartCam2 feature byte qj)
           - SmartCam 3.5.59.0 (if the system has SmartCam3 feature byte qM)
3. HP Programmable Key
4. Privacy alert
5. Auto Screen Dimming
6. Support
7. Settings</t>
  </si>
  <si>
    <t>25.52314.112.0.A.1</t>
  </si>
  <si>
    <t>P014C9-B2V</t>
  </si>
  <si>
    <t>Main changes:
Enabled SmartCam123
•	HPXWC-8199\[OOBE] Unable to see Firstuseflow
•	HPXWC-7470\[HighContrast] Tooltip showing square shape for arrow in HighContrast mode.
•	HPXWC-7186\[SFT_MPH][SmartExp][HighContrast] Button text color is not changing for Dusk and Night sky themes
•	HPXWC-7158\[SFT_MPH][Services][HighContrast] No change of states for the avatar
•	HPXWC-6860\[SFT_MPH][SmartExp] Clicking on alert notification is not navigating to Privacy Alert page when user in Auto screen dimming page
•	HPXWC-7486\[Core] 1000MS timeout before any webview is initiated
•	HPXWC-7680\[PCDevice][HighContrast] Hover color not getting applied in High Contrast Mode on Breadcrumb</t>
  </si>
  <si>
    <t>25.52315.134.0.A.1</t>
  </si>
  <si>
    <t>P014C9-B2X</t>
  </si>
  <si>
    <t>Main changes:
•	HPXWC-8600\ [PCDevice] High CPU usage while idling in PC device page
•	HPXWC-8423\[HPX][Staging] Cannot see Supported Modules except "Settings" in LeftNav
•	HPXWC-8424\[HPX][Production] App stuck on StartUp Animation screen with latest Production Build
•	HPXWC-8503\[Core][HighContrast] My Hp app is getting crashed after switching the theme in High Contrast
•	HPXWC-8400\[Hotkey] Regression issue Support hotkey doesn't work anymore
•	HPXWC-8386\[MyAccount] Profile icon is missing
•	HPXWC-8337\[Communications] - Communication Settings change mention of HPX to myHP
•	HPXWC-7680\[PCDevice][HighContrast] Hover color not getting applied in High Contrast Mode on Breadcrumb
•	HPXWC-4654\[HomePage] Cannot set dynamic height in JWebs
•	HPXWC-7517\[SFT_MPH][HPPK][KeyboardNav] Placeholder is not applied properly for buttons in HPPK UI
•	HPXWC-7107\[HPX][DarkMode] Country in drop-down list is not visible in Registration page when change system colour to dark mode.
•	HPXWC-6781\Re-Program "Support Hot Key" from Programmable Key</t>
  </si>
  <si>
    <t>25.52316.154.0.A.1</t>
  </si>
  <si>
    <t>P014C9-B2Y</t>
  </si>
  <si>
    <t>Main changes:
Update SmartCam to 3.2304.68.21904
•	HPXWC-8959\ [CGQA][FirstUse]"Oh something went wrong" error message is displayed after HP registration successfully.
•	HPXWC-7901\ [NPS][CGQA] If "share your feedback" toggle is turned off then NPS should not display during first launch
•	HPXWC-7649\ [SFT_MPH][AudioControl] 3.5 mm headset crash/Multi streaming/Device plug unplug
•	HPXWC-8648\ [CoreNav] myHP not able to drag and slide from the top bar after loaded completely	
•	HPXWC-8538\ [Settings][NotificationsTab] Narrator is not reading Content in Notification Tab
•	HPXWC-7625\ [SFT_MPH][EIT][Bell] Notification count still shows on the taskbar, while the user sign-out with new notification unread even post relaunching.
•	HPXWC-8364\ [SFT_MPH][SmartExp] When dialogue box popped up background is not dimming in HPX v.25.52313.112.0
•	HPXWC-8536\ [Settings][Privacy]Narrator is not reading the content in Privacy tab in Settings page
•	HPXWC-8554\ [Offline][HighContrast][Accessibility] Set ‘text size’ to maximum and change High contrast theme, the offline banner is not displayed normally
•	HPXWC-8198\ [FirstUseFlow] If all consents are Unknown not able to see Registration page.
•	HPXWC-7362\ [SFT_MPH][HomePage][HighContrast] Home Page background cutoff observed after applying contrast themes.
•	HPXWC-7191\ [SFT_MPH][SmartExp][HighContrast] Smart experiences UI looks different after applying contrast themes
•	HPXWC-6597\ [Accessibility][HighContrast] We cannot see the menu when set the theme is Aquatic mode
•	HPXWC-8575\ [SFT_MPH][OTA_FFT][HPPK] When we click on HPPK card different HPPK UI Poping-up and closing within a Second
•	HPXWC-8704\ Narrator is reading Bell Icon Incorrectly</t>
  </si>
  <si>
    <t>1. Home Page
2. Video Control
           - SmartCam 2 (if the system has SmartCam2 feature byte qj)
           - SmartCam 3.2304.68.21904 (if the system has SmartCam3 feature byte qM)
3. HP Programmable Key
4. Privacy alert
5. Auto Screen Dimming
6. Support
7. Settings</t>
  </si>
  <si>
    <t>25.52324.314.0.A.1</t>
  </si>
  <si>
    <t>P0151E-B2B</t>
  </si>
  <si>
    <r>
      <t>Main changes:</t>
    </r>
    <r>
      <rPr>
        <sz val="11"/>
        <color rgb="FFFF0000"/>
        <rFont val="Calibri"/>
        <family val="2"/>
      </rPr>
      <t xml:space="preserve">
</t>
    </r>
    <r>
      <rPr>
        <sz val="11"/>
        <rFont val="Calibri"/>
        <family val="2"/>
      </rPr>
      <t>•	Update SmartCam to v3.2306.82</t>
    </r>
    <r>
      <rPr>
        <sz val="11"/>
        <color rgb="FFFF0000"/>
        <rFont val="Calibri"/>
        <family val="2"/>
      </rPr>
      <t xml:space="preserve">
</t>
    </r>
    <r>
      <rPr>
        <sz val="11"/>
        <rFont val="Calibri"/>
        <family val="2"/>
      </rPr>
      <t>•	Startup performance improvements
•	P1 and P2 bugs including high contrast, dark mode, narrator</t>
    </r>
  </si>
  <si>
    <t>1. Home Page
2. Video Control
           - SmartCam 3.v3.2306.82
3. HP Programmable Key
4. Privacy alert
5. Auto Screen Dimming
6. Support
7. Settings</t>
  </si>
  <si>
    <t>25.52325.345.0.A.1</t>
  </si>
  <si>
    <t>P0151E-B2D</t>
  </si>
  <si>
    <r>
      <t>Main changes:</t>
    </r>
    <r>
      <rPr>
        <sz val="11"/>
        <color rgb="FFFF0000"/>
        <rFont val="Calibri"/>
        <family val="2"/>
      </rPr>
      <t xml:space="preserve">
</t>
    </r>
    <r>
      <rPr>
        <sz val="11"/>
        <rFont val="Calibri"/>
        <family val="2"/>
      </rPr>
      <t>•	HPXWC-11240\Unencrypted (complete?) source code of all JS libraries is included in the production build due to the settings page being packaged in dev instead of production mode
•	HPXWC-11161\[AudioControl][Bopeep] Adaptive audio shows up on Bopeep and HPOne machine with prod build 25.52325.319.0
•	HPXWC-11267\Not able to sign in production
•	HPXWC-11292\[SFT_MPH][OTA_FFT][Core] HPX application keeps on loading after upgrading from MS Store
•	HPXWC-11309\[Core][Commercial] HPX application keeps on loading after upgrading or installing for the first time through MS Store</t>
    </r>
  </si>
  <si>
    <t>25.52325.349.0.A.1</t>
  </si>
  <si>
    <t>P0151E-B2E</t>
  </si>
  <si>
    <r>
      <t>Main changes:</t>
    </r>
    <r>
      <rPr>
        <sz val="11"/>
        <color rgb="FFFF0000"/>
        <rFont val="Calibri"/>
        <family val="2"/>
      </rPr>
      <t xml:space="preserve">
</t>
    </r>
    <r>
      <rPr>
        <sz val="11"/>
        <rFont val="Calibri"/>
        <family val="2"/>
      </rPr>
      <t>•	Update SmartCam to 3.2307.83</t>
    </r>
    <r>
      <rPr>
        <sz val="11"/>
        <color rgb="FFFF0000"/>
        <rFont val="Calibri"/>
        <family val="2"/>
      </rPr>
      <t xml:space="preserve">
</t>
    </r>
    <r>
      <rPr>
        <sz val="11"/>
        <rFont val="Calibri"/>
        <family val="2"/>
      </rPr>
      <t>•	HPXWC-11291\[HPC] While launching HPX app its keeps on loadingHPXWC-10489\[HPX] App not launching with desktop mode with powershell command
•	HPXWC-11267\Not able to sign in production
•	HPXWC-11251\[Core] HPX application crash observed while navigating other pages by clicking on left navigation pane
•	HPXWC-11238\[PCVideo] Feature Flags Are Not Matching Between the AsyncStorage.db and LD
•	HPXWC-11240\Unencrypted (complete?) source code of all JS libraries is included in the production build due to the settings page being packaged in dev instead of production mode
•	HPXWC-11255\[My Account] App crashing on Prod build after navigating from go to my account page to home tab
•	HPXWC-10402\[SFT_MPH][OTA_FFT][SmartCam123] Observed "video control" toggle button as Cut Off on resizing the app
•	HPXSUP-1749\[Installation] New submitted files don't include in HPX Support folder.
•	HPXWC-11295\[PCDevicePg][PPR] Color of copy icon is incorrect
•	HPXWC-11065\[Dark mode] - Hover on Sign Out" or "Go to my account", the background color displays highlight.
•	HPXWC-10779\[SFT_MPH][OTA_FFT][Core] On launching HPX application myHP logo is changing its location.
•	HPXWC-10604\SIO2188392 - HPX sign in logo become small after change to smaller resolution on UHD panel.
•	HPXWC-10858\On hover Feature Cards have no background color in high contrast theme on PC Device Page
•	HPXSUP-1790\[Dark Mode][Offline]The background color of offline support page is different with mockup
•	HPXSUP-1766\[Skeleton] - When jumping to the support page from other pages, a white scrollbar on the right will appear
•	HPXWC-8869\[SFT_MPH][SmartExp][CMSL] If a module disabled, the card is still available in PCDevice page and on clicking displays an empty page
•	HPXWC-11163\[SFT_MPH][PCDevice] Observed the alignment of the popup "copied" is different from the figma.
•	HPXWC-11182\[PCDevice][High Contrast] Left border becomes invisible when the left navigation is collapsed/closed in high contrast
•	HPXWC-10043\[HPPK] Not able to find Automation ID for Application, Website, File and Folder options
•	HPXWC-6937\Nav indicator line is inconsistent for selected nav-item on Left Nav.
•	HPXWC-11113\[SFT_MPH][HPPK] Home page is invoked by pressing S3/S4 instead of PC Device and Programmable key
•	HPXWC-10663\[HPPK] Not able to see Support page key in Grogu machine
•	HPXWC-10970\[SFT_MPH][OTA_FFT][Homepage][HighContrast] No background color is observed on hover over on Control your PC cards
•	HPXWC-11107\[SFT_MPH][OTA_FFT][PCDevice] Taking Emojis as a system name using virtual keyboard in touch platforms.
•	HPXWC-4636\[SFT_MPH][Registration] In HP Registration page text cut off when we set text size to maximum
•	HPXWC-8990\[SFT_MPH][Core] Observed white and black effects when clicking on 'x' (close) buttons in few modules(HPPK, PC Device, Pen Control).
•	HPXWC-10886\[SFT_MPH][SmartExp][Tab] Tool tip information is not hiding on clicking enter button while navigating through tab
•	HPXWC-10083\[SFT_MPH][OTA_FFT][Registration] While entering valid email id in registration page, red underline is observed.
•	HPXWC-10855\[CGQA]HP Registration page background color is not matching same as figma design</t>
    </r>
  </si>
  <si>
    <t>1. Home Page
2. Video Control
           - SmartCam 3.v3.2307.83
3. HP Programmable Key
4. Privacy alert
5. Auto Screen Dimming
6. Support
7. Settings</t>
  </si>
  <si>
    <t>25.52327.391.0.A.1</t>
  </si>
  <si>
    <t>P0151E-B2H</t>
  </si>
  <si>
    <r>
      <t>Main changes:</t>
    </r>
    <r>
      <rPr>
        <sz val="11"/>
        <color rgb="FFFF0000"/>
        <rFont val="Calibri"/>
        <family val="2"/>
      </rPr>
      <t xml:space="preserve">
</t>
    </r>
    <r>
      <rPr>
        <sz val="11"/>
        <rFont val="Calibri"/>
        <family val="2"/>
      </rPr>
      <t>•	Hide Home page, Support, HPID in Corporate-ready image
•	HPXAPPS-146 [CGQA] User is not getting NPS notification during restart mode in Contino systems
•	HPXAPPS-184 [SFT_MPH][AutoLaunch] HPX Auto-launch is failing for win 11 OS.
•	HPXWC-11433\[STS][Core] High Vulnerability - Unsigned deliverables - Context Aware teamHPXWC-11403\[ExtMouse] Some strings are missing when wait for 5 minutes and wake up mouse.
•	HPXAPPS-737\[HPX] Not able to navigate back to PCDevice or Home page from left nav panel once navigate to submodules.
•	HPXAPPS-817\SIO2192224 - The font of 'Minimize' 'Maximize' 'Close' display is unclear in the upper right corner of myHP window.
•	HPXWC-11653\[PCDevice] It takes more than 3 minutes for PC devices navigation bar to load when hpx is re-launched multiple times
•	HPXAPPS-690\[SFT_MPH][OTA][Core] When we close navigation menu and again open navigation menu, PC Device option is not displaying automatically
•	HPXWC-11203\[SFT_MPH][PCDevice] Observed edge corner shapes of the icons seems different from figma.
•	HPXWC-9094\[SFT_MPH][SmartExp][Accessibility] Narrator is reading 'HP Privacy Statement' link as button
•	HPXAPPS-959\[SFT_MPH][OTA_FFT][Core] On launching HPX application myHP logo is changing its location.
•	HPXWC-11516\[Bug] Library conflict due to framework change
•	HPXWC-10989\[SFT_MPH][PCDevice] On increasing the text size to maximum edit icon is overlapping with PN/SN when system's name characters is maximum.
•	HPXWC-11644\[SFT_MPH][HighContrast][PCDevice] Observed black bars on hover over the cards on applying high contrast themes.
•	HPXWC-11578\SIO2192889 - Cannot copy the product number and SN by clicking the copy button with finger on the HPX/Desktop/ page.
•	HPXWC-11400\[SFT_MPH][PCDevice] Observed white background in the system's name entry box.</t>
    </r>
  </si>
  <si>
    <t>1. Home Page
2. Video Control
           - SmartCam 3.v3.2307.86
3. HP Programmable Key
4. Privacy alert
5. Auto Screen Dimming
6. Support
7. Settings</t>
  </si>
  <si>
    <t>25.52328.396.0.A.1</t>
  </si>
  <si>
    <t>P0151E-B2J</t>
  </si>
  <si>
    <r>
      <t>Main changes:</t>
    </r>
    <r>
      <rPr>
        <sz val="11"/>
        <color rgb="FFFF0000"/>
        <rFont val="Calibri"/>
        <family val="2"/>
      </rPr>
      <t xml:space="preserve">
</t>
    </r>
    <r>
      <rPr>
        <sz val="11"/>
        <rFont val="Calibri"/>
        <family val="2"/>
      </rPr>
      <t>P1:
•	HPXSUP-1887 [OCFResources]-HTML Path error, about page is blank now.
Stories:
•	HPXSUP-1861 [Veracode] Remove useless files of HPNetworkCheck
•	HPXWC-11635 [AudioControl][Bopeep] Adaptive audio module should grey out when we select Music and Voice option</t>
    </r>
  </si>
  <si>
    <t>25.52329.430.0.A.1</t>
  </si>
  <si>
    <t>P0151E-B2L</t>
  </si>
  <si>
    <r>
      <t>Main changes:</t>
    </r>
    <r>
      <rPr>
        <sz val="11"/>
        <color rgb="FFFF0000"/>
        <rFont val="Calibri"/>
        <family val="2"/>
      </rPr>
      <t xml:space="preserve">
</t>
    </r>
    <r>
      <rPr>
        <sz val="11"/>
        <rFont val="Calibri"/>
        <family val="2"/>
      </rPr>
      <t>•	Update SmartCam to v3.2307.96
•	HPXAPPS-975 [Housekeeping] Update README for @hp-af/react-native-netinfo library
•	HPXWC-12134 [USA-Video] Integrate HPPVForMyHP_Release_v3.2307.96.21703.zip  into HPX 2023.07.B. Please launch with HPPVLauncher.exe.
•	HPXAPPS-1330 [SFT_MPH][OTA][Core] When we minimized and launch HPX App we observed that text is merged (Only on Windows 10)
•	HPXAPPS-786 Replace custom logging with HP.ApplicationFramework.Logging in Desktop Extension
•	HPXAPPS-987 [CGQA][Feedback] "select a star rating before you submit " validation location is not matching same as figma design
•	HPXWC-11912 [SFT_MPH][SmartExp] Toggle button is not persistent on relaunching HPX app while the module dialogue is opened
•	HPXWC-11906 [SFT_MPH][SmartExp] Overlap between 'Cancel' and 'Continue' button on resizing the HPX window to small</t>
    </r>
  </si>
  <si>
    <t>1. Home Page
2. Video Control
           - SmartCam v3.2307.96
3. HP Programmable Key
4. Privacy alert
5. Auto Screen Dimming
6. Support
7. Settings</t>
  </si>
  <si>
    <t>25.52330.450.0.A.1</t>
  </si>
  <si>
    <t>P0151E-B2M</t>
  </si>
  <si>
    <r>
      <t>Main changes:</t>
    </r>
    <r>
      <rPr>
        <sz val="11"/>
        <color rgb="FFFF0000"/>
        <rFont val="Calibri"/>
        <family val="2"/>
      </rPr>
      <t xml:space="preserve">
</t>
    </r>
    <r>
      <rPr>
        <sz val="11"/>
        <rFont val="Calibri"/>
        <family val="2"/>
      </rPr>
      <t>•	HPXWC-12366 [Perf] - System Controls -need to toggle off Commercial and visible only for Consumer</t>
    </r>
  </si>
  <si>
    <t>25.52334.593.0.A.1</t>
  </si>
  <si>
    <t>P0151E-B2P</t>
  </si>
  <si>
    <r>
      <t>Main changes:</t>
    </r>
    <r>
      <rPr>
        <sz val="11"/>
        <color rgb="FFFF0000"/>
        <rFont val="Calibri"/>
        <family val="2"/>
      </rPr>
      <t xml:space="preserve">
</t>
    </r>
    <r>
      <rPr>
        <sz val="11"/>
        <rFont val="Calibri"/>
        <family val="2"/>
      </rPr>
      <t>•	Update SmartCam to 3.2307.98
•	HPXAPPS-2012 [SFT_MPH][OTA][Core][DarkMode] In Navigation bar, when we click on any module name, color is changing in blue
•	HPXAPPS-2078 [Services-UI] Cannot restore Mouse sensitivity's value
•	HPXAPPS-2017 [MyAccount] My Account page is empty
•	HPXAPPS-2115 [HPX] HPX crashes when clicking 'pc device' page after goes in to any module page on latest build.
•	HPXAPPS-2070 [HPX] Most toggles change to off (from On) after relaunch HPX. (SmartExp, Privacy Alert,PenControl,RGB and 5G).
•	HPXAPPS-947 [ServiceRouting] Profile icon shows empty after clicking on any tiles on Home page
•	HPXAPPS-2163 [SFT_MPH][Registration] By clicking 'HP Privacy Statement' link is not navigating to browser/Not functional at all.
•	HPXAPPS-2264 Clicking on the account icon does nothing
•	HPXAPPS-1765 [SFT_MPH][OTA_FFT][Core] After pressing F12 hotkey, "Devices" page is not opening in left nav.
•	HPXAPPS-2425 [SNN] When user does not see Strictly Necessary Notice in UI, the registry NecessaryNoticeShown is set to 1
•	HPXAPPS-2389 [SFT_MPH][OTA_FFT][HPPK] Observed loading state after pressing F12 key
•	HPXAPPS-2097 [Settings] React native tab view doesn't work with multiple routes (Patch)
•	HPXAPPS-2036 Create Publish nexus modules docs
•	HPXAPPS-525 [HomePage] Re-enable the "Next Steps" section of the Home page
•	HPXSUP-1747 [Translation] Support 7 new languages for diagnostics tools
•	HPXAPPS-2142 Dark mode support for Storybook module
•	HPXAPPS-2150 [Communications] Integrate translation for the strings in Settings page
•	HPXAPPS-1798 Implement the Landing page for HPID
•	HPXAPPS-1000 [Communication][Settings][UI]Develop Feedback Tab UI in Settings Native View
•	HPXWC-12819 [ContextAware] [AppSettings] Fetching installed applications' list from library
•	HPXWC-12742 [Pen][Commercial] Observation found on Narrator
•	HPXAPPS-782 Build with NuGet packages
•	HPXWC-12766 [Pen][Commercial] - Support sentence for titles and header string
•	HPXAPPS-1801 Implement accessibility, narrator, highcontrast and darkmode for HPID Landing page
•	HPXWC-10254 [Application Settings] [Context Aware] [NFR] Support Accessibility (WER) Requirements
•	HPXAPPS-1799 Integrate the HPID Login Dialog with the Sign In button
•	HPXAPPS-1623 [SIO2195914] HPX always open automatically after the unit restarts.
•	HPXAPPS-1800 Add analytics to the Landing screen of the HPID Login
•	HPXAPPS-1563 Add some animation after the submit feedback
•	HPXWC-12199 [SFT_MPH][SmartExp][Tab] Tab is not focusing model dialogue box area
•	HPXAPPS-1754 [Core][HPPK][Deeplink] Programmable Key deeplink broken
•	HPXWC-12509 [PCDevice][HighContrast] Some text are missing on PCdevice header after applying contrast themes.
•	HPXAPPS-252 SIO2169521 Missing "Use the HP Virtual Assistant" and "Run hardware diagnostics" under HPX/Support/Device support/Guided troubleshooting with build
•	HPXWC-12326 [SmartExp] Unable to select the tooltips icon with the mouse and check AUID using Accessibility Insights tool
•	HPXAPPS-1787 [SFT_MPH][Registration] 'Skip this step' spacing is not as per Figma.
•	HPXAPPS-1088 [HighContrast] The hyperlink inside PC modal is not displaying in high contrast modes
•	HPXAPPS-1085 [HighContrast][PCDevice] Color of Get details link and View data collected are not changing as per theme selection.
•	HPXAPPS-243 [Registration][DarkMode] Hover over the inputs fields and clickable buttons are not as expected on registration page in dark mode
•	HPXWC-12198 [SFT_MPH][OTA_FFT][HPPK][HighContrast] Numbers are not visible when we apply high contrast themes
•	HPXAPPS-1717 [SFT_MPH][OTA][Services] HP privacy link is not highlighting with underline in warranty-View data collected
•	HPXAPPS-691 [ServiceRouting][Home] Card Icon are missing when we navigate back to home page from Interstitial screen.
•	HPXAPPS-1718 [SFT_MPH][OTA][PCDevice][TAB] When we increase text size, Text is not highlighting properly using TAB key
•	HPXAPPS-2013 [SFT_MPH][OTA][Home][TabNavigation] Able to navigate to non-pressable events like control your PC
•	HPXAPPS-1038 [SFT_MPH][PCDevice] Text cut-off and overlapping observed when increasing text size to maximum
•	HPXAPPS-1180 [SFT_MPH][Services] Able to redirect to myaccount page and displays error while clicked on go to my account immediately after clicking on sign-out
•	HPXAPPS-2022 [High Contrast] myHP is showing partial effect when we switch between different high contrast modes
•	HPXAPPS-1073 [SFT_MPH][PCDevice] Not able to navigate "Allow personalized support" window in Get Details section by using keyboard.
•	HPXWC-12642 [Application Settings][Context Aware] Close Button (X) in Delete App Modal is not same in certain resolutions
•	HPXWC-12440 [SIO2197127] The information under Devices lost in HPX with Corporate-Ready Image after restart unit.
•	HPXAPPS-2210 [Settings] SNN shows up and disappears in settings Privacy tab
•	HPXAPPS-1081 [CGQA]Profile icon should be transparent without any square background
•	HPXWC-12456 [Application Settings] [Context Aware] Develop a method for checking whether context-aware service is running
•	HPXWC-11728 [SIO2193672] : It would need 5~10s to response after select the Application option for the first time in MyHP/Programmable Key
•	HPXAPPS-1699 [SFT_MPH][Core][Narrator] Narrator is reading as pane for all modules
•	HPXAPPS-2193 [SFT_MPH][OTA][HomePage][Tab] Entire Home page is selected while tab navigating
•	HPXWC-12650 [PCDevice] If we make text size to largest then product number value click tooltip is not as per figma
•	HPXAPPS-1399 [Service] myHP stuck loading when launched from HPID .
•	HPXAPPS-1797 [Privacy] [High Contrast] Hover over manage option, the text doesn't show hover effect
•	HPXAPPS-1796 [Privacy] [High Contrast] Manage option button is displayed in the box on high contrast modes
•	HPXWC-12375 [Keyboard][HighContrast] Some text are missing on Keyboard header after applying contrast themes.
•	HPXAPPS-1333 [SFT_MPH][HighContrast][PCDevice] Observed black bars on hover over the cards on applying high contrast themes.
•	HPXAPPS-2164 [SFT_MPH][Registration] In Registration when we hover on "Skip this step" Button we are able to see underline.
•	HPXAPPS-2166 [SFT_MPH][OTA_FFT][HomePage] Narrator is narrating the "view all controls" as custom instead of link/button.
•	HPXAPPS-2243 [SettingsNative] Settings tabs is not clickable properly
•	HPXAPPS-1603 [SettingsNativeView] In settings in Highcontrast themes there is no border separation in Header
•	HPXWC-12632 Intermittently foreground application is not getting highlighted in the app setting bar
•	HPXAPPS-1760 HPX hangs when deeplink incorrect
•	HPXAPPS-1787 [SFT_MPH][Registration] 'Skip this step' spacing is not as per Figma.
•	HPXAPPS-2098 Fix spacing between bell icon and profile icon as per Figma
•	HPXAPPS-2099 Fix spacing from right to profile icon on top bar
•	HPXAPPS-2100 Fix spacing between back arrow and myHP logo as per Figma
•	HPXAPPS-253 SIO2169276 - [Sandwalker][DarkMode] myHP warning messages are difficult to read in dark mode
•	HPXAPPS-1613 [SFT_MPH][OTA_FFT] Not able to select the hyperlink in Get Details section by using tab and shift+tab keys.
•	HPXAPPS-2245 [HighContrast][PCDevice][Win11] Card icons are not visible on applying Aquatic contrast themes.
•	HPXWC-12724 [SFT_MPH][SmartExp] Able to access Smart experiences UI using Restore default button when the camera is disabled from device manager
•	HPXWC-12635 [SFT_MPH][SmartExp][Tab] Tab is focusing two times for tool tips
•	HPXAPPS-198 [CGQA] HP registration page is not localized in ID-ID language
•	HPXAPPS-2194 [SFT_MPH][OTA_FFT][HighContrast][Core] On applying high contrast themes, hyperlink is getting invisible in Get details section.
•	HPXAPPS-2191 [Offline] The Hyperlink 'Connect' on the offline banner is not aligned with the preceding string.
•	HPXWC-11909 [ExtKeyboard][Accessibility][HighContrast] Configure key icon can not see clear when turn on high contrast theme and hover on key in keyboard.
•	HPXSUP-1859 [Support][Cybersec][STS2023-1407] - PESecurity tool - Error - Safe exception error handler - SafeSEH
•	HPXAPPS-1722 [SignIn] Support home is totally blank when sign in on home page
•	HPXAPPS-1767 [DeepLink] Once open HPX by press Hotkey, and then Navigation doesn't work
•	HPXWC-12831 [SFT_MPH][PCDevice] Observed the Product number and Serial number popup window is blinking on Cybug platform.
•	HPXAPPS-1720 [SFT_MPH][First Use Privacy][Services] Tab and Narrator Placeholder is not covering properly at a time.
•	HPXAPPS-1080 [HighContrast] Profile Flyout has not observed High contrast themes properly.
•	HPXAPPS-248 [SFT_MPH][Core] Intermittently "myHP" Logo is missing.
•	HPXAPPS-1339 [NavigationBar] Sometimes, Navigation bar doesn't turn to Support when click the Support section under PC Device page
•	HPXAPPS-1081 [CGQA]Profile icon should be transparent without any square background
•	HPXSUP-2105 [Feedback] - Need translation for some strings in Feedback window for 7 languages
•	HPXAPPS-2087 [SFT_MPH][OTA][Settings] Link(text) in the about tab are not arranged and alligned properly on london platform
•	HPXWC-12950 [HPPK][AUID] Personalized text on programmable key has missing AUID
•	HPXAPPS-1107 [SFT_MPH][SmartExp] Able to navigate across the unfocused area through TAB key
•	HPXAPPS-1152 [Accessibility][Settings] Privacy and About page hyperlinks and selected text doesn't match High Contrast themes
•	HPXWC-12803 [SFT_MPH][ContextAware] Size difference seen on Cancel button in application page UI Compared to figma</t>
    </r>
  </si>
  <si>
    <t>1. Home Page
2. Video Control
           - SmartCam v3.2307.98
3. HP Programmable Key
4. Privacy alert
5. Auto Screen Dimming
6. Support
7. Settings</t>
  </si>
  <si>
    <t>Staging 9A</t>
  </si>
  <si>
    <t>25.42336.783.0.A.1</t>
  </si>
  <si>
    <t>P0151E-B2R</t>
  </si>
  <si>
    <r>
      <rPr>
        <sz val="11"/>
        <color rgb="FFFF0000"/>
        <rFont val="Calibri"/>
        <family val="2"/>
      </rPr>
      <t xml:space="preserve">"NOTE: When testing, please turn off auto update in MS Store app first to avoid being automatically updated to the latest version on MS Store.
</t>
    </r>
    <r>
      <rPr>
        <sz val="11"/>
        <color rgb="FF000000"/>
        <rFont val="Calibri"/>
        <family val="2"/>
      </rPr>
      <t xml:space="preserve">
Known Issue:
•	HPXAPPS-2810 [HPX][Home][RCBranch] There are no strings visible on Welcome Banner
Changes:
- Enable System Control, Battery Manager, AUdio Control
- Update SmartCam to v3.2309.106
•	HPXWC-13232 SIO2202874/SIO2203079 - The battery icon in HPX shows a different amount of power than the system's battery icon.
•	HPXAPPS-2714 [HPX][Home] Narrator is not reading the titles and the descriptions of the action cards
•	HPXAPPS-2675 [SFT_MPH][L10N][SettingsNative][Feedback] Settings Page shows empty when we apply Arabic/Hebrew Languages
•	HPXAPPS-2756 Support page cannot be loaded in the latest builds
•	HPXAPPS-2092 [HPX] myhp will crash directly after upgrading to 25.52331.464.0_MSIXUPLOAD from MS store
•	HPXWC-13088 [SFT_MPH][SmartExp] Buttons and links are not aligned properly on dialog box
•	HPXWC-12865 [Battery Manager][Native] API to read/write Maximize Battery Health
•	HPXAPPS-2333 [SettingsNativeview] Update settings view privacy tab with strictly necessary notice string
•	HPXAPPS-2488 Update Support tile on Home page for HP One launch - "24x7 Pro live support"
•	HPXWC-13120 [Battery Manager][UI] Responsive behavior for Consumer view
•	HPXWC-12810 [SFT_MPH][ContextAware][Accessbility] Narrator is not reading properly for Application page UI
•	HPXAPPS-2668 [SFT_MPH][HighContrast][Feedback] High Contrast is not applying properly for Submit Button.
•	HPXWC-13232 SIO2202874/SIO2203079 - The battery icon in HPX shows a different amount of power than the system's battery icon.
•	HPXWC-13089 [SFT_MPH][ContextAware][L10N] String is not localized on Chinees language
•	HPXAPPS-2738 [SFT_MPH][SettingsNative][Feedback] "Thank You" Banner is not dismissing when user enter data in input field
•	HPXWC-13354 [SFT_MPH][OTA_FFT][AudioControl] When we connect 3.5 mm jack we observe the difference in placing of presets string and tool tip icon.
•	HPXAPPS-2792 [SFT_MPH][SettingsNative][Feedback] AUID is not generating for "Submit Feedback Button"
•	HPXWC-13141 [SFT_MPH][ContextAware][Accessibility] Add application text cut-off seen when we make text size bigger
•	HPXAPPS-2670 [SFT_MPH][HomePage] Observed text cut off in Hero banner on minimizing the HPX app
•	HPXAPPS-2714 [HPX][Home] Narrator is not reading the titles and the descriptions of the action cards</t>
    </r>
  </si>
  <si>
    <t>1. Home Page
2. Video Control
           - SmartCam v3.2309.106
3. HP Programmable Key
4. Privacy alert
5. Auto Screen Dimming
6. Support
7. Settings
8. System Control
9. Battery Manager
10. Audio Control</t>
  </si>
  <si>
    <t>10A Staging</t>
  </si>
  <si>
    <t>25.42338.826.0.A.1</t>
  </si>
  <si>
    <t>P0151E-B2T</t>
  </si>
  <si>
    <r>
      <rPr>
        <sz val="11"/>
        <color rgb="FFFF0000"/>
        <rFont val="Calibri"/>
        <family val="2"/>
      </rPr>
      <t xml:space="preserve">"NOTE: When testing, please turn off auto update in MS Store app first to avoid being automatically updated to the latest version on MS Store.
"NOTE: With json file to enable features in Staging build, please re-sign in after OOBE to trigger the enablement
For 2024 NPI Platforms except Arizona Refresh
</t>
    </r>
    <r>
      <rPr>
        <sz val="11"/>
        <color rgb="FF000000"/>
        <rFont val="Calibri"/>
        <family val="2"/>
      </rPr>
      <t xml:space="preserve">
Changes:
-  Workaround to Enable System Control, Battery Manager, AUdio Control after dashing
•	HPXAPPS-2913 myHP crashed on Willie when change language from English to France
•	HPXAPPS-2952 [HPX][Localization] Application not starting at all
•	HPXWC-13184 [SFT_MPH][Battery] When we disable Power control in F10, observe In-charging scheduler notifications are coming when we schedule the time
•	HPXWC-13268 [SFT_MPH][Battery] Improper battery percentage observed on battery module UI
•	HPXWC-13202 [Battery Manager][UI] UI changes as per updated figma
•	HPXWC-13118 [Battery Manager][UI] Responsive behavior for Battery Charge Manager
•	HPXWC-13119 [Battery Manager][UI] WER, narrator for Battery Charge Manager
•	HPXAPPS-2739 [SFT_MPH][OTA][HomePage][DarkMode] Observed White Space before loading "Get the Most Out of HP" Cards at the End of the HPX Application
•	HPXWC-13224 [SFT_MPH][ContextAware] Application cut-off seen in list while scrolling applications through Tab
•	HPXAPPS-3006 [Bell] App is not fetching any messages
•	HPXWC-13375 [SFT_MPH][OTA][PC Device] PN/SN pop up window is not navigating back to it's normal position after maximizing the screen from minimum.
•	HPXAPPS-188 [CGQA] Contrast theme is not applyed same as windows theme specification
•	HPXAPPS-2842 [SFT_MPH][Services][First Use][L10N] Learn more link is not working for Hebrew language.
•	HPXAPPS-2891 [SFT_MPH][Core] Intermittently "myHP" logo is shown in wrong position in top bar for RTL (Arabic and Hebrew) languages.
•	HPXAPPS-2926 [PCDevicePg] Clicking on "Support" card is not navigating to proper page
•	HPXAPPS-2926 [PCDevicePg] Clicking on "Support" card is not navigating to proper page
•	HPXAPPS-2800 [Bell] Narrator reads Bell Interstitial side bar Notification messages and pop up notification Flyout as custom
•	HPXWC-13759 SIO2201684 - The output character show i when use lowercase j to rename pen in HPX\Pen control.
•	HPXSUP-1873 Migrate react components of VA to native-base based RN components
•	HPXWC-13142 [SFT_MPH][ContextAware][Accessibility] Cancel button space is not proper when we make text size bigger on Win10 platform
•	HPXWC-13431 [ContextAware] After adding first application, the whole pane shifts downwards
•	HPXAPPS-3021 [SNN]NecessaryNoticeShown reg key not updated when app upgraded from previous non SNN supported version of hpx
•	HPXWC-13173 [localization] Some card description text in pc device module is cut off in fr-CA and es-MX languages</t>
    </r>
  </si>
  <si>
    <t>9A Production RC6</t>
  </si>
  <si>
    <t>25.52339.812.0.A.1</t>
  </si>
  <si>
    <t>P0151E-B2U</t>
  </si>
  <si>
    <r>
      <rPr>
        <sz val="11"/>
        <color rgb="FFFF0000"/>
        <rFont val="Calibri"/>
        <family val="2"/>
      </rPr>
      <t xml:space="preserve">"NOTE: When testing, please turn off auto update in MS Store app first to avoid being automatically updated to the latest version on MS Store.
For 2024 NPI Arizona Refresh Only
</t>
    </r>
    <r>
      <rPr>
        <sz val="11"/>
        <color rgb="FF000000"/>
        <rFont val="Calibri"/>
        <family val="2"/>
      </rPr>
      <t xml:space="preserve">
Changes:
•	HPXAPPS-3248: [Settings][RC Branch] Version No. in About tab shows Null
•	HPXAPPS-3247: [HP Registration][RC Branch] Seeing HP Reg. page on every app launch
•	HPXAPPS-3254 [HPX][HPID][Production] User cannot sign up successful when user completed sign up in browser.</t>
    </r>
  </si>
  <si>
    <t>1. Home Page
2. Video Control
           - SmartCam v3.2309.106
3. HP Programmable Key
4. Privacy alert
5. Auto Screen Dimming
6. Support
7. Settings</t>
  </si>
  <si>
    <t>9A Production RC8</t>
  </si>
  <si>
    <t>25.52339.829.0.A.1</t>
  </si>
  <si>
    <t>P0151E-B2W</t>
  </si>
  <si>
    <r>
      <rPr>
        <sz val="11"/>
        <color rgb="FFFF0000"/>
        <rFont val="Calibri"/>
        <family val="2"/>
      </rPr>
      <t xml:space="preserve">"NOTE: When testing, please turn off auto update in MS Store app first to avoid being automatically updated to the latest version on MS Store.
For 2024 NPI Arizona Refresh Only
</t>
    </r>
    <r>
      <rPr>
        <sz val="11"/>
        <color rgb="FF000000"/>
        <rFont val="Calibri"/>
        <family val="2"/>
      </rPr>
      <t xml:space="preserve">
Changes:
•	HPXAPPS-2209 [SFT_MPH][OTA_FFT][DisplayControl][AIO] Few second delay loading Display Control and other cards under Home page and PC Device page
•	HPXWC-13823 [Pen] Pen Control Module is not visible in HPX application</t>
    </r>
  </si>
  <si>
    <t>26.42339.861.0.A.1</t>
  </si>
  <si>
    <t>P0151E-B2X</t>
  </si>
  <si>
    <r>
      <rPr>
        <sz val="11"/>
        <color rgb="FFFF0000"/>
        <rFont val="Calibri"/>
        <family val="2"/>
      </rPr>
      <t xml:space="preserve">"NOTE: When testing, please turn off auto update in MS Store app first to avoid being automatically updated to the latest version on MS Store.
"NOTE: With json file to enable features in Staging build, please re-sign in after OOBE to trigger the enablement
For 2024 NPI Platforms except Arizona Refresh
</t>
    </r>
    <r>
      <rPr>
        <sz val="11"/>
        <color rgb="FF000000"/>
        <rFont val="Calibri"/>
        <family val="2"/>
      </rPr>
      <t xml:space="preserve">
Changes:
•	Update SmartCam to v3.2310.108
•	HPXWC-13160 [SFT_MPH][Battery] Threshold percentage dropdown showing blank when we re-enable 'Power control' option in Bios settings
•	HPXWC-13875 [DisplayControl] The alignment of slider icons and app icons is not correct
•	HPXAPPS-3254 [HPX][HPID][Production] User cannot sign up successful when user completed sign up in browser.
•	HPXAPPS-3432 [Registration] Registration page missing
•	HPXAPPS-3354 [PCDevice] Unable to see most of the modules cards in PC device page action section
•	HPXWC-13502 [Touchpad][UI] Corresponding UI when 'Touchpad' turn off in OS settings.
•	HPXWC-13774 [System Control][Middleware] - API to read Smart Sense V2 support.
•	HPXWC-13574 [System Control][Middleware] - Redux and Saga implementation for Smart Sense V2
•	HPXWC-13575 [System Control][UI] - Display Smart Sense V2 modes
•	HPXWC-13573 [System Control][Native] - API to read Smart Sense V2 support.
•	HPXWC-13475 [Pen control] complete Battery tool tip text not coming in inspect tool on consumer machine.
•	HPXAPPS-2597 [Analytics] SNN should be displayed as part of hpx startup flow
•	HPXWC-13128 [Sys control][ELP] code rollback</t>
    </r>
  </si>
  <si>
    <t>1. Home Page
2. Video Control
           - SmartCam v3.2310.108
3. HP Programmable Key
4. Privacy alert
5. Auto Screen Dimming
6. Support
7. Settings
8. System Control
9. Battery Manager
10. Audio Control</t>
  </si>
  <si>
    <t>26.42340.870.0.A.1</t>
  </si>
  <si>
    <t>P015S9-B2A</t>
  </si>
  <si>
    <r>
      <rPr>
        <sz val="11"/>
        <color rgb="FFFF0000"/>
        <rFont val="Calibri"/>
        <family val="2"/>
      </rPr>
      <t xml:space="preserve">"NOTE: When testing, please turn off auto update in MS Store app first to avoid being automatically updated to the latest version on MS Store.
"NOTE: With json file to enable features in Staging build, please re-sign in after OOBE to trigger the enablement
For 2024 NPI Platforms except Arizona Refresh
</t>
    </r>
    <r>
      <rPr>
        <sz val="11"/>
        <color rgb="FF000000"/>
        <rFont val="Calibri"/>
        <family val="2"/>
      </rPr>
      <t xml:space="preserve">
Changes:
•	Update SmartCam to v3.2310.110
•	HPXAPPS-3652 "isUwpInstalled" from @enabling-services/systemproperties is broken
•	HPXWC-13956 [System Control][Fusion CASL SDK] - Update API to read Smart Sense V2 support
•	HPXWC-14059 Integrate Transations for Battery manager and System Control
•	HPXWC-13130 [UserDetect] implement RTK camera feature
•	HPXAPPS-3165 [SIO2207476] HPX first use flow(1st Launch in online mode) is not localized with EN language image(A2N).
•	HPXAPPS-3378 [PPR][NativeSetting][Feedback] Misalignment observed for the "text box(Provide any additional feedback)" and "Submit Feedback"
•	HPXAPPS-2797 [SFT_MPH][FirstUse][Services] Tab order is not navigating on each component of the page.
•	HPXAPPS-3171 [HomePage][CEC] Observed a cutoff on PC diagnostic Tools Card on resizing screen to smallest mode.
•	HPXWC-13303 [AudioControl][SpeakerConfig] Seeing cutoff on ft/db dropdowns on resizing screen to smallest mode.</t>
    </r>
  </si>
  <si>
    <t>1. Home Page
2. Video Control
           - SmartCam v3.2310.110
3. HP Programmable Key
4. Privacy alert
5. Auto Screen Dimming
6. Support
7. Settings
8. System Control
9. Battery Manager
10. Audio Control</t>
  </si>
  <si>
    <t>11A Staging</t>
  </si>
  <si>
    <t>27.42342.923.0.A.1</t>
  </si>
  <si>
    <t>P015S9-B2B</t>
  </si>
  <si>
    <r>
      <rPr>
        <sz val="11"/>
        <color rgb="FFFF0000"/>
        <rFont val="Calibri"/>
        <family val="2"/>
      </rPr>
      <t xml:space="preserve">"NOTE: When testing, please turn off auto update in MS Store app first to avoid being automatically updated to the latest version on MS Store.
"NOTE: With json file to enable features in Staging build, please re-sign in after OOBE to trigger the enablement
For 2024 NPI and 2024 Refresh CQ1 platforms
</t>
    </r>
    <r>
      <rPr>
        <sz val="11"/>
        <color rgb="FF000000"/>
        <rFont val="Calibri"/>
        <family val="2"/>
      </rPr>
      <t xml:space="preserve">
Changes:
•	HPXWC-13592 [SFT_MPH][OTA][AudioControl] HPX application crashes after plugin and plug out of USB Headset in Audio control
•	HPXWC-13569 [Display][Native] - Implement an event for brightness
•	HPXWC-13885 [Display][UI] - [Display][UI]Make Use HDR functionality in line with UX/UX
•	HPXWC-14250 [HPPK] Design &amp; refactor HPPK Main container for NEW UI
•	HPXWC-14383 [Pen][Commercial] Fix bugs from versions V1 and V2
•	HPXWC-12894 [SFT_MPH][PowerManager][Battery] On relaunching the HPX application or navigate from other modules. Battery percentage will change from 0% to current percentage
•	HPXAPPS-2204 [High Contrast] [Left Nav] Switching between high contrast modes, the selected tab shows the previous high contrast effect
•	HPXAPPS-4054 [SFT_MPH][OTA][Core][HighContrast] myHP Strings color is changing for 1-2 seconds in top left
•	HPXWC-14238 [Pen][Commercial] PPR review Observation for update UI layout feature
•	HPXAPPS-3668 [SFT_MPH][OTA][HomePage][Tab] Navigate through tab in Home page, text cut off of external cards is observed
•	HPXAPPS-3978 [HPX][SNN]: Link misalignment on SNN startup screen when text size is Maximum
•	HPXAPPS-4028 [HPX][SNN]: Text lines are congested on the SNN startup screen when the text size is set to maximum
•	HPXAPPS-4089 [SFT_MPH][Homepage] Nonactionable strings are getting highlighting when navigating through keyboard.
•	HPXAPPS-4112 [HPX][AUID] 'Connect' link in the 'You're offline' message lacks an AUID
•	 HPXAPPS-3044 [SFT_MPH][Battery][L10N] The tool tip edge showing opposite side and on resize the HPX window tool tip flicker while hover tool tip in HE language
•	HPXAPPS-3976 [BatteryManager] Tooltip info is not aligned to tooltip icon with Hebrew and Arabic languages.</t>
    </r>
  </si>
  <si>
    <t>1. Home Page
2. Video Control
           - SmartCam v3.2310.110
3. HP Programmable Key
4. Privacy alert
5. Auto Screen Dimming
6. Support
7. Settings
8. System Control
9. Battery Manager
10. Audio Control
11. Pen</t>
  </si>
  <si>
    <t>27.42343.929.0.A.1</t>
  </si>
  <si>
    <t>P015S9-B2C</t>
  </si>
  <si>
    <r>
      <rPr>
        <sz val="11"/>
        <color rgb="FFFF0000"/>
        <rFont val="Calibri"/>
        <family val="2"/>
      </rPr>
      <t xml:space="preserve">"NOTE: When testing, please turn off auto update in MS Store app first to avoid being automatically updated to the latest version on MS Store.
"NOTE: With json file to enable features in Staging build, please re-sign in after OOBE to trigger the enablement
For 2024 NPI and 2024 Refresh CQ1 platforms
</t>
    </r>
    <r>
      <rPr>
        <sz val="11"/>
        <color rgb="FF000000"/>
        <rFont val="Calibri"/>
        <family val="2"/>
      </rPr>
      <t xml:space="preserve">
Changes:
•	
•	HPXAPPS-4185 [Home] Settings page displayed rather than home page when first launch HPX
•	HPXAPPS-4263 [TopAppBar] Duplicate myHP Logo &amp; Text is displayed
•	HPXSUP-2463 [Support Home] [Device List]Use nativebase provided methods to determine screen width
•	HPXWC-14383 [Pen][Commercial] Fix bugs from versions V1 and V2
•	HPXAPPS-2686 [Communications] [HighContrast] Implement support for high contrast for bell msg v0.5.2
•	 HPXWC-14247 [HPPK] Design &amp; implement radio button layout for new UI of progkey
•	HPXWC-14254 [SIO2222463] 'Presets' and 'Equalizer' lose in myHP-&gt;Audio Control.(myHP:26.42339.861.0)
•	HPXWC-14196 [ContextAware][AppSettings] Parse inbox apps when updated or not fully loaded
•	HPXWC-14245 [HPPK] If user is selecting default option user config should get clear
Others:
•	HPXSUP-2445 [RN build][Device list] - The device list flashes on support home after sign out on device details page.
•	HPXAPPS-3731 [HomePage][CEC] disclaimer font size issue needs to be smaller
•	HPXAPPS-4103[HPX][Privacy][Tab]Using Tab button we are able to select the text on the "About your Privacy" page
•	HPXAPPS-702 [SFT_MPH][Homepage] Automated checks test is failing for Homepage
•	HPXG-614 Assist/guide Print core team with working in HPX framework
•	HPXWC-11084 SIO2190965 - The upper/lower button funciton of pen will restore to defaults function after resuming system from S4.
•	HPXAPPS-4170 [FuF] HP logo should not be tab interactable on registration and Privacy page.
•	HPXAPPS-3383 [SFT_MPH][ContextAware][Highcontrast] Search Icon is came down on applications page when high contrast theme are applied
•	HPXAPPS-4313 [SFT_MPH][NPSNotification] NPS notification is popping up even the "share your feedback" toggle button is on OFF state in notifications tab.
•	HPXAPPS-4154 [SFT_MPH][SNN][L10N] Improper spacing is observed between HPX app border and text when we resize screen.
•	HPXSUP-2461 [Sign in] - HPID page will always pop up after sign out automatically.
•	HPXSUP-2404 [RN Build] Leave and back to the Support home page, it shouldn't always call GET /devices/service/async
•	 HPXAPPS-3663 [SFT_MPH][Settings][Accessibility] Thank You Banner contents is overlapping when user set text size to maximum.
•	HPXAPPS-4008 [SFT_MPH][Registration][HighContrast] High Contrast theme is not applied Properly on Registration Page.
•	HPXAPPS-4219 [FUF] Registration page should not accept any character/Emojis as first and last name.</t>
    </r>
  </si>
  <si>
    <t>12A Staging</t>
  </si>
  <si>
    <t>28.42345.999.0.A.1</t>
  </si>
  <si>
    <t>P015S9-B2F</t>
  </si>
  <si>
    <r>
      <rPr>
        <sz val="11"/>
        <color rgb="FFFF0000"/>
        <rFont val="Calibri"/>
        <family val="2"/>
      </rPr>
      <t xml:space="preserve">"NOTE: When testing, please turn off auto update in MS Store app first to avoid being automatically updated to the latest version on MS Store.
"NOTE: With json file to enable features in Staging build, please re-sign in after OOBE to trigger the enablement
For 2024 NPI and 2024 Refresh CQ1 platforms
</t>
    </r>
    <r>
      <rPr>
        <sz val="11"/>
        <color rgb="FF000000"/>
        <rFont val="Calibri"/>
        <family val="2"/>
      </rPr>
      <t xml:space="preserve">
Changes:
•	HPXAPPS-4914 Multiple modules missing in latest staging build
•	HPXAPPS-4895 [SmartCam] Smart cam cannot launch when click video control on latest main branch
•	HPXWC-14874 Left section - show image on the basis of product number
•	HPXWC-14995 Listing modules in PCDevice
•	HPXWC-13936 [Sys Control][UI] Naming update from 'Thermal Settings' to 'Performance Control'
•	HPXWC-14617 [Display] [Middleware &amp; Native) Brightness support for Basic Settings
•	HPXWC-13580 [RTK SD/ST] Communication between frontend and backend Nuget
•	HPXAPPS-4193 [SFT_MPH][SNN][Accessibility] Auto check is failing for telemetry link in privacy page.
•	HPXWC-14627 [SFT_MPH][PenControl][Commercial] Scrolling is not till the end for the action window in the UI
•	HPXWC-13167 [SFT_MPH][PowerManager][Battery] End schedule notification not seen when we click on Clear schedule button
•	HPXWC-13221 [SFT_MPH][PowerManager][Battery] End schedule notifications are not trigger when we switch back to other charging options from Schedule battery charging
•	HPXWC-13881 [SFT_MPH][PowerManager][Battery] In scheduler notifications are triggering intermittently for the invalid peak shift
•	HPXWC-14857 [SFT_MPH][PCDevice][Analytics] Analytic data is not generating for 'Info' button.
•	HPXAPPS-4343 [SFT_MPH][Bell] On increasing the font size "Back" and "Done" buttons are getting cropped.
•	HPXWC-13101 [AudioControl] Audio presets shows up with delay.
•	HPXAPPS-4219 [FUF] Registration page should not accept any character/Emojis as first and last name.
•	HPXAPPS-4517 [SIO2226714] Home page shows Hello cvbxz than Hello there in HPX.
•	HPXAPPS-4413 [HPX][Privacy][FuF] Period sign incorrectly positioned at the start of lines when using Hebrew.
•	HPXWC-14587 [AudioControl] Speaker Configuration's settings cannot be remembered
•	HPXAPPS-2949 [HPX win app][prod] First Launch Welcome banner "HpxFirstWelcomeBanner0823" is displaying again even after relaunching the app multiple times</t>
    </r>
  </si>
  <si>
    <t>28.42346.1012.0.A.1</t>
  </si>
  <si>
    <t>P015S9-B2G</t>
  </si>
  <si>
    <r>
      <rPr>
        <sz val="11"/>
        <color rgb="FFFF0000"/>
        <rFont val="Calibri"/>
        <family val="2"/>
      </rPr>
      <t xml:space="preserve">"NOTE: When testing, please turn off auto update in MS Store app first to avoid being automatically updated to the latest version on MS Store.
For 2024 NPI and 2024 Refresh CQ1 platforms
</t>
    </r>
    <r>
      <rPr>
        <sz val="11"/>
        <color rgb="FF000000"/>
        <rFont val="Calibri"/>
        <family val="2"/>
      </rPr>
      <t xml:space="preserve">
Changes:
•	HPXWC-14928 SIO2228966/ SIO2229765 - [Alish2145I]Equalizer 10-ban values will change back to the previous custom settings when re-launch HPX Audio Control after manually adjusting the value and then clicking on the "Restore..." button.
•	HPXAPPS-4889 [SIO2230813] The webpage shown 'Page can't be reached' when click 'HP's Privacy Statement' link under HPX/Settings/Feedback
Stories:
•	HPXWC-15058 Scrollbar implementation for listing modules in PCDevice
•	HPXWC-14993 [Pen][Consumer] Implement caching logic for Pen module
•	HPXWC-15176 [Pen] Observation found Pen Control Module for Pen name edit and Battery
•	HPXAPPS-4569 [Analytics] Add RNC package building to get the config keys in the backgroundtask
•	HPXWC-14940 [HPPK] Match automation UI as figma design
•	HPXWC-15049 Header V4 - Tooltip and Icon hover for PCDevice new UI
•	HPXSUP-2557 [Support Home] Device list and VA parts are clickable
•	HPXAPPS-4656 [HomePage] Update banner CTA buttons as per API
•	HPXAPPS-4191[SFT_MPH][HighContrast][SettingsNative] High contrast color is not reflecting for "HP's Privacy Statement" hyperlink in the Feedback tab.
•	HPXAPPS-4370 [SFT_MPH][SettingsNative] Narrator is not narrating the hyperlink "HP's Privacy Statement" in the Feedback tab.
•	HPXWC-15121 [SIO2230950] : No extra option extend after click More in HPX Pen control button setting menu.
•	HPXAPPS-4347 [SFT_MPH][OTA][PCDevice] Product number and Serial number action items are not highlighting when switching through tab key.
•	HPXWC-15231 [Pen] Pen name Text and pen icon is not in center
•	HPXSUP-2386 [RN][Performance] - Sometimes- Sign in profile, Close HPX and then reopen, go to Support home page, the performance is not good
•	HPXAPPS-4739 [win-client][Pie] In Big text system setting "HpStoreGiftGuideHeroBanner1023" welcome banner text is cropped.</t>
    </r>
  </si>
  <si>
    <t>28.42347.1056.0.A.1</t>
  </si>
  <si>
    <t>P015S9-B2H</t>
  </si>
  <si>
    <r>
      <rPr>
        <sz val="11"/>
        <color rgb="FFFF0000"/>
        <rFont val="Calibri"/>
        <family val="2"/>
      </rPr>
      <t xml:space="preserve">"NOTE: When testing, please turn off auto update in MS Store app first to avoid being automatically updated to the latest version on MS Store.
For 2024 NPI and 2024 Refresh CQ1 platforms
</t>
    </r>
    <r>
      <rPr>
        <sz val="11"/>
        <color rgb="FF000000"/>
        <rFont val="Calibri"/>
        <family val="2"/>
      </rPr>
      <t xml:space="preserve">
Changes:
HPXWC-14724 [SFT_MPH][AppSettings-Display][AIO] Observed that we are not able to see night mode visual changes after adding any application to the application settings
HPXAPPS-4668 [SIO2227271/SIO2227895] HPX will auto close after launch it when user name is Traditional Chinese on AB0_TW system
HPXWC-15147 Faded effect for last option in listing modules in PCDevice
HPXAPPS-4540 [localization] Some card description text in pc device module is cut off in fr-CA and es-MX languages
HPXWC-15112 [HPPK] Unit test for util helper HPPK
HPXWC-15366 [SFT_MPH][OTA_FFT][PC Device] While navigating PC device to home page Observed Edit icon seen in PC device page.
HPXWC-15415 [PCDevice] The PN and SN numbers appear for a second when opening PCDevice
HPXAPPS-5265 [Navigation] Click support tile from Home page, it goes to Device details page unexpectedly
HPXWC-14942 SIO2227520 [Baymax] The camera's power state show D0 in device manager after closed all camera apps on desktop.
HPXWC-15468 SIO2235859 - [NB][Sandwalker][IEC][SCIT-SUS][Win10][22H2]: List "Eye Contact" in "Enhance" of video control(MyHP).</t>
    </r>
  </si>
  <si>
    <t>1. Home Page
2. Video Control
           - SmartCam v3.2310.116
3. HP Programmable Key
4. Privacy alert
5. Auto Screen Dimming
6. Support
7. Settings
8. System Control
9. Battery Manager
10. Audio Control
11. Pen</t>
  </si>
  <si>
    <t>1A Staging</t>
  </si>
  <si>
    <t>29.42348.1097.0.A.1</t>
  </si>
  <si>
    <t>P015S9-B2J</t>
  </si>
  <si>
    <r>
      <rPr>
        <sz val="11"/>
        <color rgb="FFFF0000"/>
        <rFont val="Calibri"/>
        <family val="2"/>
      </rPr>
      <t xml:space="preserve">"NOTE: When testing, please turn off auto update in MS Store app first to avoid being automatically updated to the latest version on MS Store.
For 2024 NPI and 2024 Refresh CQ1 platforms
</t>
    </r>
    <r>
      <rPr>
        <sz val="11"/>
        <color rgb="FF000000"/>
        <rFont val="Calibri"/>
        <family val="2"/>
      </rPr>
      <t xml:space="preserve">
Changes:
•	HPXAPPS-5423 [SIO2237693] No Registration page in HPX first use flow without completing registration page during OOBE
•	HPXWC-15580 [HPPK] Implement localization for new HPPK UI
•	HPXWC-15513 [HPPK] Open a new model with 'OK' and 'CANCLE' button on click of save button for default option 
•	HPXWC-15815 [HPPK] Write the Unit test cases for progkey and increase the Coverage %
•	 HPXWC-15517 [HPPK] Write the Unit test cases for Key Sequence files and increase the Coverage %
•	HPXWC-15697 [Pen Control] [Commercial] User Interface issues include Top button overlapping with Pen Image and a scrollbar in the sidebar touching the header border
•	HPXAPPS-1266 [Core] isLoggedIn not return correct value when launching HPX
•	HPXAPPS-5487 [HPX][SNN] Link cut off on a First Use Flow Privacy page when TAB navigating.
•	HPXAPPS-5486 [HPX][SNN] Text is being selected with link on a First Use Flow Privacy page when TAB navigating.
•	HPXWC-14558 [SFT_MPH][PenControl][Commercial] Flickering issues are observed for the highlighting features in the UI
•	HPXWC-15648 [Pen Control][Commercial] Hover-Click Toggle switch button does not turn ON when clicked
•	HPXWC-15649 [Pen Control][Commercial] 'Upper barrel button' Action level not changing and it is remains in its previous state, while changing actions 'Right Click' to 'Erase' or visa versa
•	HPXAPPS-5271 [SFT_CSS][OTA][SettingsNative] Narrator is not narrating the hyperlink "HP's Privacy Statement" in the Feedback tab.
•	HPXAPPS-5196 [SFT_CSS][OTA][Settings] Narrator is reading non actionable item by navigating through tab key
•	#6729 Disable Commercial Audio/8A </t>
    </r>
  </si>
  <si>
    <t>1. Home Page
2. Video Control
           - SmartCam v3.2310.116
3. HP Programmable Key
4. Privacy alert
5. Auto Screen Dimming
6. Support
7. Settings
8. System Control
9. Battery Manager
10. Pen</t>
  </si>
  <si>
    <t>12A RC3</t>
  </si>
  <si>
    <t>28.52349.1300.0.A.1</t>
  </si>
  <si>
    <t>P015S9-B2L</t>
  </si>
  <si>
    <r>
      <rPr>
        <sz val="11"/>
        <color rgb="FFFF0000"/>
        <rFont val="Calibri"/>
        <family val="2"/>
      </rPr>
      <t xml:space="preserve">"NOTE: When testing, please turn off auto update in MS Store app first to avoid being automatically updated to the latest version on MS Store.
For 2024 NPI and 2024 Refresh CQ1 platforms
</t>
    </r>
    <r>
      <rPr>
        <sz val="11"/>
        <color rgb="FF000000"/>
        <rFont val="Calibri"/>
        <family val="2"/>
      </rPr>
      <t xml:space="preserve">
Changes:
Known Issues:
•	HPXAPPS-4456 [Home][Performance] Home Page first use load time has increased by ~2 seconds between the .829 and .909 builds
•	HPXAPPS-4844 [HPX][Analytics] No data flow on Kibana after First Use Flow.
P1:
•	HPXWC-16083 [PenControl][Commercial] Pen module visible on non targeted devices
Stories:
•	HPXWC-16058 [AudioControl] Update 10A code to contain 12A logo logic for audio control
Others:
•	#6846 Rollback storybook hardcoding in startup</t>
    </r>
  </si>
  <si>
    <t>1. Home Page
2. Video Control
           - SmartCam v3.2310.116
3. HP Programmable Key
4. Privacy alert
5. Auto Screen Dimming
6. Support
7. Settings
8. System Control
9. Pen</t>
  </si>
  <si>
    <t>29.42350.1232.0.A.1</t>
  </si>
  <si>
    <t>P015S9-B2N</t>
  </si>
  <si>
    <r>
      <rPr>
        <sz val="11"/>
        <color rgb="FFFF0000"/>
        <rFont val="Calibri"/>
        <family val="2"/>
      </rPr>
      <t xml:space="preserve">"NOTE: When testing, please turn off auto update in MS Store app first to avoid being automatically updated to the latest version on MS Store.
For 2024 NPI  platforms with CFR  on or after 1/25
</t>
    </r>
    <r>
      <rPr>
        <sz val="11"/>
        <color rgb="FF000000"/>
        <rFont val="Calibri"/>
        <family val="2"/>
      </rPr>
      <t xml:space="preserve">
Changes:
•	HPXAPPS-4456 [Home][Performance] Home Page first use load time has increased by ~2 seconds between the .829 and .909 builds
•	HPXWC-16083 [PenControl][Commercial] Pen module visible on non targeted devices 
•	HPXAPPS-5482 Update profile icon to new design
•	HPXAPPS-5481 Update bell icon to new design
•	HPXAPPS-6084 Update Home/Welcome page alignments fix as per latest Figma
•	HPXAPPS-5336 [HomePage][Banner] Homepage banner text need to update the text, once we get it from the translation team.
•	HPXWC-16162 [Application Settings][PPR] Chevron Hover State is Incorrect
•	HPXWC-16122 [Application Settings][PPR] Add Application Button, Incorrect interior margin
•	HPXWC-15985 [SFT_MPH][HPPK] Tab navigates to background elements when open website dialogue box
•	HPXAPPS-5407 [Auth] Sign out is taking too long and the profile icon seems like its frozen
•	HPXWC-15888 SIO2230381 - [Func-DE][NB][Pen][IEC][Baymax13X][SI][Win11][23H2][FF][adhoc]: Cannot restore pen name "HP Rechargeable Active Pen G3" on "Device-Pen" page after click restore defaults.
•	HPXAPPS-5569 [SFT_CSS][OTA][SNN] Tab highlighter is highlighting the whole UI of the SNN page
•	HPXAPPS-5632 [SFT_CSS][Settings][HighContrast] The warning text color is not per the respective contrast mode suggests.
•	HPXWC-15739 [SFT_MPH][PCDevice] White shadow line observed when we minimize in Dark mode
•	HPXAPPS-5570 [SFT_CSS][OTA][Core] Narrator is selecting connect button 2 times in offline state
•	HPXWC-15889 [PC][PPR] Device Page Update, PPR Comments
•	HPXWC-16128 [Application Settings][PPR] Margins around the App Settings component are incorrect
•	HPXG-717 Extra entries "PrintHpSmart", "My Scan" on Nav bar.</t>
    </r>
  </si>
  <si>
    <r>
      <rPr>
        <sz val="11"/>
        <color rgb="FFFF0000"/>
        <rFont val="Calibri"/>
        <family val="2"/>
      </rPr>
      <t xml:space="preserve">"NOTE: When testing, please turn off auto update in MS Store app first to avoid being automatically updated to the latest version on MS Store.
2024 NPI platforms Freddo and Broncos also need to target 12A RC3
</t>
    </r>
    <r>
      <rPr>
        <sz val="11"/>
        <color rgb="FF000000"/>
        <rFont val="Calibri"/>
        <family val="2"/>
      </rPr>
      <t xml:space="preserve">
Changes:
Known Issues:
•	HPXAPPS-4456 [Home][Performance] Home Page first use load time has increased by ~2 seconds between the .829 and .909 builds
•	HPXAPPS-4844 [HPX][Analytics] No data flow on Kibana after First Use Flow.
P1:
•	HPXWC-16083 [PenControl][Commercial] Pen module visible on non targeted devices
Stories:
•	HPXWC-16058 [AudioControl] Update 10A code to contain 12A logo logic for audio control
Others:
•	#6846 Rollback storybook hardcoding in startup</t>
    </r>
  </si>
  <si>
    <t>29.42351.1251.0.A.1</t>
  </si>
  <si>
    <t>P015S9-B2P</t>
  </si>
  <si>
    <r>
      <rPr>
        <sz val="11"/>
        <color rgb="FFFF0000"/>
        <rFont val="Calibri"/>
        <family val="2"/>
      </rPr>
      <t xml:space="preserve">"NOTE: When testing, please turn off auto update in MS Store app first to avoid being automatically updated to the latest version on MS Store.
For 2024 NPI  platforms with CFR  on or after 1/25
</t>
    </r>
    <r>
      <rPr>
        <sz val="11"/>
        <color rgb="FF000000"/>
        <rFont val="Calibri"/>
        <family val="2"/>
      </rPr>
      <t xml:space="preserve">
Changes:
•	HPXAPPS-6378 [Settings] Settings page Privacy screen is showing Common Consent Screen
•	HPXWC-16332 [SIO2234213] Package_0" shows "C6" not "C10" after checking by Powerhouse_Mountain tool(4.19.4).
•	HPXWC-15887 SIO2230129 - [Func-DE][NB][Pen][IEC][Baymax13X][SI][Win11][23H2][FF][adhoc]: Battery icon show charging in myHP when pen is on charge.
•	HPXAPPS-6146 [AppBar] Add high contrast style for new Bell design
•	HPXAPPS-6304 [SFT_CSS][OTA][Core] On launching HPX application myHP logo is changing its location.
•	HPXWC-15094 [SFT_MPH][SmartSense V2] The disabled cards are selecting using the tab navigation
•	HPXAPPS-6106 [SFT_CSS][OTA][SettingsPage] In About &amp; Privacy pages while clicking on hyperlink icons it is not navigating to the browser.
•	#6793 [System Control] - Unit test cases to increase test coverage #trivial #6793
•	HPXAPPS-4761 List of feature flags on eng dashboard incorrect
•	HPXWC-15991 SIO2230112 - [Func-DE][NB][Pen][IEC][Baymax13X][SI][Win11][23H2][FF]: MyHP-Device-Pen not launched when click "More settings from your device manufacturer" in MS setting.
•	HPXWC-16008 SIO2239822 - [SFT_MPH][PowerManager][Commerical][Oaken16][[PV] The Full charge(Maximize) capacity is showing greater than Designed(New) capacity
•	HPXWC-16221 [SIO2239854] The HyperX logo in HPX show cut off on FHD Skus.
•	HPXWC-13463 [SFT_MPH][PowerManager][Battery]Battery health showing 'Replacement required' message and the charging status is none after kept the system idle overnight by set peak shift
•	HPXWC-15235 [SFT_MPH][PowerManager] [Consumer] Battery percentage and symbol showing null when system reaches 80% with 'Maximize battery health' is enabled
•	HPXWC-16240 [ContextAware][AppSettings] Chevron highlight on hover and click is not visible in high contrast themes
•	HPXWC-16214 [Pen Control][Commercial] When navigating using the tab key and subsequently pressing Enter, the expected Hover click info icon tooltip fails to display.
•	HPXWC-16281 [SFT_MPH][PenControl][Commercial] A space is observed between the Action list and the header of the module
•	HPXWC-16145 SIO2240483 - [NB][Olaf][SI][QTA][SCIT-NPI][IV][Win11][23H2]: The "Security Configuration Management" show cut off in myHP/ Programmable Key/Applications window.
•	HPXWC-15837 [ProgKey] Observation found in Automation UI .
•	HPXAPPS-5488 [HPX][SNN] The hyperlink "HP Privacy Statement" on the Settings-&gt; Privacy screen and SNN is redirecting to an incorrect webpage
•	HPXAPPS-5594 [SFT_CSS][OTA]Home][Accessibility] Non-Actionable items are getting highlighted while navigating through Tab key in Home Page without internet.
•	HPXWC-13342 [SFT_MPH][PowerManager][Battery] 'End/Start time missing' message appear when we replace start/end time with blank (--)
•	HPXWC-15400 SIO2229332 - [NB][Baymax14W][SI][IEC][SCIT-NPI][SIT][W70_002000][Win11][23H2]: Total(hours) does not show correctly after selecting -- in Start time/End time list in Battery manager.
•	HPXWC-15000 [SFT_MPH][PowerManager][Tab] Tab is not navigating to warning message displayed on the UI when Bios setting disabled
•	HPXWC-15753 [SFT_MPH][PowerManager] Radio buttons tool tips are not in proper position
•	HPXWC-14739 [SFT_MPH][PowerManager][Battery][L10N] Maximum capacity tool tip is overlapping with the value
•	HPXWC-16204 [SFT_MPH][HPPK] Text is not deleted when click cancel button ,navigate to programmable key/support key and back to Pc device key
•	HPXWC-16236 [SFT_MPH][HPPK] Radio button analytics id's are not generating
•	HPXWC-16207 [SFT_MPH][HPPK] Key sequence and text input cancel buttons are not same as per the figma
•	HPXWC-15318 [SFT_MPH][ContextAware] ContextAware module is not seen when we launch first time
•	HPXWC-14243 [SFT_MPH][Battery][PowerManager][Commercial] Start/End time strings are not aligned properly</t>
    </r>
  </si>
  <si>
    <t>29.42352.1257.0.A.1</t>
  </si>
  <si>
    <t>P015S9-B2R</t>
  </si>
  <si>
    <r>
      <rPr>
        <sz val="11"/>
        <color rgb="FFFF0000"/>
        <rFont val="Calibri"/>
        <family val="2"/>
      </rPr>
      <t xml:space="preserve">"NOTE: When testing, please turn off auto update in MS Store app first to avoid being automatically updated to the latest version on MS Store.
For 2024 NPI  platforms with CFR  on or after 1/25
For 2024 Refresh CQ1 DT platforms
</t>
    </r>
    <r>
      <rPr>
        <sz val="11"/>
        <color rgb="FF000000"/>
        <rFont val="Calibri"/>
        <family val="2"/>
      </rPr>
      <t xml:space="preserve">
Changes:
•	HPXAPPS-6075 [Deeplink] Support and SmartCam deeplink are not working properly.
•	HPXWC-16336 [UserDetect] correct get status/version API in Proximity sensor
•	HPXAPPS-6244 Add Secured/Developer Fusion info to the Engineering Dashboard
•	HPXWC-16341 [System Control] Implement the Performance Modes in mWS platforms
•	HPXAPPS-6308 [SFT_CSS][OTA][Core] After increasing text size to maximum "myHP" string in top left navbar is having cutoff issue after every relaunch
•	HPXSUP-2679 [HPPTU][SIO2240292][SIO2240901]"HP Performance Tune-up" cannot be minimized by clicking the icon on taskbar.
•	HPXAPPS-6160 [SIO2241975/SIO2240542/SIO2242233/SIO2244235/SIO2245372] 'Sorry, page not found' with 404 error shows out when clicking 'Pin apps' button of 'Pin apps to your taskbar' card of HPX home page.
•	HPXWC-16349 [SFT_MPH][HPPK] Without adding configurations, selected options are persistent on London platform.
•	HPXWC-16329 [PowerManager][Commerical] Tooltip Arrow pointer alignment is not proper
•	HPXAPPS-6265 [HPPK] After clicking enter key in Key sequence next line is getting add.
•	HPXAPPS-4533 [HPX][FirstUseFlow] The 'Learn more' link misalignment on First Use Flow screen in Spanish and Italian
•	HPXAPPS-6090 Strings composed of numbers are incorrectly cast to integers</t>
    </r>
  </si>
  <si>
    <t>29.42401.17.0.A.1</t>
  </si>
  <si>
    <t>P015S9-B2S</t>
  </si>
  <si>
    <r>
      <rPr>
        <sz val="11"/>
        <color rgb="FFFF0000"/>
        <rFont val="Calibri"/>
        <family val="2"/>
      </rPr>
      <t xml:space="preserve">"NOTE: When testing, please turn off auto update in MS Store app first to avoid being automatically updated to the latest version on MS Store.
For 2024 NPI  platforms with CFR  on or after 1/25
For 2024 Refresh CQ1 NB platforms
</t>
    </r>
    <r>
      <rPr>
        <sz val="11"/>
        <color rgb="FF000000"/>
        <rFont val="Calibri"/>
        <family val="2"/>
      </rPr>
      <t xml:space="preserve">
Changes:
•	HPXWC-16637 [AppSettingsDisplay] Application menu page keeps on loading intermittently 
•	HPXAPPS-4844 [HPX][Analytics] No data flow on Kibana after First Use Flow for 10 minutes. 
•	HPXAPPS-6293 [Crash] Launching myHP intermittently results in crash 
•	HPXAPPS-4949 [SFT_MPH][Core] Intermittently no module from the navigation bar is opening even on clicking multiple times
•	HPXWC-16380 [HPPK] Integrate translated strings for localization of new UI
•	HPXAPPS-5359 [SNN] Replace the use of the useStrictlyNecessaryNotice hook (Settings/FuF)
•	HPXWC-16577 [UserDetect] Update 3rd party libraries
•	HPXAPPS-6445 Refactor hp-af/navigator
•	HPXWC-16612 [SFT_MPH][PCDevice] When we click on devices card on pc device page it is not navigating to anywhere 
•	HPXAPPS-6523 [SFT_CSS][OTA][Settings][Accessibility] Narrator is reading Tabs as Text.</t>
    </r>
  </si>
  <si>
    <t>1A RC2</t>
  </si>
  <si>
    <t>29.52402.56.0.A.1</t>
  </si>
  <si>
    <t>P015S9-B2U</t>
  </si>
  <si>
    <r>
      <rPr>
        <sz val="11"/>
        <color rgb="FFFF0000"/>
        <rFont val="Calibri"/>
        <family val="2"/>
      </rPr>
      <t xml:space="preserve">"NOTE: When testing, please turn off auto update in MS Store app first to avoid being automatically updated to the latest version on MS Store.
For 2024 Refresh CQ1 NB platforms
</t>
    </r>
    <r>
      <rPr>
        <sz val="11"/>
        <color rgb="FF000000"/>
        <rFont val="Calibri"/>
        <family val="2"/>
      </rPr>
      <t xml:space="preserve">
Changes:
Known Issues:
•	HPXWC-16851[SFT_MPH][OTA_FFT][PCDevice] 'INFO' icon is missing in PC Device page 
•	HPXAPPS-5586 Remove old version of feature-switch library
•	HPXAPPS-5285 [CommonConsents] Show CommonConsents only for first launch flow.
•	HPXWC-16784 [SFT_MPH][PenControl][Commercial] Pen Sensitivity tab is not opening in the UI of the module
•	HPXAPPS-6293 [Crash] Launching myHP intermittently results in crash
•	HPXAPPS-4949 [SFT_MPH][Core] Intermittently no module from the navigation bar is opening even on clicking multiple times
•	HPXSUP-2735 [Support] Support on the left bar should not show as "24/7Pro live support"
•	HPXSUP-2662 Uninstall - Remove installed files for Support
•	HPXAPPS-5359 [SNN] Replace the use of the useStrictlyNecessaryNotice hook (Settings/FuF)
•	HPXWC-16291 [HPAC] Co-exist with HPAC standalone app
•	HPXAPPS-6485 [Privacy][CommonConsents] Manage Setting should show User Choices in Offline Mode
•	HPXWC-16520 [VideoControl] Not able to launch smartcam from PCdevice page.
•	HPXWC-16594 [SFT_MPH][ContextAware][Accessibility] Accessibility insights failed for Arrow keys on CA module
•	HPXWC-16367 [SFT_MPH][HPPK] Cut off is observed for cancel button in message pop up on increasing text size maximize
•	HPXAPPS-6620 [HPX] Copyright string on About screen is not up to date.
•	HPXG-845 App crashes after cancelling scan
•	HPXWC-15884 SIO2230126 - [Func-DE][NB][Pen][IEC][Baymax13X][SI][Win11][23H2][FF]: Upper barrel button defaults setting show Right click in "myhp - device - pen".
•	HPXG-834 Preview not displaying cancel options while scanning
•	HPXAPPS-6488 [HPX][SNN]Narrator is reading the myHP logo image on the title bar of the SNN startup screen
•	HPXAPPS-6478 [SFT_CSS][OTA][HPID] Tab is selecting avatar icon in offline state
•	HPXAPPS-6302 [SFT_CSS][OTA_FFT][SNN][Accessibility] "HP PRIVACY STATEMENT" is cut off while navigating through Tab key when text size is maximum
•	HPXAPPS-3231 [SFT_MPH][HomePage] Narrator not selecting icons on cards under "Next steps" section when navigating through Caps lock and arrow keys.
•	HPXWC-16599 [SFT_MPH][PCDevice] Narrator is reading as button instead of battery manager button in pc device page</t>
    </r>
  </si>
  <si>
    <t>29.42402.32.0.A.1</t>
  </si>
  <si>
    <t>P015S9-B2V</t>
  </si>
  <si>
    <r>
      <rPr>
        <sz val="11"/>
        <color rgb="FFFF0000"/>
        <rFont val="Calibri"/>
        <family val="2"/>
      </rPr>
      <t xml:space="preserve">"NOTE: When testing, please turn off auto update in MS Store app first to avoid being automatically updated to the latest version on MS Store.
For 2024 NPI  platforms with CFR  on or after 1/25
</t>
    </r>
    <r>
      <rPr>
        <sz val="11"/>
        <color rgb="FF000000"/>
        <rFont val="Calibri"/>
        <family val="2"/>
      </rPr>
      <t xml:space="preserve">
Changes:
•	HPXWC-16784 [SFT_MPH][PenControl][Commercial] Pen Sensitivity tab is not opening in the UI of the module
•	HPXWC-15709 [Sys Control][Focus mode] Nuget update
•	⁠HPXSUP-2662 Uninstall - Remove installed files for Support
•	⁠HPXAPPS-5285 [CommonConsents] Show CommonConsents only for first launch flow.
•	HPXAPPS-5586 Remove old version of feature-switch library
•	HPXWC-16520 [VideoControl] Not able to launch smartcam from PCdevice page.
•	HPXWC-16594 [SFT_MPH][ContextAware][Accessibility] Accessibility insights failed for Arrow keys on CA module
•	HPXWC-16367 [SFT_MPH][HPPK] Cut off is observed for cancel button in message pop up on increasing text size maximize
•	⁠HPXAPPS-6620 [HPX] Copyright string on About screen is not up to date.
•	⁠HPXG-845 App crashes after cancelling scan
•	⁠HPXWC-15884 SIO2230126 - [Func-DE][NB][Pen][IEC][Baymax13X][SI][Win11][23H2][FF]: Upper barrel button defaults setting show Right click in "myhp - device - pen"
•	⁠HPXG-834 Preview not displaying cancel options while scanning</t>
    </r>
  </si>
  <si>
    <t>2A Staging</t>
  </si>
  <si>
    <t>30.42403.48.0.A.1</t>
  </si>
  <si>
    <t>P015S9-B2W</t>
  </si>
  <si>
    <r>
      <rPr>
        <sz val="11"/>
        <color rgb="FFFF0000"/>
        <rFont val="Calibri"/>
        <family val="2"/>
      </rPr>
      <t xml:space="preserve">"NOTE: When testing, please turn off auto update in MS Store app first to avoid being automatically updated to the latest version on MS Store.
For 2024 NPI  platforms with CFR  on or after 1/25
</t>
    </r>
    <r>
      <rPr>
        <sz val="11"/>
        <color rgb="FF000000"/>
        <rFont val="Calibri"/>
        <family val="2"/>
      </rPr>
      <t xml:space="preserve">
Changes:
•	HPXWC-16848 [SFT_MPH][PenControl][Commercial] Pen Control module is not visible in HPX application with 1A RC2 v. 29.52402.56.0
•	HPXSUP-2760 [OCF][HPOSCheck] - Set the language is sr-Latn-RS, the UI of OSCheck isn't expected
•	HPXAPPS-6993 [CGQA] Overrides are not working
•	HPXWC-16832 [PCDevicePg] Old UI is visible on PC Device Page.
•	HPXAPPS-6990 [HPX] App keeps loading when re-launch the app with offline mode.
•	HPXAPPS-6973 Bump Major Version post 1A branching
•	HPXWC-16629 [HPPK] Support Keyboards events for updated react native version
•	HPXAPPS-6240 [Privacy][CommonConsents] Update Common Consent Screens to match figma
•	[UserDetection] Fix fusion manifest name mismatch #7143
•	HPXWC-16616 [SFT_MPH][PCDevice] Automated checks are failing for PC device page
•	HPXG-837 App Crashes after attempting to delete scanned items from the Rotate Bottom Nav bar
•	HPXWC-16609 [HPPK] Configurations are getting deleted automatically in key sequence.
•	HPXAPPS-5361 [SFT_CSS][OTA][HomePage] Color contrast highlighter of Accessibility insights for windows tool is not highlighting the icons of the cards under Take action section.
•	HPXAPPS-6404 [SFT_CSS][SNN][Analytics] AUID for telemetry link fails to appear post collecting psswlogs
•	HPXWC-16761 Automated check is failing for some of the strings in HPPK UI
•	HPXG-859 "Something went wrong" shows when clicking Rotate on Thumbnail screen after added images.
•	HPXWC-16772 [PenControl][Commercial] Unintended underline appears beneath the 'more' link, requiring removal.
•	HPXWC-16575 [SFT_MPH][SmartSenseV2][Tab] Tab is not navigating to warning message displayed on the UI when turn on the Battery saver mode
•	HPXWC-16596 SIO2245651 - [NB][Oaken][PV][QTA][SCIT-NPI][IV][Win11][23H2]: The string "Fully Charged" shows English in HPX_Battery Manager.
•	HPXAPPS-6729 [HPX][Settings][Privacy]Narrator is reading the "click here" hyperlink as "text" on the Settings -&gt; Privacy screen
•	HPXAPPS-6109 [SFT_CSS][OTA][Settings][Accessibility] In Privacy Page &amp; About Page while navigating through Tab Key and Narrator it is not narrating Links as Links
•	[UserDetection] Update Gesture OSD ⁠#7087
•	HPXWC-16591 [ContextAware] The checkbox and continue button in the pop-up window of delete application have no Analytics data
•	HPXWC-16588 [ContextAware] The add button for adding applications does not have Analytics data
•	HPXAPPS-6122 [HPX][Settings][Privacy] Narrator is not reading the last statement on the Settings -&gt; Privacy screen
•	HPXWC-16766 SIO2238376 - [Dogfood][ErnestoX][SI-R]: Power Saving modes option cannot be switched under myHP System control after connect external monitor thru docking</t>
    </r>
  </si>
  <si>
    <t>1A RC5</t>
  </si>
  <si>
    <t>29.52403.100.0.A.1</t>
  </si>
  <si>
    <t>P015S9-B2X</t>
  </si>
  <si>
    <r>
      <rPr>
        <sz val="11"/>
        <color rgb="FFFF0000"/>
        <rFont val="Calibri"/>
        <family val="2"/>
      </rPr>
      <t xml:space="preserve">"NOTE: When testing, please turn off auto update in MS Store app first to avoid being automatically updated to the latest version on MS Store.
For 2024 NPI Luisa and Ernesto
For 2024 Refresh CQ1 NB
</t>
    </r>
    <r>
      <rPr>
        <sz val="11"/>
        <color rgb="FF000000"/>
        <rFont val="Calibri"/>
        <family val="2"/>
      </rPr>
      <t xml:space="preserve">
Changes:
•	HPXWC-16821 [ContextAware] App setting bar is not visible in Display Control module
•	HPXWC-16578 [SFT_MPH][ContextAware] ContextAware module is not seen when we launch first
•	HPXAPPS-6032 [HPX][CEPRenderer]: Add feature flag control to updated CEP design in home page
•	HPXAPPS-6996 [SFT_CSS][HPID] Prepopulation is not working as Expected
•	HPXWC-16824 [SFT_MPH][SystemControl] High performance card is showing with RC. 1A HPX v.29.52402.49.0 on Workstation platform
•	HPXAPPS-7026 [Analytics] AUIDs for Navigation Panel fails to appear post collecting PSSW logs 
myHP application
•	HPXSUP-2760 [OCF][HPOSCheck] - Set the language is sr-Latn-RS, the UI of OSCheck isn't expected
•	HPXAPPS-6993 [CGQA] Overrides are not working
•	HPXWC-16848 [SFT_MPH][PenControl][Commercial] Pen Control module is not visible in HPX application with 1A RC2 v. 29.52402.56.0
•	HPXAPPS-6990 [HPX] App keeps loading when re-launch the app with offline mode.
•	HPXAPPS-6951 [Bell] Notification flyout and all controls in flyout is showing up old design
•	HPXWC-16851 [SFT_MPH][OTA_FFT][PCDevice] 'INFO' icon is missing in PC Device page
•	HPXAPPS-6912 [Home] Not properly highlighted on left nav menu when click "view all controls" in homepage.
•	HPXAPPS-6998 [SFT_MPH][OTA][Core] PC device is not highlighted in hamburger menu when pressing S3 keys in London unit
•	HPXAPPS-6680 [SFT_CSS][OTA_FFT][HomePage] " View all controls" is seen with store build 29.52401.17.0 on home page which is not as per figma.</t>
    </r>
  </si>
  <si>
    <t>30.42404.73.0.A.1</t>
  </si>
  <si>
    <t>P015S9-B2Y</t>
  </si>
  <si>
    <r>
      <rPr>
        <sz val="11"/>
        <color rgb="FFFF0000"/>
        <rFont val="Calibri"/>
        <family val="2"/>
      </rPr>
      <t xml:space="preserve">"NOTE: When testing, please turn off auto update in MS Store app first to avoid being automatically updated to the latest version on MS Store.
For 2024 NPI  platforms with CFR  on or after 2/8
</t>
    </r>
    <r>
      <rPr>
        <sz val="11"/>
        <color rgb="FF000000"/>
        <rFont val="Calibri"/>
        <family val="2"/>
      </rPr>
      <t xml:space="preserve">
Changes:
•	HPXAPPS-7026 [Analytics] AUIDs for Navigation Panel fails to appear post collecting PSSW logs
•	HPXWC-16578 [SFT_MPH][ContextAware] ContextAware module is not seen when we launch first time
•	HPXWC-16769 [PenControl][Commercial] Info Icon product number, serial number and firmware version buttons fail to deselect after pressing the tab key
•	HPXWC-16672 [SFT_MPH][OTA][HPPK] Increase the text size we observe function key and logo cut off.
•	HPXAPPS-6246 SIO2240058 - [SplendorR] Notifications in HPX show cut off on AB2 image.
•	HPXWC-16013 [SFT_MPH][AppSettingsDisplay][AIO] After resuming from sleep if user has added some app from app list to the Specific application, the display settings(mode/brightness) will be changed randomly for a while as the application settings switch automatically
•	HPXAPPS-4716 [HPX][Analytics] pcDetails event isn't triggered after the app's first launch.
•	HPXAPPS-6502 [Merged][SFT_CSS][HomePage] Narrator is narrating the description as button in the tiles instead of title.
•	HPXWC-16782 [Application Settings][Default Apps] Re-design the Inbox app APIs and event data to handle missing InboxApp events in case of late subscription from module
•	HPXAPPS-7409 [SFT_CSS][OTA_FFT][HomePage] The title of the Support card changes to "24/7 Pro live support" in transactional platform after fusion services stops.
•	HPXWC-16947 SIO2248548 - [NB][Luisa16][PV][IEC][SCIT-NPI][SIT][Win11][23H2]: The incorrect translation is listed in HPX\Battery manager\Battery health. (JP)</t>
    </r>
  </si>
  <si>
    <r>
      <t>2A Production
(</t>
    </r>
    <r>
      <rPr>
        <sz val="11"/>
        <color rgb="FFFF0000"/>
        <rFont val="Calibri"/>
        <family val="2"/>
      </rPr>
      <t>NOT FOR SHIPPING</t>
    </r>
    <r>
      <rPr>
        <sz val="11"/>
        <rFont val="Calibri"/>
        <family val="2"/>
      </rPr>
      <t>)</t>
    </r>
  </si>
  <si>
    <t>30.52405.135.0.A.1</t>
  </si>
  <si>
    <t>P015S9-B2Z</t>
  </si>
  <si>
    <r>
      <rPr>
        <sz val="11"/>
        <color rgb="FFFF0000"/>
        <rFont val="Calibri"/>
        <family val="2"/>
      </rPr>
      <t xml:space="preserve">"NOTE: When testing, please turn off auto update in MS Store app first to avoid being automatically updated to the latest version on MS Store.
NOTE: This build CANNOT be used for shipping!
For 2024 NPI 
</t>
    </r>
    <r>
      <rPr>
        <sz val="11"/>
        <color rgb="FF000000"/>
        <rFont val="Calibri"/>
        <family val="2"/>
      </rPr>
      <t xml:space="preserve">
Changes:
•	HPXAPPS-7270 [SFT_CSS][OTA_FFT][HPID] User initials are not visible in avatar icon after relaunching
•	HPXWC-17008 [feature-switch][ContextAware] Fix getFeatureFlag() function call to get the correct value of feature-switch
•	 HPXAPPS-7675 [SFT_CSS][OTA_FFT][Registration] Text Filed boxes are getting expanded when user enters more characters and entered texts are disappearing in Registration Page.
•	HPXWC-16976 Replace new default image in PCDevice Page
•	HPXWC-16560 [System Control] Bi-directional API win32 portion (nuget) - 2
•	HPXWC-17007 [Pen]Remove old UI code from pen module for both platforms
•	HPXAPPS-6310 [SFT_CSS][OTA][Core] Home Page is not highlighted in left nav for every relaunch of HPX app.
•	HPXWC-17020 [SFT_MPH][HPPK] Saved! text is different color in key sequence and text input keys
•	HPXWC-17085 [SFT_MPH][HPPK] Automation dropdown is not as per the figma
•	HPXAPPS-6649 [Analytics] Data loss for 10 minutes after changing consents from 'declined' to 'accepted'.
•	HPXAPPS-6915 [SFT_CSS][OTA_FFT][Core] "Back Button" is displayed on top left corner when user selects Home Page, Settings and Support Page (non-interstitial screen).
•	HPXWC-16431 [SmartExperience] Smart experience doesn't consistent with design
•	HPXAPPS-7360 [SFT_CSS][OTA_FFT][Registration] Emoji is being accepted in Email address Field In Registration page.
•	HPXWC-16815 [HPPK] Observation found in large text size.
•	HPXAPPS-6992 [SFT_CSS][OTA][Settings] The string submit feedback in feedback tab is not aligned on center when the text size is maximum.
•	HPXAPPS-7042 [SFT_MPH][OTA][Core] Offline message is not in proper alignment and overlaps with internet disconnected after changing text size to 225%
•	HPXAPPS-5327 [SFT_CSS][OTA][Core] Intermittently settings page is displaying after launching HPX app.
•	HPXWC-16944 [PenControl][Commercial] There's a gap on the configure key list when set different scale .
•	HPXWC-16378 [PCDevicePg] Icon is changed incorrectly when clicking Screen Time and Screen Distance on PC device page.
•	HPXWC-145 [Pen] Commercial Radial Menu
•	HPXWC-16384 [SIO2243939] Pen up and down button setting cannot be maintained after twice S5 in HPX(28.52349.1300.0).
•	HPXWC-16230 [SFT_MPH][HPPK] Narrator is narrating wrong text for default programmable key/myHP Support
•	HPXWC-16919 [SFT_MPH][HPPK][Accessibility] Narrator is reading twice for Application and Website when we navigate to first time while adding application and website
•	HPXWC-15142 [SFT_MPH][OTA_FFT][HPPK] Cut off of text is seen when we navigate through tab.
•	HPXAPPS-6579 [SFT_CSS][OTA_FFT][HomePage] Buttons in tiles doesn't match with new figma.
•	HPXWC-17038 [SFT_MPH][PenControl][Commercial] Pen Sensitivity title is missing in Sidebar for Contrast mode</t>
    </r>
  </si>
  <si>
    <t>2A RC3</t>
  </si>
  <si>
    <t>30.52407.200.0.A.1</t>
  </si>
  <si>
    <t>P016B6-B2B</t>
  </si>
  <si>
    <r>
      <rPr>
        <sz val="11"/>
        <color rgb="FFFF0000"/>
        <rFont val="Calibri"/>
        <family val="2"/>
      </rPr>
      <t xml:space="preserve">For 2024 NPI 
</t>
    </r>
    <r>
      <rPr>
        <sz val="11"/>
        <color rgb="FF000000"/>
        <rFont val="Calibri"/>
        <family val="2"/>
      </rPr>
      <t xml:space="preserve">
Changes:
•	Enabled Battery Manager
•	HPXAPPS-8197\[Crash] App crash when you launch app using Support deeplink
•	HPXAPPS-8265\[SFT_CSS][Registration] Error messages shown when we enter valid email id which have numerical in it.
•	HPXAPPS-8269\[Win-client] [windows] before tile refresh RFY section tile images are not loading
•	HPXAPPS-8207\[SFT_CSS][Registration] Error message is displaying after deleting the invalid credentials from text field
•	HPXAPPS-7343\[ReadyToMerge][Home] String of "Add a new profile picture" under in "Get the most out of HP" will show on home page.</t>
    </r>
  </si>
  <si>
    <t>1. Home Page
2. Video Control
           - SmartCam v3.2310.116
3. HP Programmable Key
4. Privacy alert
5. Auto Screen Dimming
6. Support
7. Settings
8. System Control
9. Pen
10. Battery Manager</t>
  </si>
  <si>
    <t>3A RC1</t>
  </si>
  <si>
    <t>31.52411.259.0.A.1</t>
  </si>
  <si>
    <t>P016B6-B2C</t>
  </si>
  <si>
    <r>
      <rPr>
        <sz val="11"/>
        <color rgb="FFFF0000"/>
        <rFont val="Calibri"/>
        <family val="2"/>
      </rPr>
      <t xml:space="preserve">For 2024 NPI  Bobcats, Stripes, Freddo
</t>
    </r>
    <r>
      <rPr>
        <sz val="11"/>
        <color rgb="FF000000"/>
        <rFont val="Calibri"/>
        <family val="2"/>
      </rPr>
      <t xml:space="preserve">
Changes:
•	HPXAPPS-8478 [non-HP] Only Settings displayed when launching the app on non-HP devices.
•	HPXAPPS-8522 [BR-Docks] The device menu exhibits unexpected behavior when the docking module selects a different device.
•	HPXAPPS-8527 [Privacy][non-HP] Privacy tab is missing when launching the app on non-HP device.
•	HPXAPPS-8795 [CommonConsents] settings&gt; privacy 'App privacy' section description and toggles are disappeared when user turns on toggle and goes to other section and comes back.
•	HPXWC-15515 [SFT_MPH][OTA_FFT][SmartExp] 'Activate SureView' button is not working.
•	HPXAPPS-8969 [SupportHome][SIO2258125] No device card show up in Support Home page
•	HPXWC-18136 [Application Settings] [Bar] [UI] Focused application should be selected on pressing enter/space bar using tab navigation
•	HPXWC-17097 [Dock] Adjustment of new function to navigation to Dock Station Page Based on Connection Status
•	HPXAPPS-5193 [CommonConsents] Write Unit Tests for First Use Common Consents (Part 1)
•	HPXWC-18375 [Pen] Support localization for sync settings epic
•	HPXAPPS-8293 [Privacy][Device][CommonConsents] Update purposeID's for managed / unmanaged PC device
•	HPXAPPS-7414 [CommonConsents] Update the target URL of the hyperlink in the privacy screen
•	HPXAPPS-9128 [Privacy][Device][CommonConsents] Save Computer Privacy Consents to Registry
•	HPXWC-18620 [Pen] Remove SSID logic from controlPenvisibility
•	HPXAPPS-8927 Remove Support Channel references from Repo
•	HPXWC-18341 [HPPK] Write schema for reducer of Menu Card &amp; Automation
•	HPXWC-17932 Backend support for myHP pen sync
•	HPXWC-18069 [Pen] Sync Pen setting in UI if action changed from outside myHP
•	HPXAPPS-8607 [HPX][Privacy Consents] There is a text cut off seen on the Privacy Consent screen as soon as the myHP app is launched
•	HPXWC-17629 [pen control] Edit pen name button analytics value is not as expected.
•	HPXWC-18093 [battery manager] [Name] [AUID] Name for maximize battery health, hrs not matching and missing AUID for clear schedule text
•	HPXWC-17416 [SFT_MPH][ContextAware] Text cutoff seen for some applications in application page when text size is bigger
•	HPXWC-17302 [SFT_MPH][PenControl][Commercial] Action list header has text-overlap for the top button and barrel buttons.
•	HPXAPPS-7634 [CommonConsents] Basic Functionality consent is not OptedIn after selecting 'Necessary Data Only'
•	HPXAPPS-8182 [CommonConsents] HP Privacy statement hyper link is not functional in Settings privacy Common consents screen
•	HPXWC-18306 [SFT_MPH][PowerManager][OTA_FFT] Tool tip flickering when resize the HPX window with text size increased
•	HPXAPPS-8992 [Analytics] pcDetails event is not generated and not sent to DataOS.
•	HPXWC-18340 [HPPK] Fetch ProgkeyConfig reducer from MFE
•	HPXWC-18106 [SFT_MPH][PenControl][Commercial] Default name of the Pen shows as "HP Rechargeable Pen" even if the pen is connected</t>
    </r>
  </si>
  <si>
    <t>3A RC2</t>
  </si>
  <si>
    <t>31.52412.274.0.A.1</t>
  </si>
  <si>
    <t>P016B6-B2D</t>
  </si>
  <si>
    <r>
      <rPr>
        <sz val="11"/>
        <color rgb="FFFF0000"/>
        <rFont val="Calibri"/>
        <family val="2"/>
      </rPr>
      <t xml:space="preserve">For 2024 NPI  Bobcats, Stripes, Freddo
</t>
    </r>
    <r>
      <rPr>
        <sz val="11"/>
        <color rgb="FF000000"/>
        <rFont val="Calibri"/>
        <family val="2"/>
      </rPr>
      <t xml:space="preserve">
Changes:
•	HPXAPPS-9485 [SFT_CSS][OTA_FFT][Settings] Privacy tab is displaying when there is no HpPrivacySettings Tab.
•	HPXWC-18338 Night Mode function is not working on Willie
•	HPXWC-18438 Integrate New SmartCam Build into HPX (For night mode issue)
•	HPXWC-18395 [Bug] HP.HpAiCamera.AiCameraFactory.RtkQueryCamCap() will has memory access violation issue with camera VID:04F8, PID:B80D REV: FB05</t>
    </r>
  </si>
  <si>
    <t>1. Home Page
2. Video Control
           - SmartCam v3.2403.146.21406
3. HP Programmable Key
4. Privacy alert
5. Auto Screen Dimming
6. Support
7. Settings
8. System Control
9. Pen
10. Battery Manager</t>
  </si>
  <si>
    <t>4A Staging</t>
  </si>
  <si>
    <t>32.42412.174.0.A.1</t>
  </si>
  <si>
    <t>P016B6-B2E</t>
  </si>
  <si>
    <r>
      <rPr>
        <sz val="11"/>
        <color rgb="FFFF0000"/>
        <rFont val="Calibri"/>
        <family val="2"/>
      </rPr>
      <t xml:space="preserve">For SnowWhite
</t>
    </r>
    <r>
      <rPr>
        <sz val="11"/>
        <color rgb="FF000000"/>
        <rFont val="Calibri"/>
        <family val="2"/>
      </rPr>
      <t xml:space="preserve">
Changes:
•	HPXAPPS-9485 [SFT_CSS][OTA_FFT][Settings] Privacy tab is displaying when there is no HpPrivacySettings Tab.
•	HPXWC-12698 [Pen][RadialMenu] Navigate to Pen main page from radial menu breadcrumb
•	HPXWC-18242 [System Control][Bi-directional] React method verification
•	HPXWC-18250 [Gesture][UI] Camera shutter close banner and Illustration message
•	HPXWC-18438 Integrate New SmartCam Build into HPX (For night mode issue)
•	HPXWC-14733 [SFT_MPH][PowerManager] Intermittently notifications are not triggering when the scheduler is set
•	HPXAPPS-8814 [SFT_CSS][OTA_FFT][Core] Not able to redirect to any module page through left nav, when we select using space bar.
•	HPXAPPS-7198 [SFT_CSS][NPSnotification] AUID analytics are not generating for NPS Notifications.
•	HPXSUP-2797 OSCheck [SIO2248818]- There is no response after clicked icon of 'Easy-Fix Diagnostics' in Russian language (ru).
•	HPXWC-18507 SIO2256694 - [ScreenDistance]No "Screen Distance" notification show up when user move too close to screen.
•	HPXWC-18280 [SFT_MPH][PenControl][Commercial][Corp] Pen control module is not visible in Corp Image
•	HPXAPPS-9186 NPS Notification is not showing up properly when setting is null (Upgrade only scenario)
•	HPXAPPS-9179 Getting device info lib failure in DropBox
•	HPXWC-18507 SIO2256694 - [ScreenDistance]No "Screen Distance" notification show up when user move too close to screen.
•	HPXWC-18444 SIO2256018 - [Gesture]The prompt message still pops up after checked "Do not show again" in myHP/Gesture.
•	[UserDetection] Add gesture debounce time #7893
•	HPXWC-15983 [SFT_MPH][PenControl] Pen module is not as expected when the screen is resized
•	HPXWC-17987 [SFT_MPH][OTA][PenControl][HighContrast][Commercial] White bar seen in bottom of the UI post minimizing</t>
    </r>
  </si>
  <si>
    <t>1. Home Page
2. Video Control
           - SmartCam v3.2403.146.21406
3. HP Programmable Key
4. Privacy alert
5. Auto Screen Dimming
6. Support
7. Settings
8. System Control
9. Pen
10. Battery Manager
11. Screen Time
12. Screen Distance
13. Gesture</t>
  </si>
  <si>
    <t>3A RC3</t>
  </si>
  <si>
    <t>31.52412.288.0.A.1</t>
  </si>
  <si>
    <t>P016B6-B2F</t>
  </si>
  <si>
    <r>
      <rPr>
        <sz val="11"/>
        <color rgb="FFFF0000"/>
        <rFont val="Calibri"/>
        <family val="2"/>
      </rPr>
      <t xml:space="preserve">"NOTE: When testing, please turn off auto update in MS Store app first to avoid being automatically updated to the latest version on MS Store.
For 2024 NPI  Bobcats, Stripes, Freddo
</t>
    </r>
    <r>
      <rPr>
        <sz val="11"/>
        <color rgb="FF000000"/>
        <rFont val="Calibri"/>
        <family val="2"/>
      </rPr>
      <t xml:space="preserve">
Changes:
•	HPXWC-18860 [SFT_MPH][OTA_FFT][PenControl][Commercial] Pen Control module is not working as expected with Dev signed v. 31.12412.2478.0 and Intermittently it is not working with 3A RC1 v. 31.52411.259.0
•	HPXAPPS-9769 [SFT_CSS][HPID][ARM][All devices] App crashes post signing out from existing user and creating another account with different initials</t>
    </r>
  </si>
  <si>
    <t>32.42413.195.0.A.1</t>
  </si>
  <si>
    <t>P016B6-B2G</t>
  </si>
  <si>
    <r>
      <rPr>
        <sz val="11"/>
        <color rgb="FFFF0000"/>
        <rFont val="Calibri"/>
        <family val="2"/>
      </rPr>
      <t xml:space="preserve">"NOTE: When testing, please turn off auto update in MS Store app first to avoid being automatically updated to the latest version on MS Store.
For SnowWhite
</t>
    </r>
    <r>
      <rPr>
        <sz val="11"/>
        <color rgb="FF000000"/>
        <rFont val="Calibri"/>
        <family val="2"/>
      </rPr>
      <t xml:space="preserve">
Changes:
•	HPXAPPS-8406 [CommonConsents] [SettingsPrivacy] Data transfer consent is missing for China region.
•	HPXAPPS-4949 [SFT_MPH][Core] Intermittently no module from the navigation bar is opening even on clicking multiple times
•	HPXWC-12722 [Pen][RadialMenu] Show configured actions in Radial wheel if user perform radial menu action by pen
•	HPXWC-18806 [Pen][Trio] trio pen hover/ active image implementation
•	HPXWC-18481 [System Control][Bi-directional] MSFT API update
•	HPXWC-15213 [Energy Consumption] Consumption Trend By
•	HPXWC-18563 [SFT_MPH][OTA][PenControl][Commercial] Battery icon is not expected as UI
•	HPXAPPS-5588 [Analytics] Multiple events on Settings-&gt;Privacy and About pages are not sending to DataOS.
•	HPXWC-18629 [Pen Control] [AUID]The same Analytics is coming for the Upper Barrel Hover toggle on/off
•	HPXWC-19030 [BR-Docks] Narrator Does Not Read Firmware Number Information.
•	HPXWC-19035 [Dock] Update dock images
•	HPXWC-18730 [SFT_MPH][PC Device][OTA] Product number and serial number under 'i' icon are highlighted with black color in high contrast when navigated by Tab button.
•	HPXWC-18743 [SFT_MPH][OTA_FFT][PC Device] Tab selected box and Copied text icon box overlapped post clicking on "i" icon using Tab key
•	HPXWC-18843 [SFT_MPH][OTA_FFT][PCDevice] Module name is not displaying as per the Figma in PC device.</t>
    </r>
  </si>
  <si>
    <t>4A RC2</t>
  </si>
  <si>
    <t>32.52414.341.0.A.1</t>
  </si>
  <si>
    <t>P016B6-B2H</t>
  </si>
  <si>
    <r>
      <rPr>
        <sz val="11"/>
        <color rgb="FFFF0000"/>
        <rFont val="Calibri"/>
        <family val="2"/>
      </rPr>
      <t xml:space="preserve">"NOTE: When testing, please turn off auto update in MS Store app first to avoid being automatically updated to the latest version on MS Store.
For 2024 NPI  Bobcats, Stripes
For 2024 OOC
</t>
    </r>
    <r>
      <rPr>
        <sz val="11"/>
        <color rgb="FF000000"/>
        <rFont val="Calibri"/>
        <family val="2"/>
      </rPr>
      <t xml:space="preserve">
Changes:
•	HPXAPPS-10169 [TopAppBar] Appbar not showing myHP Logo/Text and different color on FuF screens(Privacy Choice, HP Reg. page)
•	HPXWC-16679 [SIO2244311][SIO22323945] - [DT][FY24][SplendorR][PV][QTA][SCIT-NPI][HW][RPL-SR][RPL-S][ADL-S][U11_925900][Win11][23H2]:Internal mic will auto set to unmute from mute in HP audio control panel after plug headset.
•	HPXAPPS-10053 Suppress Auto launch on AI machines
•	HPXWC-19418 [BR-Docks] Dock name changes are not saved on closing and reopening the app.</t>
    </r>
  </si>
  <si>
    <t>1. Home Page
2. Video Control
           - SmartCam v3.2403.146.21406
3. HP Programmable Key
4. Privacy alert
5. Auto Screen Dimming
6. Support
7. Settings
8. System Control
9. Pen
10. Battery Manager
11. Docking</t>
  </si>
  <si>
    <t>5A Staging</t>
  </si>
  <si>
    <t>33.42415.225.0.A.1</t>
  </si>
  <si>
    <t>P016B6-B2J</t>
  </si>
  <si>
    <r>
      <rPr>
        <sz val="11"/>
        <color rgb="FFFF0000"/>
        <rFont val="Calibri"/>
        <family val="2"/>
      </rPr>
      <t xml:space="preserve">"NOTE: When testing, please turn off auto update in MS Store app first to avoid being automatically updated to the latest version on MS Store.
For SnowWhite
</t>
    </r>
    <r>
      <rPr>
        <sz val="11"/>
        <color rgb="FF000000"/>
        <rFont val="Calibri"/>
        <family val="2"/>
      </rPr>
      <t xml:space="preserve">
Changes:
•	HPXWC-19378 [SFT_MPH][EnergyConsumption] In Total Energy Consumption, app icons position is fixed when we are switching from last month to last week data
•	HPXAPPS-10169 [TopAppBar] Appbar not showing myHP Logo/Text and different color on FuF screens(Privacy Choice, HP Reg. page)
•	HPXWC-12678 [Pen][RadialMenu] Fix alignment issues for radial slices
•	HPXAPPS-10053 Suppress auto-launch of myHP (HPX) on AI machines
•	HPXWC-19450 [SmartExp] Create a schema structure for reducers within the Smart Experience module.
•	HPXWC-19206 [System Control][Bi-directional] Update the architecture flow
•	HPXWC-19418 [BR-Docks] Dock name changes are not saved on closing and reopening the app.
•	HPXWC-19313 [SFT_MPH][Dock_Station] USB connection status show "connected" if we disable the USB driver
•	HPXWC-17987 [SFT_MPH][OTA][PenControl][HighContrast][Commercial] White bar seen in bottom of the UI post minimizing
•	HPXWC-18865 [SFT_MPH][EnergyConsumption] In the PC Device section, Energy Consumption logo is not displayed
•	HPXWC-18714 [SFT_MPH][EnergyConsumption] Intermittently when we are launching the application, In Total Energy Consumption last week and last month power consuming apps data were not displayed.
•	HPXWC-19297 [SIO2261310] The 'disable pen buttons' and 'switch between apps' show cut off under barrel button of HPX/pen on AB8(TURK) image.
•	HPXAPPS-9159 [CommonConsents] Common Consents screen Format Text into bold as per Figma</t>
    </r>
  </si>
  <si>
    <t>1. Home Page
2. Video Control
           - SmartCam v3.2403.146.21406
3. HP Programmable Key
4. Privacy alert
5. Auto Screen Dimming
6. Support
7. Settings
8. System Control
9. Pen
10. Battery Manager
11. Screen Time
12. Screen Distance
13. Gesture
14. Docking</t>
  </si>
  <si>
    <t>33.42416.262.0.A.1</t>
  </si>
  <si>
    <t>P016B6-B2K</t>
  </si>
  <si>
    <r>
      <rPr>
        <sz val="11"/>
        <color rgb="FFFF0000"/>
        <rFont val="Calibri"/>
        <family val="2"/>
      </rPr>
      <t xml:space="preserve">"NOTE: When testing, please turn off auto update in MS Store app first to avoid being automatically updated to the latest version on MS Store.
For SnowWhite
</t>
    </r>
    <r>
      <rPr>
        <sz val="11"/>
        <color rgb="FF000000"/>
        <rFont val="Calibri"/>
        <family val="2"/>
      </rPr>
      <t xml:space="preserve">
Changes:
•	[HPXAPPS-10802] [Common Consent] Accepted Toggles from OOBE consent Computer privacy and the saved data (privacy tab) are not matching - HP-Jira
•	[HPXAPPS-10799] [Common Consent][Privacy Tab][All locals] Not able to edit the Consent settings in Privacy settings tab - HP-Jira
•	[HPXWC-19515] [System Control][Translation] May release implementation - HP-Jira
•	[HPXWC-19554] [HPPK] Change ProgkeyBase module to support the connection for MFE - HP-Jira
•	[HPXWC-19550] [HPPK] Develop UI for file and folder with functionality - Native Side Changes - HP-Jira
•	[HPXWC-18564] [SFT_MPH][EnergyConsumption] strings are not localized for the supported language for energy Consumption - HP-Jira
•	[HPXAPPS-10102] [Settings][Privacy] The toggle buttons get disabled if turning them off once - HP-Jira
•	[HPXWC-18560] [SFT_MPH][EnergyConsumption] Narrator is not reading the dropdown names properly and Hyperlinks are described as Text - HP-Jira
•	[HPXAPPS-9517] [Win-client] [Common Consent] Refactor Common Consents code - HP-Jira
•	[HPXAPPS-10217] [CommonConsents][CN- PIPL] Figma differences in Manage Choices page in OOBE already consented flow - HP-Jira
•	[HPXAPPS-10218] [CommonConsents]toggles are disabled in settings&gt;privacy in online mode. - HP-Jira
•	[HPXAPPS-10615] [CommonConsents][ES-ES] Data transfer toggle is shown in app privacy section - HP-Jira
•	[HPXAPPS-10116] [CommonConsents][Manage choices] Continue button doesn't navigate to home page if App consents toggles are enabled. - HP-Jira
•	[HPXAPPS-10115] [CommonConsents][Manage choices] Manage choices page missing advertising consent. - HP-Jira
•	[HPXAPPS-10224] [CommonConsents] Managed PC issues - HP-Jira
•	[HPXAPPS-10801] [Common Consent] OOBE flow consent options are saved automatically when we are editing and User relaunched the app without accepting any data. The consent is showing as accepted as per the edited value. - HP-Jira</t>
    </r>
  </si>
  <si>
    <t>1. Home Page
2. Video Control
           - SmartCam v3.2403.146.21406
3. HP Programmable Key
4. Privacy alert
5. Auto Screen Dimming
6. Support
7. Settings
8. System Control
9. Pen
10. Battery Manager
11. Screen Time
12. Screen Distance
13. Gesture
14. Docking
15. Energy Consumption</t>
  </si>
  <si>
    <t>33.42416.262.0.A.2</t>
  </si>
  <si>
    <t>P016B6-B2L</t>
  </si>
  <si>
    <r>
      <rPr>
        <sz val="11"/>
        <color rgb="FFFF0000"/>
        <rFont val="Calibri"/>
        <family val="2"/>
      </rPr>
      <t xml:space="preserve">"NOTE: When testing, please turn off auto update in MS Store app first to avoid being automatically updated to the latest version on MS Store.
For Baymax ONLY to test Audio Control
</t>
    </r>
    <r>
      <rPr>
        <sz val="11"/>
        <color rgb="FF000000"/>
        <rFont val="Calibri"/>
        <family val="2"/>
      </rPr>
      <t xml:space="preserve">
Changes:
•	[HPXAPPS-10802] [Common Consent] Accepted Toggles from OOBE consent Computer privacy and the saved data (privacy tab) are not matching - HP-Jira
•	[HPXAPPS-10799] [Common Consent][Privacy Tab][All locals] Not able to edit the Consent settings in Privacy settings tab - HP-Jira
•	[HPXWC-19515] [System Control][Translation] May release implementation - HP-Jira
•	[HPXWC-19554] [HPPK] Change ProgkeyBase module to support the connection for MFE - HP-Jira
•	[HPXWC-19550] [HPPK] Develop UI for file and folder with functionality - Native Side Changes - HP-Jira
•	[HPXWC-18564] [SFT_MPH][EnergyConsumption] strings are not localized for the supported language for energy Consumption - HP-Jira
•	[HPXAPPS-10102] [Settings][Privacy] The toggle buttons get disabled if turning them off once - HP-Jira
•	[HPXWC-18560] [SFT_MPH][EnergyConsumption] Narrator is not reading the dropdown names properly and Hyperlinks are described as Text - HP-Jira
•	[HPXAPPS-9517] [Win-client] [Common Consent] Refactor Common Consents code - HP-Jira
•	[HPXAPPS-10217] [CommonConsents][CN- PIPL] Figma differences in Manage Choices page in OOBE already consented flow - HP-Jira
•	[HPXAPPS-10218] [CommonConsents]toggles are disabled in settings&gt;privacy in online mode. - HP-Jira
•	[HPXAPPS-10615] [CommonConsents][ES-ES] Data transfer toggle is shown in app privacy section - HP-Jira
•	[HPXAPPS-10116] [CommonConsents][Manage choices] Continue button doesn't navigate to home page if App consents toggles are enabled. - HP-Jira
•	[HPXAPPS-10115] [CommonConsents][Manage choices] Manage choices page missing advertising consent. - HP-Jira
•	[HPXAPPS-10224] [CommonConsents] Managed PC issues - HP-Jira
•	[HPXAPPS-10801] [Common Consent] OOBE flow consent options are saved automatically when we are editing and User relaunched the app without accepting any data. The consent is showing as accepted as per the edited value. - HP-Jira</t>
    </r>
  </si>
  <si>
    <t>33.42416.262.0.A.3</t>
  </si>
  <si>
    <t>P016B6-B2M</t>
  </si>
  <si>
    <r>
      <rPr>
        <sz val="11"/>
        <color rgb="FFFF0000"/>
        <rFont val="Calibri"/>
        <family val="2"/>
      </rPr>
      <t xml:space="preserve">"NOTE: When testing, please turn off auto update in MS Store app first to avoid being automatically updated to the latest version on MS Store.
For 2024 OOC with CFR on and after 5/24
</t>
    </r>
    <r>
      <rPr>
        <sz val="11"/>
        <color rgb="FF000000"/>
        <rFont val="Calibri"/>
        <family val="2"/>
      </rPr>
      <t xml:space="preserve">
Changes:
•	[HPXAPPS-10802] [Common Consent] Accepted Toggles from OOBE consent Computer privacy and the saved data (privacy tab) are not matching - HP-Jira
•	[HPXAPPS-10799] [Common Consent][Privacy Tab][All locals] Not able to edit the Consent settings in Privacy settings tab - HP-Jira
•	[HPXWC-19515] [System Control][Translation] May release implementation - HP-Jira
•	[HPXWC-19554] [HPPK] Change ProgkeyBase module to support the connection for MFE - HP-Jira
•	[HPXWC-19550] [HPPK] Develop UI for file and folder with functionality - Native Side Changes - HP-Jira
•	[HPXWC-18564] [SFT_MPH][EnergyConsumption] strings are not localized for the supported language for energy Consumption - HP-Jira
•	[HPXAPPS-10102] [Settings][Privacy] The toggle buttons get disabled if turning them off once - HP-Jira
•	[HPXWC-18560] [SFT_MPH][EnergyConsumption] Narrator is not reading the dropdown names properly and Hyperlinks are described as Text - HP-Jira
•	[HPXAPPS-9517] [Win-client] [Common Consent] Refactor Common Consents code - HP-Jira
•	[HPXAPPS-10217] [CommonConsents][CN- PIPL] Figma differences in Manage Choices page in OOBE already consented flow - HP-Jira
•	[HPXAPPS-10218] [CommonConsents]toggles are disabled in settings&gt;privacy in online mode. - HP-Jira
•	[HPXAPPS-10615] [CommonConsents][ES-ES] Data transfer toggle is shown in app privacy section - HP-Jira
•	[HPXAPPS-10116] [CommonConsents][Manage choices] Continue button doesn't navigate to home page if App consents toggles are enabled. - HP-Jira
•	[HPXAPPS-10115] [CommonConsents][Manage choices] Manage choices page missing advertising consent. - HP-Jira
•	[HPXAPPS-10224] [CommonConsents] Managed PC issues - HP-Jira
•	[HPXAPPS-10801] [Common Consent] OOBE flow consent options are saved automatically when we are editing and User relaunched the app without accepting any data. The consent is showing as accepted as per the edited value. - HP-Jira</t>
    </r>
  </si>
  <si>
    <t>33.42417.277.0.A.1</t>
  </si>
  <si>
    <t>P016B6-B2R</t>
  </si>
  <si>
    <r>
      <rPr>
        <sz val="11"/>
        <color rgb="FFFF0000"/>
        <rFont val="Calibri"/>
        <family val="2"/>
      </rPr>
      <t xml:space="preserve">"NOTE: When testing, please turn off auto update in MS Store app first to avoid being automatically updated to the latest version on MS Store.
For SnowWhite
</t>
    </r>
    <r>
      <rPr>
        <sz val="11"/>
        <color rgb="FF000000"/>
        <rFont val="Calibri"/>
        <family val="2"/>
      </rPr>
      <t xml:space="preserve">
Changes:
•	[HPXAPPS-10944] Issue with using 'clientos/graphql-client' Library in HPX Release Builds - HP-Jira
•	[HPXWC-18841] [HPX][BiDirectional]: Implementing changes in Native Library - HP-Jira
•	[HPXWC-19668] [IntDisplay] Implement an UI for Basic Settings - HP-Jira
•	[HPXWC-19685] [Pen] Design schema for existing features - HP-Jira
•	[HPXWC-19686] [Pen] POC for 2 way communication between MFE and WinClient - HP-Jira
•	[HPXWC-16783] [System Control][Focus mode] Hide focus mode on non-admin account - HP-Jira
•	[HPXWC-18841] [HPX][BiDirectional]: Implementing changes in Native Library - HP-Jira
•	[HPXAPPS-10844] [DevOps] Auto-Pulling Branches without using a runner - HP-Jira
•	[HPXWC-19761] [Rebrand] Create base native-view for PC Audio - HP-Jira
•	[HPXWC-19640] [System] Focus mode implementation - Consumer - UI Review - HP-Jira
•	[HPXAPPS-11178] [CommonConsents][ITG][DEV] [OfflineMode] Consents fail to load when the app is relaunched in offline mode - HP-Jira</t>
    </r>
  </si>
  <si>
    <t>33.42417.277.0.A.2</t>
  </si>
  <si>
    <t>P016B6-B2S</t>
  </si>
  <si>
    <r>
      <rPr>
        <sz val="11"/>
        <color rgb="FFFF0000"/>
        <rFont val="Calibri"/>
        <family val="2"/>
      </rPr>
      <t xml:space="preserve">"NOTE: When testing, please turn off auto update in MS Store app first to avoid being automatically updated to the latest version on MS Store.
For Baymax ONLY to test Audio Control
</t>
    </r>
    <r>
      <rPr>
        <sz val="11"/>
        <color rgb="FF000000"/>
        <rFont val="Calibri"/>
        <family val="2"/>
      </rPr>
      <t xml:space="preserve">
Changes:
•	[HPXAPPS-10944] Issue with using 'clientos/graphql-client' Library in HPX Release Builds - HP-Jira
•	[HPXWC-18841] [HPX][BiDirectional]: Implementing changes in Native Library - HP-Jira
•	[HPXWC-19668] [IntDisplay] Implement an UI for Basic Settings - HP-Jira
•	[HPXWC-19685] [Pen] Design schema for existing features - HP-Jira
•	[HPXWC-19686] [Pen] POC for 2 way communication between MFE and WinClient - HP-Jira
•	[HPXWC-16783] [System Control][Focus mode] Hide focus mode on non-admin account - HP-Jira
•	[HPXWC-18841] [HPX][BiDirectional]: Implementing changes in Native Library - HP-Jira
•	[HPXAPPS-10844] [DevOps] Auto-Pulling Branches without using a runner - HP-Jira
•	[HPXWC-19761] [Rebrand] Create base native-view for PC Audio - HP-Jira
•	[HPXWC-19640] [System] Focus mode implementation - Consumer - UI Review - HP-Jira
•	[HPXAPPS-11178] [CommonConsents][ITG][DEV] [OfflineMode] Consents fail to load when the app is relaunched in offline mode - HP-Jira</t>
    </r>
  </si>
  <si>
    <t>33.42417.277.0.A.3</t>
  </si>
  <si>
    <t>P016B6-B2T</t>
  </si>
  <si>
    <r>
      <rPr>
        <sz val="11"/>
        <color rgb="FFFF0000"/>
        <rFont val="Calibri"/>
        <family val="2"/>
      </rPr>
      <t xml:space="preserve">"NOTE: When testing, please turn off auto update in MS Store app first to avoid being automatically updated to the latest version on MS Store.
For 2024 OOC with CFR on and after 5/24
</t>
    </r>
    <r>
      <rPr>
        <sz val="11"/>
        <color rgb="FF000000"/>
        <rFont val="Calibri"/>
        <family val="2"/>
      </rPr>
      <t xml:space="preserve">
Changes:
•	[HPXAPPS-10944] Issue with using 'clientos/graphql-client' Library in HPX Release Builds - HP-Jira
•	[HPXWC-18841] [HPX][BiDirectional]: Implementing changes in Native Library - HP-Jira
•	[HPXWC-19668] [IntDisplay] Implement an UI for Basic Settings - HP-Jira
•	[HPXWC-19685] [Pen] Design schema for existing features - HP-Jira
•	[HPXWC-19686] [Pen] POC for 2 way communication between MFE and WinClient - HP-Jira
•	[HPXWC-16783] [System Control][Focus mode] Hide focus mode on non-admin account - HP-Jira
•	[HPXWC-18841] [HPX][BiDirectional]: Implementing changes in Native Library - HP-Jira
•	[HPXAPPS-10844] [DevOps] Auto-Pulling Branches without using a runner - HP-Jira
•	[HPXWC-19761] [Rebrand] Create base native-view for PC Audio - HP-Jira
•	[HPXWC-19640] [System] Focus mode implementation - Consumer - UI Review - HP-Jira
•	[HPXAPPS-11178] [CommonConsents][ITG][DEV] [OfflineMode] Consents fail to load when the app is relaunched in offline mode - HP-Jira</t>
    </r>
  </si>
  <si>
    <t>33.42418.296.0.A.1</t>
  </si>
  <si>
    <t>P016B6-B2V</t>
  </si>
  <si>
    <r>
      <rPr>
        <sz val="11"/>
        <color rgb="FFFF0000"/>
        <rFont val="Calibri"/>
        <family val="2"/>
      </rPr>
      <t xml:space="preserve">"NOTE: When testing, please turn off auto update in MS Store app first to avoid being automatically updated to the latest version on MS Store.
For SnowWhite
</t>
    </r>
    <r>
      <rPr>
        <sz val="11"/>
        <color rgb="FF000000"/>
        <rFont val="Calibri"/>
        <family val="2"/>
      </rPr>
      <t xml:space="preserve">
Changes:
•	[HPXWC-19957] [SFT_MPH][EnergyConsumption][L10N] Daily average value is not showing correct when applied other languages. - HP-Jira
•	[HPXWC-19964] [Pen] Show Pen UI based on platform - HP-Jira
•	[HPXWC-19634] [HPPK] Use Mutation to dispatch action from MFE - HP-Jira
•	[HPXWC-19185] [Energy Consumption] Total Energy Consumption - UI Review - HP-Jira
•	[HPXWC-19885] [SFT_MPH][EnergyConsumption] upon resizing the app window, bullet points are not aligned in "Energy efficiency guides" - HP-Jira
•	[HPXWC-19865] [Pen Control][Commercial][Proximity] Consumer device displays proximity tooltip 'Bluetooth is off. while it should not be displayed on the consumer device - HP-Jira
•	[HPXWC-19526] [pen control] AUID missing for all right side panel texts - HP-Jira
•	[HPXWC-19821] [SystemControl] Observed Cut off on Performance control card tooltip info. - HP-Jira
•	[HPXWC-19847] [SFT_MPH][PCDevice] No outline is seen for information pop-up for 'i' icon in dark mode. - HP-Jira
•	[HPXWC-19890] [Bug] The information regarding docks is not being displayed correctly when multiple docks are connected. - HP-Jira
•	[HPXAPPS-10188] [CommonConsents][Manage choices] Device Consents missing Transfer consent for China machines. - HP-Jira
•	[HPXWC-19955] [SFT_MPH][EnergyConsumption][L10N] Low, medium and High strings under consumption trends graph are not localized in all supported languages - HP-Jira</t>
    </r>
  </si>
  <si>
    <t>33.42418.296.0.A.2</t>
  </si>
  <si>
    <t>P016B6-B2W</t>
  </si>
  <si>
    <r>
      <rPr>
        <sz val="11"/>
        <color rgb="FFFF0000"/>
        <rFont val="Calibri"/>
        <family val="2"/>
      </rPr>
      <t xml:space="preserve">"NOTE: When testing, please turn off auto update in MS Store app first to avoid being automatically updated to the latest version on MS Store.
For Baymax ONLY to test Audio Control
</t>
    </r>
    <r>
      <rPr>
        <sz val="11"/>
        <color rgb="FF000000"/>
        <rFont val="Calibri"/>
        <family val="2"/>
      </rPr>
      <t xml:space="preserve">
Changes:
•	[HPXWC-19957] [SFT_MPH][EnergyConsumption][L10N] Daily average value is not showing correct when applied other languages. - HP-Jira
•	[HPXWC-19964] [Pen] Show Pen UI based on platform - HP-Jira
•	[HPXWC-19634] [HPPK] Use Mutation to dispatch action from MFE - HP-Jira
•	[HPXWC-19185] [Energy Consumption] Total Energy Consumption - UI Review - HP-Jira
•	[HPXWC-19885] [SFT_MPH][EnergyConsumption] upon resizing the app window, bullet points are not aligned in "Energy efficiency guides" - HP-Jira
•	[HPXWC-19865] [Pen Control][Commercial][Proximity] Consumer device displays proximity tooltip 'Bluetooth is off. while it should not be displayed on the consumer device - HP-Jira
•	[HPXWC-19526] [pen control] AUID missing for all right side panel texts - HP-Jira
•	[HPXWC-19821] [SystemControl] Observed Cut off on Performance control card tooltip info. - HP-Jira
•	[HPXWC-19847] [SFT_MPH][PCDevice] No outline is seen for information pop-up for 'i' icon in dark mode. - HP-Jira
•	[HPXWC-19890] [Bug] The information regarding docks is not being displayed correctly when multiple docks are connected. - HP-Jira
•	[HPXAPPS-10188] [CommonConsents][Manage choices] Device Consents missing Transfer consent for China machines. - HP-Jira
•	[HPXWC-19955] [SFT_MPH][EnergyConsumption][L10N] Low, medium and High strings under consumption trends graph are not localized in all supported languages - HP-Jira</t>
    </r>
  </si>
  <si>
    <t>33.42418.296.0.A.3</t>
  </si>
  <si>
    <t>P016B6-B2X</t>
  </si>
  <si>
    <r>
      <rPr>
        <sz val="11"/>
        <color rgb="FFFF0000"/>
        <rFont val="Calibri"/>
        <family val="2"/>
      </rPr>
      <t xml:space="preserve">"NOTE: When testing, please turn off auto update in MS Store app first to avoid being automatically updated to the latest version on MS Store.
For 2024 OOC with CFR on and after 5/30
For 2024 Sustaining CQ3
</t>
    </r>
    <r>
      <rPr>
        <sz val="11"/>
        <color rgb="FF000000"/>
        <rFont val="Calibri"/>
        <family val="2"/>
      </rPr>
      <t xml:space="preserve">
Changes:
•	[HPXWC-19957] [SFT_MPH][EnergyConsumption][L10N] Daily average value is not showing correct when applied other languages. - HP-Jira
•	[HPXWC-19964] [Pen] Show Pen UI based on platform - HP-Jira
•	[HPXWC-19634] [HPPK] Use Mutation to dispatch action from MFE - HP-Jira
•	[HPXWC-19185] [Energy Consumption] Total Energy Consumption - UI Review - HP-Jira
•	[HPXWC-19885] [SFT_MPH][EnergyConsumption] upon resizing the app window, bullet points are not aligned in "Energy efficiency guides" - HP-Jira
•	[HPXWC-19865] [Pen Control][Commercial][Proximity] Consumer device displays proximity tooltip 'Bluetooth is off. while it should not be displayed on the consumer device - HP-Jira
•	[HPXWC-19526] [pen control] AUID missing for all right side panel texts - HP-Jira
•	[HPXWC-19821] [SystemControl] Observed Cut off on Performance control card tooltip info. - HP-Jira
•	[HPXWC-19847] [SFT_MPH][PCDevice] No outline is seen for information pop-up for 'i' icon in dark mode. - HP-Jira
•	[HPXWC-19890] [Bug] The information regarding docks is not being displayed correctly when multiple docks are connected. - HP-Jira
•	[HPXAPPS-10188] [CommonConsents][Manage choices] Device Consents missing Transfer consent for China machines. - HP-Jira
•	[HPXWC-19955] [SFT_MPH][EnergyConsumption][L10N] Low, medium and High strings under consumption trends graph are not localized in all supported languages - HP-Jira</t>
    </r>
  </si>
  <si>
    <t>6A Staging</t>
  </si>
  <si>
    <t>34.42419.318.0.A.1</t>
  </si>
  <si>
    <t>P016B6-B2Z</t>
  </si>
  <si>
    <r>
      <rPr>
        <sz val="11"/>
        <color rgb="FFFF0000"/>
        <rFont val="Calibri"/>
        <family val="2"/>
      </rPr>
      <t xml:space="preserve">"NOTE: When testing, please turn off auto update in MS Store app first to avoid being automatically updated to the latest version on MS Store.
For SnowWhite
For 2024 OOC with CFR on and after 5/30
For 2024 Sustaining CQ3
</t>
    </r>
    <r>
      <rPr>
        <sz val="11"/>
        <color rgb="FF000000"/>
        <rFont val="Calibri"/>
        <family val="2"/>
      </rPr>
      <t xml:space="preserve">
Changes:
•	[HPXWC-19309] [Gesture][UI] High contrast implement - 2 - HP-Jira
•	[HPXWC-19440] [User Detection] Integrate the (mock) native APIs for "Presence Detection" with App - HP-Jira
•	[HPXWC-19996] [HPX][BiDirectional]: Code Cleanup in Consumer System Control nuget - HP-Jira
•	[HPXWC-20069] [Pen] Hide proximity UI on non BT supported Pens - HP-Jira
•	[HPXWC-19529] [ScreenTime] Observed a dynamic change of the logo while interacting with the screentime under PCDevice page. - HP-Jira
•	[HPXAPPS-11852] [CommonConsents] All three Device Consent toggles on Manage choices page have same AUID. - HP-Jira
•	[HPXWC-20053] [SFT_MPH][OTA][PCDevice] Battery icon is showing the charging status when navigate back to PC device page - HP-Jira
•	[HPXWC-19245] [SFT_MPH][PCDevice] The PC image is not responsive when maximizing and minimizing the hpx application window for single module supported platform. - HP-Jira</t>
    </r>
  </si>
  <si>
    <t>34.42419.318.0.A.2</t>
  </si>
  <si>
    <t>P016VA-B2A</t>
  </si>
  <si>
    <r>
      <rPr>
        <sz val="11"/>
        <color rgb="FFFF0000"/>
        <rFont val="Calibri"/>
        <family val="2"/>
      </rPr>
      <t xml:space="preserve">"NOTE: When testing, please turn off auto update in MS Store app first to avoid being automatically updated to the latest version on MS Store.
For Baymax ONLY to test Audio Control
</t>
    </r>
    <r>
      <rPr>
        <sz val="11"/>
        <color rgb="FF000000"/>
        <rFont val="Calibri"/>
        <family val="2"/>
      </rPr>
      <t xml:space="preserve">
Changes:
•	[HPXWC-19309] [Gesture][UI] High contrast implement - 2 - HP-Jira
•	[HPXWC-19440] [User Detection] Integrate the (mock) native APIs for "Presence Detection" with App - HP-Jira
•	[HPXWC-19996] [HPX][BiDirectional]: Code Cleanup in Consumer System Control nuget - HP-Jira
•	[HPXWC-20069] [Pen] Hide proximity UI on non BT supported Pens - HP-Jira
•	[HPXWC-19529] [ScreenTime] Observed a dynamic change of the logo while interacting with the screentime under PCDevice page. - HP-Jira
•	[HPXAPPS-11852] [CommonConsents] All three Device Consent toggles on Manage choices page have same AUID. - HP-Jira
•	[HPXWC-20053] [SFT_MPH][OTA][PCDevice] Battery icon is showing the charging status when navigate back to PC device page - HP-Jira
•	[HPXWC-19245] [SFT_MPH][PCDevice] The PC image is not responsive when maximizing and minimizing the hpx application window for single module supported platform. - HP-Jira</t>
    </r>
  </si>
  <si>
    <t>1. Home Page
2. Video Control
           - SmartCam v3.2403.146.21406
3. HP Programmable Key
4. Privacy alert
5. Auto Screen Dimming
6. Support
7. Settings
8. System Control
9. Pen
10. Battery Manager
11. Screen Time
12. Screen Distance
13. Gesture
14. Docking
15. Energy Consumption
16. Audio Control</t>
  </si>
  <si>
    <t>34.42420.332.0.A.1</t>
  </si>
  <si>
    <t>P016VA-B2B</t>
  </si>
  <si>
    <r>
      <rPr>
        <sz val="11"/>
        <color rgb="FFFF0000"/>
        <rFont val="Calibri"/>
        <family val="2"/>
      </rPr>
      <t xml:space="preserve">"NOTE: When testing, please turn off auto update in MS Store app first to avoid being automatically updated to the latest version on MS Store.
For SnowWhite
For 2024 OOC with CFR on and after 5/30
For 2024 Sustaining CQ3
</t>
    </r>
    <r>
      <rPr>
        <sz val="11"/>
        <color rgb="FF000000"/>
        <rFont val="Calibri"/>
        <family val="2"/>
      </rPr>
      <t xml:space="preserve">
Changes:
•	[HPXWC-20102] [ApplicationSettings][ContextAware]Create Native View for ContextAware rebranding - HP-Jira
•	[HPXAPPS-11848] [CommonConsents][Privacy] Toggles for App Consents on a Privacy tab are missing AUIDs. - HP-Jira
•	[HPXWC-17908] Get Battery status and level from PCDeviceBase to MFE - HP-Jira
•	[HPXWC-20251] [System Control][Power Saver] description translation update - June batch - HP-Jira
•	[HPXAPPS-10644] [ExitSurvey]Implement Backend Resolver to exit beta experience. - HP-Jira
•	[HPXAPPS-11548] [CommonConsents] Transfer consent for Computer privacy fails to read from AllowTransferOutOfCountry registry key for PIPL. - HP-Jira
•	[HPXAPPS-11543] [CommonConsents] Transfer consent for Computer privacy is displayed on Manage choices page based on system region instead of the "TransferOutConsentRequired" registry key value. - HP-Jira
•	[HPXAPPS-11807] [Common Consent] Accept All, Decline all Options and Manage options texts are not in Bold for all Locals except us-en - HP-Jira
•	[HPXAPPS-12079] [Common Consents][Offline Mode] Unsupported PurposeId in US region is getting optedIN when consented in OOBE flow through Accept All Button - HP-Jira
•	[HPXAPPS-11872] [SFT_CSS][OTA_FFT][HPID] Links are not responding in Go to my account page. - HP-Jira
•	[HPXWC-20121] [SFT_MPH][OTA][PCDevice] UI flickers when we navigate back to pc device from any module - HP-Jira</t>
    </r>
  </si>
  <si>
    <t>34.42420.332.0.A.2</t>
  </si>
  <si>
    <t>P016VA-B2C</t>
  </si>
  <si>
    <r>
      <rPr>
        <sz val="11"/>
        <color rgb="FFFF0000"/>
        <rFont val="Calibri"/>
        <family val="2"/>
      </rPr>
      <t xml:space="preserve">"NOTE: When testing, please turn off auto update in MS Store app first to avoid being automatically updated to the latest version on MS Store.
For Baymax ONLY to test Audio Control
</t>
    </r>
    <r>
      <rPr>
        <sz val="11"/>
        <color rgb="FF000000"/>
        <rFont val="Calibri"/>
        <family val="2"/>
      </rPr>
      <t xml:space="preserve">
Changes:
•	[HPXWC-20102] [ApplicationSettings][ContextAware]Create Native View for ContextAware rebranding - HP-Jira
•	[HPXAPPS-11848] [CommonConsents][Privacy] Toggles for App Consents on a Privacy tab are missing AUIDs. - HP-Jira
•	[HPXWC-17908] Get Battery status and level from PCDeviceBase to MFE - HP-Jira
•	[HPXWC-20251] [System Control][Power Saver] description translation update - June batch - HP-Jira
•	[HPXAPPS-10644] [ExitSurvey]Implement Backend Resolver to exit beta experience. - HP-Jira
•	[HPXAPPS-11548] [CommonConsents] Transfer consent for Computer privacy fails to read from AllowTransferOutOfCountry registry key for PIPL. - HP-Jira
•	[HPXAPPS-11543] [CommonConsents] Transfer consent for Computer privacy is displayed on Manage choices page based on system region instead of the "TransferOutConsentRequired" registry key value. - HP-Jira
•	[HPXAPPS-11807] [Common Consent] Accept All, Decline all Options and Manage options texts are not in Bold for all Locals except us-en - HP-Jira
•	[HPXAPPS-12079] [Common Consents][Offline Mode] Unsupported PurposeId in US region is getting optedIN when consented in OOBE flow through Accept All Button - HP-Jira
•	[HPXAPPS-11872] [SFT_CSS][OTA_FFT][HPID] Links are not responding in Go to my account page. - HP-Jira
•	[HPXWC-20121] [SFT_MPH][OTA][PCDevice] UI flickers when we navigate back to pc device from any module - HP-Jira</t>
    </r>
  </si>
  <si>
    <t>34.42421.380.0.A.1</t>
  </si>
  <si>
    <t>P016VA-B2D</t>
  </si>
  <si>
    <r>
      <rPr>
        <sz val="11"/>
        <color rgb="FFFF0000"/>
        <rFont val="Calibri"/>
        <family val="2"/>
      </rPr>
      <t xml:space="preserve">"NOTE: When testing, please turn off auto update in MS Store app first to avoid being automatically updated to the latest version on MS Store.
For SnowWhite
For 2024 OOC with CFR on and after 5/30
For 2024 OOC2
For 2024 Sustaining CQ3
</t>
    </r>
    <r>
      <rPr>
        <sz val="11"/>
        <color rgb="FF000000"/>
        <rFont val="Calibri"/>
        <family val="2"/>
      </rPr>
      <t xml:space="preserve">
Changes:
•	[HPXWC-20385] [SFT_MPH][SystemControl] Bi-Directional Sync is not happening from HPX to windows settings in DC mode - HP-Jira
•	[HPXWC-18168] [Screen Time][Translation] Update June batch - HP-Jira
•	[HPXWC-20286] [HPX-R] [BM][UI]- For Battery manager base native-view, Do navItem registration in saga and add translation - HP-Jira
•	[HPXWC-20252] [Gesture][Translation] Update June batch - HP-Jira
•	[HPXWC-20285] [HPX-R] [SysCtrl] [UI]-Create query and mutation resolvers in Schema File for V2 supported Card for Workstation platforms - HP-Jira
•	[HPXWC-20273] [HPX-R] [SysCtrl][UI]- For System Control base native-view, Do navItem registration in saga and add translation - HP-Jira
•	[HPXWC-20253] SIO2268635 - [SIT][SWT-SW][LNL-MX][Win11]The information content show grey when clicked "i" in System Control UI with HPX. - HP-Jira
•	[HPXWC-20420] [SFT_MPH][SystemControl][AMD][L10N] Power saver mode tooltip message is not aligned properly on AR and HE language - HP-Jira
•	[HPXAPPS-12079] [Common Consents][Offline Mode] Unsupported PurposeId in US region is getting optedIN when consented in OOBE flow through Accept All Button - HP-Jira
•	[HPXAPPS-12139] [CommonConsents][TW-ZH&amp;HK-ZH] [AppPrivacy][OfflineMode]Unintended Toggle Activation in Manage Choices Page and Absence of Toggles in Settings&gt;Privacy Section - HP-Jira
•	[HPXAPPS-12136] [CommonConsent][tw-zh&amp;hk-zh] Data transfer toggle turned on by Default on both OOBE and non-OOBE flow on Traditional Chinese locals(tw-zh, hk-zh) - HP-Jira
•	[HPXAPPS-12231] [Common Consents] Managed True For ZH-TW and ZH-CN single toggle being shown in Settings Privacy Tab - HP-Jira
•	[HPXAPPS-12642] [SFT_CSS][Commonconsent][L10N] Some content is not matching in app privacy and computer privacy page in French Language. - HP-Jira
•	[HPXAPPS-12646] [SFT_CSS][Commonconsent][L10N] Product Improvement consent data is not matching with the translation file in app consent page in French Language. - HP-Jira
•	[HPXAPPS-12650] [SFT_CSS][CommonConsent][L10N] "HP" string is missing in app privacy and computer privacy page in Ukrainian and Basque languages. - HP-Jira</t>
    </r>
  </si>
  <si>
    <t>34.42421.380.0.A.2</t>
  </si>
  <si>
    <t>P016VA-B2E</t>
  </si>
  <si>
    <r>
      <rPr>
        <sz val="11"/>
        <color rgb="FFFF0000"/>
        <rFont val="Calibri"/>
        <family val="2"/>
      </rPr>
      <t xml:space="preserve">"NOTE: When testing, please turn off auto update in MS Store app first to avoid being automatically updated to the latest version on MS Store.
For Baymax ONLY to test Audio Control
</t>
    </r>
    <r>
      <rPr>
        <sz val="11"/>
        <color rgb="FF000000"/>
        <rFont val="Calibri"/>
        <family val="2"/>
      </rPr>
      <t xml:space="preserve">
Changes:
•	[HPXWC-20385] [SFT_MPH][SystemControl] Bi-Directional Sync is not happening from HPX to windows settings in DC mode - HP-Jira
•	[HPXWC-18168] [Screen Time][Translation] Update June batch - HP-Jira
•	[HPXWC-20286] [HPX-R] [BM][UI]- For Battery manager base native-view, Do navItem registration in saga and add translation - HP-Jira
•	[HPXWC-20252] [Gesture][Translation] Update June batch - HP-Jira
•	[HPXWC-20285] [HPX-R] [SysCtrl] [UI]-Create query and mutation resolvers in Schema File for V2 supported Card for Workstation platforms - HP-Jira
•	[HPXWC-20273] [HPX-R] [SysCtrl][UI]- For System Control base native-view, Do navItem registration in saga and add translation - HP-Jira
•	[HPXWC-20253] SIO2268635 - [SIT][SWT-SW][LNL-MX][Win11]The information content show grey when clicked "i" in System Control UI with HPX. - HP-Jira
•	[HPXWC-20420] [SFT_MPH][SystemControl][AMD][L10N] Power saver mode tooltip message is not aligned properly on AR and HE language - HP-Jira
•	[HPXAPPS-12079] [Common Consents][Offline Mode] Unsupported PurposeId in US region is getting optedIN when consented in OOBE flow through Accept All Button - HP-Jira
•	[HPXAPPS-12139] [CommonConsents][TW-ZH&amp;HK-ZH] [AppPrivacy][OfflineMode]Unintended Toggle Activation in Manage Choices Page and Absence of Toggles in Settings&gt;Privacy Section - HP-Jira
•	[HPXAPPS-12136] [CommonConsent][tw-zh&amp;hk-zh] Data transfer toggle turned on by Default on both OOBE and non-OOBE flow on Traditional Chinese locals(tw-zh, hk-zh) - HP-Jira
•	[HPXAPPS-12231] [Common Consents] Managed True For ZH-TW and ZH-CN single toggle being shown in Settings Privacy Tab - HP-Jira
•	[HPXAPPS-12642] [SFT_CSS][Commonconsent][L10N] Some content is not matching in app privacy and computer privacy page in French Language. - HP-Jira
•	[HPXAPPS-12646] [SFT_CSS][Commonconsent][L10N] Product Improvement consent data is not matching with the translation file in app consent page in French Language. - HP-Jira
•	[HPXAPPS-12650] [SFT_CSS][CommonConsent][L10N] "HP" string is missing in app privacy and computer privacy page in Ukrainian and Basque languages. - HP-Jira</t>
    </r>
  </si>
  <si>
    <t>5A RC2</t>
  </si>
  <si>
    <t>33.52421.535.0.A.1</t>
  </si>
  <si>
    <t>P016VA-B2F</t>
  </si>
  <si>
    <r>
      <rPr>
        <sz val="11"/>
        <color rgb="FFFF0000"/>
        <rFont val="Calibri"/>
        <family val="2"/>
      </rPr>
      <t xml:space="preserve">"NOTE: When testing, please turn off auto update in MS Store app first to avoid being automatically updated to the latest version on MS Store.
For 2024 OOC Broncos
</t>
    </r>
    <r>
      <rPr>
        <sz val="11"/>
        <color rgb="FF000000"/>
        <rFont val="Calibri"/>
        <family val="2"/>
      </rPr>
      <t xml:space="preserve">
Known Issues:
•	[HPXAPPS-9619] [ARM] Create a package bundle which natively supports ARM - HP-Jira
•	[HPXAPPS-8936] [ARM] Unable to build the application on ARM64 Devices - HP-Jira
•	[HPXAPPS-10808] [ARM][Performance] myHP takes about 25s to load to home page - HP-Jira
Changes:
•	[HPXAPPS-11464] [Home][Performance] Home page first use load time had increased to 18 to 20 sec in latest prod - HP-Jira
•	[HPXWC-20308] [FeatureFlag] Create feature flag for PCVideo sub-module: "pcvideo-polycamerapro" - HP-Jira</t>
    </r>
  </si>
  <si>
    <t>34.42422.407.0.A.1</t>
  </si>
  <si>
    <t>P016VA-B2G</t>
  </si>
  <si>
    <r>
      <rPr>
        <sz val="11"/>
        <color rgb="FFFF0000"/>
        <rFont val="Calibri"/>
        <family val="2"/>
      </rPr>
      <t xml:space="preserve">"NOTE: When testing, please turn off auto update in MS Store app first to avoid being automatically updated to the latest version on MS Store.
For SnowWhite
For 2024 OOC with CFR on and after 6/14
For 2024 OOC2
For 2024 Sustaining CQ3
</t>
    </r>
    <r>
      <rPr>
        <sz val="11"/>
        <color rgb="FF000000"/>
        <rFont val="Calibri"/>
        <family val="2"/>
      </rPr>
      <t xml:space="preserve">
Changes:
•	[HPXWC-20278] [SFT_MPH][SystemControl][AMD] Performance Control modes are not persistent and battery manager module getting disabled after installing fusion v.1.67.3747.0 - HP-Jira
•	[HPXAPPS-12042] [Settings]Integrate Settings resolvers with frontend Settings MFE. - HP-Jira
•	[HPXAPPS-12684] [Analytics] The data doesn't flow to Kibana on the stage track. - HP-Jira
•	[HPXAPPS-12648] [SFT_CSS][CommonConsent][Analytics] AUIDS are not getting generated for few actionable item - HP-Jira
•	[HPXAPPS-12911] [CommonConsents][PIPL] ["bizops.device.basicfunct..hpapp..npf"] purposeID status is 'OptedOut' it should be 'OptedIn' by default - HP-Jira
•	[HPXWC-20567] [SFT_MPH][PCDevice] Battery status is updating with delay by 0% level to actual % level when navigated by other modules to PC device. - HP-Jira</t>
    </r>
  </si>
  <si>
    <t>7A Staging</t>
  </si>
  <si>
    <t>35.42423.426.0.A.1</t>
  </si>
  <si>
    <t>P016VA-B2J</t>
  </si>
  <si>
    <r>
      <rPr>
        <sz val="11"/>
        <color rgb="FFFF0000"/>
        <rFont val="Calibri"/>
        <family val="2"/>
      </rPr>
      <t xml:space="preserve">"NOTE: When testing, please turn off auto update in MS Store app first to avoid being automatically updated to the latest version on MS Store.
For 2025 NPI
For SnowWhite
For 2024 OOC with CFR on and after 6/14
For 2024 OOC2
For 2024 Sustaining CQ3
</t>
    </r>
    <r>
      <rPr>
        <sz val="11"/>
        <color rgb="FF000000"/>
        <rFont val="Calibri"/>
        <family val="2"/>
      </rPr>
      <t xml:space="preserve">
Changes:
•	[HPXAPPS-13348] [CommonConsent][PIPL][Managed] Transfer consent is displayed on Privacy tab for China region Managed device. - HP-Jira
•	[HPXWC-19850] [Rebrand] Create "base" native-view for PC Touchpad - HP-Jira
•	[HPXWC-20594] [Rebrand] Create "base" native-view for PC Gestures - HP-Jira
•	[HPXWC-20881] [Pen] Rename pen control name in package.json file for root mfe and Pen mfe - HP-Jira
•	[HPXWC-20716] [ContextAware] Focussed App event propogation in Base module - HP-Jira
•	[HPXWC-20139] [SFT_MPH][SystemControl][Commercial] Tooltip Strings are overlapping when we increase text size to maximum - HP-Jira
•	[HPXAPPS-12933] The NB API in JWebView Mode is Unstable, it works only 2/5 Times, Needs Restart to Fix - HP-Jira
•	[HPXWC-20406] [SystemControl][TPE_SFT][FFT]It will not map to “Performance” when change 2 different modes in System control then select” Best Performance” in OS. - HP-Jira</t>
    </r>
  </si>
  <si>
    <t>6A RC3</t>
  </si>
  <si>
    <t>34.52424.589.0.A.1</t>
  </si>
  <si>
    <t>P016VA-B2K</t>
  </si>
  <si>
    <r>
      <rPr>
        <sz val="11"/>
        <color rgb="FFFF0000"/>
        <rFont val="Calibri"/>
        <family val="2"/>
      </rPr>
      <t xml:space="preserve">"NOTE: When testing, please turn off auto update in MS Store app first to avoid being automatically updated to the latest version on MS Store.
For 2024 OOC
For 2024 OOC2
For 2024 Sustaining CQ3
</t>
    </r>
    <r>
      <rPr>
        <sz val="11"/>
        <color rgb="FF000000"/>
        <rFont val="Calibri"/>
        <family val="2"/>
      </rPr>
      <t xml:space="preserve">
Changes:
•	[HPXAPPS-13308] [Support][Login] - Login invoked from "Chat with an agent"/"Speak to an agent", can not redirect back to HPX - HP-Jira
•	[HPXAPPS-11464] [Home][Performance] Home page first use load time had increased to 18 to 20 sec in latest prod - HP-Jira</t>
    </r>
  </si>
  <si>
    <t>35.42424.439.0.A.1</t>
  </si>
  <si>
    <t>P016VA-B2L</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</si>
  <si>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[HPXWC-19769] [AudioControl][Commercial] Restore Defaults doesn't work with context aware settings - HP-Jira
•	[HPXAPPS-13308] [Support][Login] - Login invoked from "Chat with an agent"/"Speak to an agent", can not redirect back to HPX - HP-Jira
•	[HPXAPPS-13131] [Settings]Create link for Terms Of Use on About card. - HP-Jira
•	[HPXAPPS-12477] [Common Consents] Privacy Tab toggles are independently turned on if we change region and language and relaunch the app without resetting. - HP-Jira
•	[HPXWC-20920] [SFT_MPH][PenControl][Commercial] Reconnect button is not seen in the UI even when the Bluetooth is ON - HP-Jira
•	[HPXAPPS-12890] [SIO2271206] It will directly link to the PSW input page when click the HP Account in HPX. - HP-Jira
•	[HPXWC-20406] [SystemControl][TPE_SFT][FFT]It will not map to “Performance” when change 2 different modes in System control then select” Best Performance” in OS. - HP-Jira
•	[HPXAPPS-13535] [ComonConsents][Privacy] The App Privacy toggle disappears after changing the system's language and switching the toggle. - HP-Jira
•	[ DogFooding ] MFEs and UI-toolkit versions in importmap.json file by giorgi-digmelashvili · Pull Request #8624 · hpx/hpx-winclient</t>
    </r>
  </si>
  <si>
    <t>35.42425.458.0.A.1</t>
  </si>
  <si>
    <t>P016VA-B2M</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</si>
  <si>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[HPXAPPS-12900] The 'registerDeviceItem' Function from '@hp-af/device-info', Only Works with One Device - HP-Jira
•	[HPXWC-20085] [Dock] Create Mutation (GraphQL/Northbound APIs) - HP-Jira
•	[HPXWC-20239] [HPX-R] [SysCtrl][UI]- Registration of system control under PC Device - HP-Jira
•	[HPXWC-19634] [HPPK] Use Mutation to dispatch action from MFE from NPABI - HP-Jira
•	[HPXWC-21329] [Pen][IndirectInking] Navigate to Indirect Inking Page from L1 - HP-Jira
•	[HPXWC-21444] [Pen] Show recent registered Pen card in device list - HP-Jira
•	[HPXWC-21186] [Pen] Integrate product mfe in pen module - HP-Jira
•	[HPXAPPS-14022] [CommonConsent][PIPL][Managed] Transfer consent is displayed on Privacy tab for China region Managed device. - HP-Jira
•	[HPXAPPS-12648] [SFT_CSS][CommonConsent][Analytics] AUIDS are not getting generated for few actionable item - HP-Jira
•	[HPXWC-21413] [PCDevicePg] Flickering is getting observed while PC Device page gets load. - HP-Jira
•	[HPXAPPS-13638] [CommonConsents] Text cut off observed on a CommonConsent screen under the App privacy tile. - HP-Jira</t>
    </r>
  </si>
  <si>
    <t>35.42426.469.0.A.1</t>
  </si>
  <si>
    <t>P016VA-B2N</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</si>
  <si>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[HPXAPPS-13781] [HPX][Rebrand][TopAppBar] Bell icon contents are not getting loaded - HP-Jira
•	[HPXAPPS-13722] [Bell]Integrate blue dot on App bar bell icon if case of unread messages. - HP-Jira
•	[HPXWC-21485] [Pen] Update Pen module UI if non supported action set from Windows setting - HP-Jira
•	[HPXWC-21409] [Pen][BluetoothPairing] Implement Reconnect banner - HP-Jira
•	[HPXWC-21322] [Pen] Add a new card in Root MFE to show Pen Sensitivity feature - HP-Jira
•	[HPXWC-19434] [User Detection] Integrate "Presence Detection" MFE with HPX - HP-Jira
•	[HPXAPPS-13699] [Dogfooding] Disable "right click" dev menu panel - HP-Jira
•	[HPXWC-21332] [HPX-R] [SysCtrl] [UI]- Implement the backend functionality for Battery Saver mode layout (create schema and mutation) - HP-Jira
•	[HPXWC-21216] [Pen] Get consumer battery details from consumer nuget - HP-Jira
•	[HPXWC-20758] [Energy Consumption] -Test case for energy consumption base module. - HP-Jira
•	[HPXWC-21396] [Smart Experiences][VisionAI] Develop Message Inline Alert for Attention Focus Toggle - HP-Jira
•	[HPXAPPS-12737] [CommonConsents] Old privacy page is showing after new privacy page is accepted - HP-Jira
•	[HPXWC-21175] [battery manager] [AUID] AUID is same for battery health values. - HP-Jira
•	[HPXWC-21518] [SystemControl][TPE_SFT][FFT]System control will not map correct mode when select power mode in OS. - HP-Jira</t>
    </r>
  </si>
  <si>
    <t>7A Production</t>
  </si>
  <si>
    <t>35.52426.668.0.A.1</t>
  </si>
  <si>
    <t>P016VA-B2P</t>
  </si>
  <si>
    <r>
      <rPr>
        <sz val="11"/>
        <color rgb="FFFF0000"/>
        <rFont val="Calibri"/>
        <family val="2"/>
      </rPr>
      <t xml:space="preserve">"NOTE: When testing, please turn off auto update in MS Store app first to avoid being automatically updated to the latest version on MS Store.
For 2024 Sustaining CQ3
For 2024 OOC2
For 2024 OOC Ernesto, Luisa, Bobcats
</t>
    </r>
    <r>
      <rPr>
        <sz val="11"/>
        <color rgb="FF000000"/>
        <rFont val="Calibri"/>
        <family val="2"/>
      </rPr>
      <t xml:space="preserve">
Changes:
•	[HPXAPPS-13781] [HPX][Rebrand][TopAppBar] Bell icon contents are not getting loaded - HP-Jira
•	[HPXAPPS-14120] Showing white screen after integrating analytics TrackID for Battery Manager - HP-Jira
•	[HPXAPPS-14014] Showing white screen after integrating analytics API (TrackId) - HP-Jira
•	[HPXWC-21444] [Pen] Show recent registered Pen card in device list - HP-Jira
•	[HPXWC-21485] [Pen] Update Pen module UI if non supported action set from Windows setting - HP-Jira
•	[HPXWC-21409] [Pen][BluetoothPairing] Implement Reconnect banner - HP-Jira
•	[HPXWC-19434] [User Detection] Integrate "Presence Detection" MFE with HPX - HP-Jira
•	[HPXAPPS-13699] [Dogfooding] Disable "right click" dev menu panel - HP-Jira
•	[HPXWC-21332] [HPX-R] [SysCtrl] [UI]- Implement the backend functionality for Battery Saver mode layout (create schema and mutation) - HP-Jira
•	[HPXWC-21216] [Pen] Get consumer battery details from consumer nuget - HP-Jira
•	[HPXWC-20758] [Energy Consumption] -Test case for energy consumption base module. - HP-Jira
•	[HPXWC-21396] [Smart Experiences][VisionAI] Develop Message Inline Alert for Attention Focus Toggle - HP-Jira
•	[HPXWC-21330] [HPX-R] [SysCtrl] [UI]- Modify the System Control UI as per modified figma - HP-Jira
•	[HPXWC-21452] [Smart Experiences][VisionAI]Enable/Register Smart Experience Module under PC Device - HP-Jira
•	[HPXWC-17789] [HPPK] Modify HPX prog key save saga to save faster - HP-Jira
•	[HPXWC-21326] [Screen Time][native base] Support both proximity and user detection platforms - HP-Jira
•	[HPXWC-21413] [PCDevicePg] Flickering is getting observed while PC Device page gets load. - HP-Jira
•	[HPXAPPS-13638] [CommonConsents] Text cut off observed on a CommonConsent screen under the App privacy tile. - HP-Jira
•	[HPXWC-21175] [battery manager] [AUID] AUID is same for battery health values. - HP-Jira
•	[HPXWC-21518] [SystemControl][TPE_SFT][FFT]System control will not map correct mode when select power mode in OS. - HP-Jira</t>
    </r>
  </si>
  <si>
    <t>7A RC1</t>
  </si>
  <si>
    <t>35.52426.688.0.A.1</t>
  </si>
  <si>
    <t>P016VA-B2Q</t>
  </si>
  <si>
    <r>
      <rPr>
        <sz val="11"/>
        <color rgb="FFFF0000"/>
        <rFont val="Calibri"/>
        <family val="2"/>
      </rPr>
      <t xml:space="preserve">"NOTE: When testing, please turn off auto update in MS Store app first to avoid being automatically updated to the latest version on MS Store.
For 2024 Sustaining CQ3
For 2024 OOC2
For 2024 OOC Ernesto, Luisa, Bobcats
</t>
    </r>
    <r>
      <rPr>
        <sz val="11"/>
        <color rgb="FF000000"/>
        <rFont val="Calibri"/>
        <family val="2"/>
      </rPr>
      <t xml:space="preserve">
Changes:
•	[HPXWC-21481] [Fusion][ClientAPIs] Integrate app helper client APIs to HPX - HP-Jira
•	[HPXWC-21209] [Context Aware] API to detect if any app is removed/uninstalled from its path. - HP-Jira
•	[HPXAPPS-14422] Update React-Native-Config to latest - HP-Jira
•	[HPXWC-19911] [Bug] The dock name is not displaying correctly when multiple docks are connected. - HP-Jira
•	[HPXWC-19884] [SFT_MPH][Dock_Station] Previously saved dock name is coming when we clear the existing dock name and relaunch the myHP application - HP-Jira
•	[HPXWC-18333] [HPX][VideoControl][L10N] Video dialog is not localized when click video control card. - HP-Jira</t>
    </r>
  </si>
  <si>
    <t>8A Staging</t>
  </si>
  <si>
    <t>36.42427.504.0.A.1</t>
  </si>
  <si>
    <t>P016VA-B2R</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</si>
  <si>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[HPXAPPS-13524] [SIO2273850] The number of options under App Privacy in HPX are displayed incorrectly. - HP-Jira
•	[HPXAPPS-13211] [SFT_CSS][OTA_FFT][CommonConsent] Strings in the buttons is not aligned on the center in app privacy consent page when the text size is maximum. - HP-Jira
•	[HPXWC-19581] [HPX][VideoControl][Accessibility] The "continue" button is not read consistently in video dialog between homepage &amp; pc-device when enable narrator. - HP-Jira
•	[HPXWC-21518] [SystemControl][TPE_SFT][FFT]System control will not map correct mode when select power mode in OS. - HP-Jira</t>
    </r>
  </si>
  <si>
    <t>7A RC3</t>
  </si>
  <si>
    <t>35.52428.730.0.A.1</t>
  </si>
  <si>
    <t>P016VA-B2S</t>
  </si>
  <si>
    <r>
      <rPr>
        <sz val="11"/>
        <color rgb="FFFF0000"/>
        <rFont val="Calibri"/>
        <family val="2"/>
      </rPr>
      <t xml:space="preserve">"NOTE: When testing, please turn off auto update in MS Store app first to avoid being automatically updated to the latest version on MS Store.
For 2024 Sustaining CQ3
For 2024 OOC2
For 2024 OOC Ernesto, Luisa, Bobcats
</t>
    </r>
    <r>
      <rPr>
        <sz val="11"/>
        <color rgb="FF000000"/>
        <rFont val="Calibri"/>
        <family val="2"/>
      </rPr>
      <t xml:space="preserve">
Changes:
•	[HPXWC-20569] [SIO2271098] Install Poly Camera Pro pop up replace Hp Presence Video when click Video control on myHP/Home UI(AR6) - HP-Jira
•	[HPXWC-21919] [SIO2283215] : Cannot open Poly camera pro app after click myhp/Video Control. - HP-Jira</t>
    </r>
  </si>
  <si>
    <t>1. Home Page
2. Video Control
3. HP Programmable Key
4. Privacy alert
5. Auto Screen Dimming
6. Support
7. Settings
8. System Control
9. Pen
10. Battery Manager
11. Screen Time
12. Screen Distance
13. Gesture
14. Docking
15. Energy Consumption</t>
  </si>
  <si>
    <t>36.42428.553.0.A.1</t>
  </si>
  <si>
    <t>P016VA-B2U</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</si>
  <si>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[HPXAPPS-14858] [HPX] [My Account] My account page is not loading - HP-Jira
•	[HPXWC-20569] [SIO2271098] Install Poly Camera Pro pop up replace Hp Presence Video when click Video control on myHP/Home UI(AR6) - HP-Jira
•	[HPXWC-21536] Logic for showing Audio in commercial - HP-Jira
•	[HPXAPPS-14449] Custom Plugin Loading Exception - HP-Jira
•	[HPXAPPS-13890] [SFT_CSS][Dropbox] Underlines appear for hyperlinks when you hover over text beside the link in both Dropbox sign up page and sign in page. - HP-Jira
•	[HPXAPPS-13888] [SFT_CSS][Dropbox] Underlines appear for both hyperlinks when you hover over one of the hyperlink in Dropbox sign up page. - HP-Jira
•	UserDetection NuGet update 0703 by kevin-hou · Pull Request #8843 · hpx/hpx-winclient</t>
    </r>
  </si>
  <si>
    <t>36.42429.578.0.A.1</t>
  </si>
  <si>
    <t>P016VA-B2V</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</si>
  <si>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[HPXAPPS-11464] [Home][Performance] Home page first use load time had increased to 18 to 20 sec in latest prod - HP-Jira
•	[HPXWC-21310] [SIO2276848] myHP Audio control doesn't display the Audio brand and logo 'AUDIO BY B&amp;O' after 3.5mm headphone connected. - HP-Jira
•	[HPXAPPS-12329] [Settings]Implement "Delete Account" Link in Privacy Card for HPSmart Account Deletion - HP-Jira
•	[HPXAPPS-15105] Update the NPS url as per the new URL received - HP-Jira
•	[HPXAPPS-15434] Handle PR for ticket HPXAPPS-12329 - HP-Jira
•	[HPXG-1013] Create API for Auto Heal ,Multi-scan and Book Scan features - HP-Jira
•	[HPXWC-20739] [AudioControl][ARM] The AUID are the same between output and input list. - HP-Jira
•	[HPXWC-21825] [Audio][mic mode] mic mode tooltip text not matched with displayed text on UI in inspect tool - HP-Jira
•	[HPXWC-21923] [SIO2283315] The graph is between 0hr and 1hr after turn on Screen time more than 1 hour in myHP/Screen Time. - HP-Jira
•	[HPXG-1444] [HPX][DisplayControl] Display Control module is missing on latest main branch build. - HP-Jira
•	[HPXG-1445] [HPX][SystemControl] System Control module is missing on latest main branch build. - HP-Jira
•	[HPXG-1446] [HPX][PenControl] Pen Control module is missing on latest main branch build. - HP-Jira
•	[HPXG-1447] [ScreenTime][ScreenDistance] Screen time and Screen distance UI issue. - HP-Jira
•	Adjusting the xHPUserAgentHeaderValue to use the correct parameter order by kelley-davis · Pull Request #8825 · hpx/hpx-winclient
•	[HPXAPPS-14937] [SFT_CSS]Dropbox][L10N] "Store and share files" statement is incomplete in signin page in Polish language. - HP-Jira</t>
    </r>
  </si>
  <si>
    <t>1. Home Page
2. Video Control
3. HP Programmable Key
4. Privacy alert
5. Auto Screen Dimming
6. Support
7. Settings
8. System Control
9. Pen
10. Battery Manager
11. Screen Time
12. Screen Distance
13. Gesture
14. Docking
15. Energy Consumption
16. Audio Control</t>
  </si>
  <si>
    <t>36.42430.615.0.A.1</t>
  </si>
  <si>
    <t>P016VA-B2X</t>
  </si>
  <si>
    <r>
      <rPr>
        <sz val="11"/>
        <color rgb="FFFF0000"/>
        <rFont val="Calibri"/>
        <family val="2"/>
      </rPr>
      <t xml:space="preserve">"NOTE: When testing, please turn off auto update in MS Store app first to avoid being automatically updated to the latest version on MS Store.
For 2025 NPI
For SnowWhite
</t>
    </r>
    <r>
      <rPr>
        <sz val="11"/>
        <color rgb="FF000000"/>
        <rFont val="Calibri"/>
        <family val="2"/>
      </rPr>
      <t xml:space="preserve">
Changes:
•	[HPXWC-22070] [AudioControl][Snowwhite] It should be show 6 preset instead of EQ when input 3.5mm headset. - HP-Jira
•	[HPXWC-21664] [Application Settings] "Do not Show" checkbox in User confirmation popup when deleting an app - HP-Jira
•	[HPXWC-17651] HP Audio Speaker Configuration - UI - HP-Jira
•	[HPXWC-22119] [Gestures][UI] Switch next/previous photo scroll 'Try this gesture' to correct illustration - HP-Jira
•	[HPXAPPS-10538] Add link to Terms of Use to consent screen - HP-Jira
•	[HPXWC-21559] [SIO2278451] :Content show blank and white under HPX/pen /single press:volume up. - HP-Jira
•	[HPXAPPS-14895] [SFT_CSS]Dropbox][L10N] Dropbox is not showing in few languages. - HP-Jira
•	[HPXAPPS-16013] [CommonConsents][PR Build] [TOU]TOU link issues - HP-Jira
•	[HPXWC-18002] [SFT_MPH][PCDevice][Accessibility] High contrast themes are not applied for buttons in PC Device Page. - HP-Jira
•	[HPXAPPS-12529] [SFT_CSS][Settings][CommonConsent][Accessibility] Improper spacing and contents are getting truncated in Setting's privacy page when text size is maximized. - HP-Jira
•	[HPXAPPS-12582] [SFT_CSS][CommonConsent][myHP_classic] Scroll bar fails to appear on Device consent page post resizing the application to its minimal size - HP-Jira
•	[HPXAPPS-13338] [SFT_CSS][CommonConsent][MyHp_Classic] Cut off is observed on all actionable button on both App and Device Consent Page in Knucker platform - HP-Jira</t>
    </r>
  </si>
  <si>
    <t>36.42431.676.0.A.1</t>
  </si>
  <si>
    <t>P016VA-B2Y</t>
  </si>
  <si>
    <r>
      <rPr>
        <sz val="11"/>
        <color rgb="FFFF0000"/>
        <rFont val="Calibri"/>
        <family val="2"/>
      </rPr>
      <t xml:space="preserve">"NOTE: When testing, please turn off auto update in MS Store app first to avoid being automatically updated to the latest version on MS Store.
For 2025 NPI except MaldiveR6U 2.0 Refresh
For SnowWhite
</t>
    </r>
    <r>
      <rPr>
        <sz val="11"/>
        <color rgb="FF000000"/>
        <rFont val="Calibri"/>
        <family val="2"/>
      </rPr>
      <t xml:space="preserve">
Changes:
•	[HPXWC-22097] [AudioControl] Presets are missing with internal speaker on quaker. - HP-Jira
•	[HPXAPPS-16186] [SFT_MPH][FFT_OTA][HPPK] Blank screen is observed when press F11/F12 - HP-Jira
•	[HPXWC-21969] [Smart Experiences][VisionAI] Restructuring Redux Initial VisionAiInfo State Structure - HP-Jira
•	[HPXAPPS-16726] Bump up the Data Collection to 3.7.6 (543) - HP-Jira
•	[HPXWC-22149] Localization tool integration in pcdevice card MFE - HP-Jira
•	[HPXWC-22083] [Dock-ClassicUI] Add verification for showing/hiding Instadock layout and features depending on laptop compatibility - HP-Jira
•	[HPXAPPS-12029] Upgrade .NET Framework to 4.8.1 - Due 25Jun24 - HP-Jira</t>
    </r>
  </si>
  <si>
    <r>
      <rPr>
        <sz val="11"/>
        <color rgb="FFFF0000"/>
        <rFont val="Calibri"/>
        <family val="2"/>
      </rPr>
      <t xml:space="preserve">"NOTE: When testing, please turn off auto update in MS Store app first to avoid being automatically updated to the latest version on MS Store.
For 2025 NPI MaldiveR6U 2.0 Refresh
</t>
    </r>
    <r>
      <rPr>
        <sz val="11"/>
        <color rgb="FF000000"/>
        <rFont val="Calibri"/>
        <family val="2"/>
      </rPr>
      <t xml:space="preserve">
Changes:
•	[HPXWC-20569] [SIO2271098] Install Poly Camera Pro pop up replace Hp Presence Video when click Video control on myHP/Home UI(AR6) - HP-Jira
•	[HPXWC-21919] [SIO2283215] : Cannot open Poly camera pro app after click myhp/Video Control. - HP-Jira</t>
    </r>
  </si>
  <si>
    <t>36.42432.709.0.A.1</t>
  </si>
  <si>
    <t>P017JU-B2B</t>
  </si>
  <si>
    <r>
      <rPr>
        <sz val="11"/>
        <color rgb="FFFF0000"/>
        <rFont val="Calibri"/>
        <family val="2"/>
      </rPr>
      <t xml:space="preserve">"NOTE: When testing, please turn off auto update in MS Store app first to avoid being automatically updated to the latest version on MS Store.
For 2025 NPI except MaldiveR6U 2.0 Refresh
For SnowWhite
</t>
    </r>
    <r>
      <rPr>
        <sz val="11"/>
        <color rgb="FF000000"/>
        <rFont val="Calibri"/>
        <family val="2"/>
      </rPr>
      <t xml:space="preserve">
Changes:
•	[HPXAPPS-16401] [AudioControl][Snowwhite][Commercial] Audio is missing on snowwhite device with latest main branch build. - HP-Jira
•	[HPXAPPS-13690] Present TOU Modal to existing myHP customers (logic) - HP-Jira
•	[HPXWC-22163] [HPD URL] add new icon to veneer native base - HP-Jira
•	[HPXWC-20090] [Dock][Instadock] Update BIOS property name - HP-Jira
•	[HPXWC-19924] [Pen]Integration with App settings Module - HP-Jira
•	[HPXWC-21911] [SIO2283122] Static Edge Dimming will not work after resume unit from MS/S4 with ELP enabled before. - HP-Jira
•	[HPXAPPS-14045] Two instances of DesktopExtension.exe running in Herbee - HP-Jira
•	[HPXAPPS-13354] [Spike] Investigate optimizing NX configs for Performance Improvements - HP-Jira
•	[HPXWC-21473] [SIO2278285] The content on the pop-up 'Enable Immersive Movies with Camera Access' notification window was not translated into Chinese when the 'Movie' preset is selected in HPX Audio Control with camera state is 'Off'.(AB2 image) - HP-Jira
•	[HPXWC-22389] [SFT_MPH][EnergyConsumption] Narrator is not reading selected Consumption Trends and total energy consumption in dropdown - HP-Jira
•	[HPXWC-22361] [SFT_MPH][EnergyConsumption] In go beyond hp and energy recommendation icon is not clearly visible in contrast themes - HP-Jira
•	[HPXWC-22134] [ARM][Proximity][User Detection] Need libraries that support building and running HPX on ARM - HP-Jira
•	[HPXWC-19958] [SFT_MPH][EnergyConsumption][L10N] 6days and 6months data in x-axis under consumption trends graph strings are not localized in all supported languages - HP-Jira
•	[HPXWC-22351] [Pen][Roo][Classic] Implement Pen Setting Notification Card for Roo - HP-Jira
•	[HPXWC-19218] [Dock] Implement the toast notification scenario 3 - HP-Jira
•	[HPXAPPS-16825] [SFT_CSS][Dropbox] "Internal error" message appears post entering all valid details and selecting on "Signup for free" on Andaz AN and Cybug platform. - HP-Jira
•	[HPXWC-21619] [SFT_MPH][PowerManager][HighContrast] The color inside the battery symbol showing blank in high contrast mode - HP-Jira</t>
    </r>
  </si>
  <si>
    <t>7A Hotfix</t>
  </si>
  <si>
    <t>35.52430.841.0.A.1</t>
  </si>
  <si>
    <t>P017JU-B2A</t>
  </si>
  <si>
    <r>
      <rPr>
        <sz val="11"/>
        <color rgb="FFFF0000"/>
        <rFont val="Calibri"/>
        <family val="2"/>
      </rPr>
      <t xml:space="preserve">"NOTE: When testing, please turn off auto update in MS Store app first to avoid being automatically updated to the latest version on MS Store.
For 2025 NPI MaldiveR6U 2.0 Refresh
</t>
    </r>
    <r>
      <rPr>
        <sz val="11"/>
        <color rgb="FF000000"/>
        <rFont val="Calibri"/>
        <family val="2"/>
      </rPr>
      <t xml:space="preserve">
Changes:
•	[HPXAPPS-16533] [SFT_CSS][NPSNotification][OTA_FFT] Product number is missing in Starfox Platform - HP-Jira
•	[HPXAPPS-16538] [SFT_CSS][NPSNotification][OTA_FFT][ARM] Product number in Qualtrics Metrics is not matching with the system Information. - HP-Jira
•	[HPXAPPS-16621] [SFT_CSS][OTA_FFT][NPSNotification] Product number is missing in Qualtrics URL only on Commercial platforms. - HP-Jira</t>
    </r>
  </si>
  <si>
    <t>9A Staging</t>
  </si>
  <si>
    <t>37.42433.722.0.A.1</t>
  </si>
  <si>
    <t>P017JU-B2E</t>
  </si>
  <si>
    <r>
      <rPr>
        <sz val="11"/>
        <color rgb="FFFF0000"/>
        <rFont val="Calibri"/>
        <family val="2"/>
      </rPr>
      <t xml:space="preserve">"NOTE: When testing, please turn off auto update in MS Store app first to avoid being automatically updated to the latest version on MS Store.
For 2025 NPI except MaldiveR6U 2.0 Refresh
For SnowWhite
</t>
    </r>
    <r>
      <rPr>
        <sz val="11"/>
        <color rgb="FF000000"/>
        <rFont val="Calibri"/>
        <family val="2"/>
      </rPr>
      <t xml:space="preserve">
Changes:
•	[HPXWC-22263] Create Base Structure for New Classic UI of Camera and Presence Detection Module - HP-Jira
•	[HPXWC-22205] [Smart Experiences][VisionAI]Add icon (Person Monitor Presence) in veneer-nativebase-icons library and consume it in the Smart Experience module. - HP-Jira
•	[HPXWC-22081] [Dock-ClassicUI] Update Dock icons and tooltip text on Dock page Header component - HP-Jira
•	[HPXWC-21991] BlackList HP Presence App on Poly devices - HP-Jira
•	[HPXWC-22535] [Pen][Roo][Classic] Implement Pen Setting Power Saving Card For Roo - HP-Jira
•	[HPXWC-22382] [Pen]Apply "open app" settings to wacom - HP-Jira
•	[HPXWC-19224] [Dock] Limit the number of Instadocks paired on the notebook. - HP-Jira
•	[HPXWC-22650] [Pen] Add breadcrumb support classic Roo UI - HP-Jira
•	[ProximitySense] Add mechanism for Screen Distance Alert Record by kevin-hou · Pull Request #9180 · hpx/hpx-winclient
•	[UserDetection] Add mechanism for Screen Distance Alert Record by kevin-hou · Pull Request #9208 · hpx/hpx-winclient
•	Upgrade ProximitySense &amp; UserDetection NuGet for ScreenDistance Alert Record by kevin-hou · Pull Request #9209 · hpx/hpx-winclient
•	[HPXAPPS-16948] pcDetails has error in payload (incorrect boolean format) - HP-Jira</t>
    </r>
  </si>
  <si>
    <t>37.42433.737.0.A.1</t>
  </si>
  <si>
    <t>P017JU-B2F</t>
  </si>
  <si>
    <r>
      <rPr>
        <sz val="11"/>
        <color rgb="FFFF0000"/>
        <rFont val="Calibri"/>
        <family val="2"/>
      </rPr>
      <t xml:space="preserve">"NOTE: When testing, please turn off auto update in MS Store app first to avoid being automatically updated to the latest version on MS Store.
For 2025 NPI except MaldiveR6U 2.0 Refresh
For SnowWhite
</t>
    </r>
    <r>
      <rPr>
        <sz val="11"/>
        <color rgb="FF000000"/>
        <rFont val="Calibri"/>
        <family val="2"/>
      </rPr>
      <t xml:space="preserve">
Changes:
•	[HPXAPPS-16326] [myHp_Classic] Managed Device should not show Welcome screen in FUF and in privacy settings - HP-Jira
•	[HPXAPPS-17507] [SystemControl][TPE_SFT][FFT] MyHP loses DesktopExtension.exe and causes system control to disappear. - HP-Jira
•	[HPXWC-22912] [HPX][BM][Consumer]: Enable Battery Manager module for Consumer - HP-Jira
•	[HPXWC-21603] [HPX][Rebrand][Audio] Some Audio features are disabled and appear greyed out. - HP-Jira
•	[HPXAPPS-15744] Create a signed certificate mechanism to control the context menu switch - HP-Jira
•	[HPXWC-22751] update Translation and PPR - HP-Jira
•	[HPXWC-22537] [Pen][Roo][Classic] Implement Pen Setting One Step Inking Card For Roo - HP-Jira
•	[HPXAPPS-17460] [SFT_MPH][OTA][Core] Few modules are missing post relaunching Hpx application from MS store - HP-Jira</t>
    </r>
  </si>
  <si>
    <t>37.42435.801.0.A.1</t>
  </si>
  <si>
    <t>P017JU-B2K</t>
  </si>
  <si>
    <r>
      <rPr>
        <sz val="11"/>
        <color rgb="FFFF0000"/>
        <rFont val="Calibri"/>
        <family val="2"/>
      </rPr>
      <t xml:space="preserve">"NOTE: When testing, please turn off auto update in MS Store app first to avoid being automatically updated to the latest version on MS Store.
For 2025 NPI except MaldiveR6U 2.0 Refresh
For SnowWhite
</t>
    </r>
    <r>
      <rPr>
        <sz val="11"/>
        <color rgb="FF000000"/>
        <rFont val="Calibri"/>
        <family val="2"/>
      </rPr>
      <t xml:space="preserve">
Changes:
•	[HPXWC-22833] [AudioControl] OOB apps will not show on the application list automatically - HP-Jira
•	[HPXWC-22115] [SFT_MPH][OTA_FFT][ContextAware] Application is not highlighting when we launch it. - HP-Jira
•	[HPXWC-22325] [SIO2287360/SIO2288378/SIO2234432/2242661/SIO2242371] The 'dts X' logo will appear in HPX/Audio control when connect a 3.5mm jack headset to unit. - HP-Jira
•	[HPXWC-23050] [Audio Control] default presets are not selected upon landing on to audio control screen. - HP-Jira
•	[HPXWC-22348] [SIO2287557] There is no 'Movie' mode in HPX Audio Control/Presets. - HP-Jira
•	[HPXWC-22352] [SIO2287606] There is no 'Adaptive Audio' option in HPX Audio Control. - HP-Jira
•	[HPXAPPS-15726] [SFT_CSS][HPID] Pre-population of data fails to appear in sign in page post selecting avatar icon. - HP-Jira
•	[HPXWC-22066] [AudioControl][Commercial][Eviee] Auto option will disappear after clicking Restore defaults button - HP-Jira
•	[HPXWC-22362] [AudioControl] Preset does not automatically swap to voice on Maokong24 machine - HP-Jira
•	[HPXWC-21838] [SmartExps][BackgroundTask] Integrate sensor API with smart-experiences background task - HP-Jira
•	[HPXWC-23157] Revert Realtek SDK to 1.48.320.101 on main branch - HP-Jira
•	[HPXAPPS-17319] [SFT_CSS][TOUModal] Dark Mode is not getting properly applied for Hyperlinks on TOU Modal Page - HP-Jira
•	[HPXWC-21239] [SIO2275912] : HPPK key no function after set 'key sequence' by press Copilot key in HPX/Programmable Key. - HP-Jira
•	[HPXWC-22335] [SFT_MPH][EnergyConsumption] For 12hrs there is a slight variation in the graph plot points - HP-Jira
•	[HPXWC][Pen] Pen sensitivity string update by ketan-bhokare · Pull Request #9370 · hpx/hpx-winclient</t>
    </r>
  </si>
  <si>
    <t>38.42436.828.0.A.1</t>
  </si>
  <si>
    <t>P017JU-B2M</t>
  </si>
  <si>
    <r>
      <rPr>
        <sz val="11"/>
        <color rgb="FFFF0000"/>
        <rFont val="Calibri"/>
        <family val="2"/>
      </rPr>
      <t xml:space="preserve">"NOTE: When testing, please turn off auto update in MS Store app first to avoid being automatically updated to the latest version on MS Store.
For 2025 NPI with CF before 2025/2/5
For SnowWhite
</t>
    </r>
    <r>
      <rPr>
        <sz val="11"/>
        <color rgb="FF000000"/>
        <rFont val="Calibri"/>
        <family val="2"/>
      </rPr>
      <t xml:space="preserve">
Changes:
•	[HPXWC-23428] [SmartExp] Smart Experience is missing - HP-Jira
•	[HPXWC-23291] SIO2277911 - [Luisa14][OOC][IEC][BV-NPI][W82_921001][Func][F.22.5 AC1_Step:13]: Offset 0x2D show 0 instead of 1 when test with APMF Enable+AC/DC+Performance+Best Performance/Balanced/Best Power Efficiency/Battery saver mode. - HP-Jira
•	[HPXWC-22960] [Smart Experiences][VisionAI]Integrate Classic UI Onlooker &amp; Attention-Focus Features with Native APIs - HP-Jira
•	[HPXWC-22782] [Pen] [Classic]Saga side changes for Roo features - HP-Jira
•	[HPXAPPS-556] Enable StrictMode in the HPX application - HP-Jira
•	[HPXAPPS-18690] Bump Major version post branching for RC 9A - HP-Jira
•	[HPXWC-23213] [Pen][Roo][Classic] Hover for Pen setting button - HP-Jira
•	[HPXWC-23370] [Smart Experiences][VisionAI]Create screen blur and sureView option under onlooker detection - HP-Jira
•	[HPXWC-22928] [HPX][SystemControl] Some context missing AUID on focus mode in system control. - HP-Jira
•	[HPXWC-20555] [Dock] [Bug] Review and Add Analytics ID to Phase 1 Dock Page - HP-Jira
•	[HPXWC][Pen] Feature flag updated for roo pen by ketan-bhokare · Pull Request #9403 · hpx/hpx-winclient
•	[HPXWC-23296] [SFT_MPH][EnergyConsumption][L10N] Values are not showing up on clicking plotting points in AR language - HP-Jira
•	[HPXWC-19572] [SFT_MPH][Dock_Station] High contrast mode is not applied properly for Dock Support button - HP-Jira
•	[HPXAPPS-17313] [SFT_CSS][TOUModal][Accessibility] When we maximize text size and resize the application, Decline word breaks to next line - HP-Jira
•	[HPXAPPS-17314] [SFT_CSS][TOUModal][Accessibility] High contrast theme fails to apply properly for Decline button - HP-Jira
•	[HPXAPPS-18051] [ToU] The spacing between the lines and buttons size differs from Figma design. - HP-Jira
•	[HPXWC-22152] [SIO2285720] Equalizer is availabled in Myhp-&gt; Audio Control page when inserting headphone. - HP-Jira
•	[HPXAPPS-14484] No copy menu shows out when right click on selected text of My PC - HP-Jira</t>
    </r>
  </si>
  <si>
    <t>Rebrand</t>
  </si>
  <si>
    <t>38.22436.390.0.A.1</t>
  </si>
  <si>
    <t>P017JU-B2N</t>
  </si>
  <si>
    <r>
      <rPr>
        <sz val="11"/>
        <color rgb="FFFF0000"/>
        <rFont val="Calibri"/>
        <family val="2"/>
      </rPr>
      <t xml:space="preserve">"NOTE: When testing, please turn off auto update in MS Store app first to avoid being automatically updated to the latest version on MS Store.
For 2025 NPI with CF 2025/2/5 and after
This is the first HPX rebrand build.
Please only focus on below features and ignore others:
</t>
    </r>
    <r>
      <rPr>
        <sz val="11"/>
        <rFont val="Calibri"/>
        <family val="2"/>
      </rPr>
      <t xml:space="preserve">• PC Device page with
           o Video Control
           oProg Key
• Dock Page
• Pen Page
</t>
    </r>
    <r>
      <rPr>
        <sz val="11"/>
        <color rgb="FF000000"/>
        <rFont val="Calibri"/>
        <family val="2"/>
      </rPr>
      <t xml:space="preserve">
</t>
    </r>
  </si>
  <si>
    <t xml:space="preserve">1. PC Device page
2. Video Control
3. HP Programmable Key
4. Docking
5. Pen Control
</t>
  </si>
  <si>
    <t>9A RC1</t>
  </si>
  <si>
    <t>37.52435.995.0.A.1</t>
  </si>
  <si>
    <t>P017JU-B2L</t>
  </si>
  <si>
    <r>
      <rPr>
        <sz val="11"/>
        <color rgb="FFFF0000"/>
        <rFont val="Calibri"/>
        <family val="2"/>
      </rPr>
      <t xml:space="preserve">"NOTE: When testing, please turn off auto update in MS Store app first to avoid being automatically updated to the latest version on MS Store.
For 2025 NPI Arizona Refresh2 and Eviee
</t>
    </r>
    <r>
      <rPr>
        <sz val="11"/>
        <color rgb="FF000000"/>
        <rFont val="Calibri"/>
        <family val="2"/>
      </rPr>
      <t xml:space="preserve">
Changes:
•	[HPXWC-23428] [SmartExp] Smart Experience is missing - HP-Jira
•	[HPXWC-22104] [HPD URL][New UI][Feature flag] Create FF for rebrand UI - HP-Jira
•	[HPXAPPS-17255] Promoter Bot Implementation in DevOps Dashboard | Part 2 - HP-Jira
•	[HPXWC-22960] [Smart Experiences][VisionAI]Integrate Classic UI Onlooker &amp; Attention-Focus Features with Native APIs - HP-Jira
•	[HPXAPPS-12854] [Privacy][SNN] Disable SNN screen as part of common consent feature implementation. - HP-Jira
•	[HPXWC-22928] [HPX][SystemControl] Some context missing AUID on focus mode in system control. - HP-Jira</t>
    </r>
  </si>
  <si>
    <t>38.42438.856.0.A.1</t>
  </si>
  <si>
    <t>P017JU-B2S</t>
  </si>
  <si>
    <r>
      <rPr>
        <sz val="11"/>
        <color rgb="FFFF0000"/>
        <rFont val="Calibri"/>
        <family val="2"/>
      </rPr>
      <t xml:space="preserve">"NOTE: When testing, please turn off auto update in MS Store app first to avoid being automatically updated to the latest version on MS Store.
For 2025 NPI with CF before 2025/2/5 except Arizona Refresh 2 and Eviee
For SnowWhite
</t>
    </r>
    <r>
      <rPr>
        <sz val="11"/>
        <color rgb="FF000000"/>
        <rFont val="Calibri"/>
        <family val="2"/>
      </rPr>
      <t xml:space="preserve">
Changes:
•	[HPXWC-24145] [Display Control][Classis &amp; Rebrand] Display Control &amp; System Control Modules are not visible on Rebrand and classic UI - HP-Jira 
•	[HPXWC-24184] [PenControl] Pen control is missing on prod build 38.52438.1027.0 - HP-Jira
•	[HPXWC-24192] [SFT_MPH][OTA][ScreenDistance] Screen distance Toggle button is not working - HP-Jira
•	[HPXWC-23939] [Smart Experiences][VisionAI]Update default preset value and refactore restore default button code - HP-Jira
•	[HPXAPPS-18764] Memory failures - fail_fast_fatal_app_exit_cpp_exception_c0000409_rncconfig.dll!winrt::microsoft::reactnative::reactmemberinfoiterator... by samuel-santiago · Pull Request #9625 · hpx/hpx-winclient
•	[HPXWC-22989]: Remove HPAC Dependency by eric-gilchrist · Pull Request #9707 · hpx/hpx-winclient
•	[HPXWC-24218] [SFT_MPH][OTA][Audio control] Restore button Functionality is not working - HP-Jira
•	[HPXWC-24212] [SFT_MPH][OTA][Audio control] Appsetting Module is missing - HP-Jira
•	[HPXWC-24083] [Audio control] restore popup not coming when click on restore button - HP-Jira
•	[HPXG-1447] [ScreenTime][ScreenDistance] Screen time and Screen distance UI issue. - HP-Jira</t>
    </r>
  </si>
  <si>
    <t>10A Production</t>
  </si>
  <si>
    <t>38.52438.1036.0.A.1</t>
  </si>
  <si>
    <t>P017JU-B2T</t>
  </si>
  <si>
    <r>
      <rPr>
        <sz val="11"/>
        <color rgb="FFFF0000"/>
        <rFont val="Calibri"/>
        <family val="2"/>
      </rPr>
      <t xml:space="preserve">"NOTE: When testing, please turn off auto update in MS Store app first to avoid being automatically updated to the latest version on MS Store.
For 2025 NPI Arizona Refresh2 and Eviee
</t>
    </r>
    <r>
      <rPr>
        <sz val="11"/>
        <color rgb="FF000000"/>
        <rFont val="Calibri"/>
        <family val="2"/>
      </rPr>
      <t xml:space="preserve">
Changes:
•	[HPXWC-24145] [Display Control][Classis &amp; Rebrand] Display Control &amp; System Control Modules are not visible on Rebrand and classic UI - HP-Jira 
•	[HPXWC-24184] [PenControl] Pen control is missing on prod build 38.52438.1027.0 - HP-Jira
•	[HPXWC-24192] [SFT_MPH][OTA][ScreenDistance] Screen distance Toggle button is not working - HP-Jira
•	[HPXWC-23939] [Smart Experiences][VisionAI]Update default preset value and refactore restore default button code - HP-Jira
•	[HPXAPPS-18764] Memory failures - fail_fast_fatal_app_exit_cpp_exception_c0000409_rncconfig.dll!winrt::microsoft::reactnative::reactmemberinfoiterator... by samuel-santiago · Pull Request #9625 · hpx/hpx-winclient
•	[HPXWC-22989]: Remove HPAC Dependency by eric-gilchrist · Pull Request #9707 · hpx/hpx-winclient
•	[HPXWC-24218] [SFT_MPH][OTA][Audio control] Restore button Functionality is not working - HP-Jira
•	[HPXWC-24212] [SFT_MPH][OTA][Audio control] Appsetting Module is missing - HP-Jira
•	[HPXWC-24083] [Audio control] restore popup not coming when click on restore button - HP-Jira
•	[HPXG-1447] [ScreenTime][ScreenDistance] Screen time and Screen distance UI issue. - HP-Jira</t>
    </r>
  </si>
  <si>
    <t>38.42439.875.0.A.1</t>
  </si>
  <si>
    <t>P017JU-B2U</t>
  </si>
  <si>
    <r>
      <rPr>
        <sz val="11"/>
        <color rgb="FFFF0000"/>
        <rFont val="Calibri"/>
        <family val="2"/>
      </rPr>
      <t xml:space="preserve">"NOTE: When testing, please turn off auto update in MS Store app first to avoid being automatically updated to the latest version on MS Store.
For 2025 NPI with CF before 2025/2/5 except Arizona Refresh 2 and Eviee
</t>
    </r>
    <r>
      <rPr>
        <sz val="11"/>
        <color rgb="FF000000"/>
        <rFont val="Calibri"/>
        <family val="2"/>
      </rPr>
      <t xml:space="preserve">
Changes:
•	[HPXWC-23551] [AudioControl][Snowwhite] Presets option cannot select on snowwhite machine. - HP-Jira
•	[HPXWC-23549] [AudioControl][Snowwhite] "Auto”option instead of "Movie" option will show on Snowwhite machine. - HP-Jira
•	[HPXWC-24098] [SIO2286017] myHP Audio control doesn't display the Audio brand and logo 'AUDIO BY Band&amp;Oulfsen' with regkey 1, after 3.5mm headphone connected. - HP-Jira
•	[HPXWC-24352] [SystemControl][TPE_SFT][FFT] System control will not map correct mode when select power mode in OS. - HP-Jira
•	[HPXWC-23807] [AudioControl] Presets will show wrongly on Snowflake machine - HP-Jira
•	[HPXWC-20092] [Dock] [Workaround] Add new UI enabling Instadock feature - HP-Jira
•	[HPXWC-20096] [STS][Cybersec][Audio] Using Components with Known Vulnerabilities - HP-Jira
•	[HPXWC-23836] [SFT_MPH][SmartExp] Screen blur effect is working even after disabling screen blur toggle button. - HP-Jira
•	[HPXWC-23749] [SFT_MPH][Instadock] Instadock toggle button is not stable when we switch to other module and navigate back to dock page - HP-Jira
•	[HPXWC-23710] [SFT_MPH][Instadock] Notification is not triggered when we connect second dock that support instadock feature - HP-Jira
•	[HPXWC-23887] [SFT_MPH][ContextAware] Disney+ App is highlighting in the list when we launch 'Disney+' word file/Mail - HP-Jira
•	[HPXWC-23464] [SFT_MPH][ContextAware] Disney + application is not highlighted in the list when we launch it - HP-Jira
•	[HPXWC-23747] [SFT_MPH][Instadock] Instadock info icon tooltip hover state is not proper when we hover on it - HP-Jira</t>
    </r>
  </si>
  <si>
    <t>38.52439.1059.0.A.1</t>
  </si>
  <si>
    <t>P017JU-B2V</t>
  </si>
  <si>
    <r>
      <rPr>
        <sz val="11"/>
        <color rgb="FFFF0000"/>
        <rFont val="Calibri"/>
        <family val="2"/>
      </rPr>
      <t xml:space="preserve">"NOTE: When testing, please turn off auto update in MS Store app first to avoid being automatically updated to the latest version on MS Store.
For 2025 NPI Arizona Refresh2 and Eviee
For SnowWhite
</t>
    </r>
    <r>
      <rPr>
        <sz val="11"/>
        <color rgb="FF000000"/>
        <rFont val="Calibri"/>
        <family val="2"/>
      </rPr>
      <t xml:space="preserve">
Changes:
•	[HPXWC-23551] [AudioControl][Snowwhite] Presets option cannot select on snowwhite machine. - HP-Jira
•	[HPXWC-23549] [AudioControl][Snowwhite] "Auto”option instead of "Movie" option will show on Snowwhite machine. - HP-Jira
•	[HPXWC-24098] [SIO2286017] myHP Audio control doesn't display the Audio brand and logo 'AUDIO BY Band&amp;Oulfsen' with regkey 1, after 3.5mm headphone connected. - HP-Jira
•	[HPXWC-24352] [SystemControl][TPE_SFT][FFT] System control will not map correct mode when select power mode in OS. - HP-Jira
•	[HPXWC-23807] [AudioControl] Presets will show wrongly on Snowflake machine - HP-Jira
•	[HPXWC-20092] [Dock] [Workaround] Add new UI enabling Instadock feature - HP-Jira
•	[HPXWC-20096] [STS][Cybersec][Audio] Using Components with Known Vulnerabilities - HP-Jira
•	[HPXWC-23836] [SFT_MPH][SmartExp] Screen blur effect is working even after disabling screen blur toggle button. - HP-Jira
•	[HPXWC-23749] [SFT_MPH][Instadock] Instadock toggle button is not stable when we switch to other module and navigate back to dock page - HP-Jira
•	[HPXWC-23710] [SFT_MPH][Instadock] Notification is not triggered when we connect second dock that support instadock feature - HP-Jira
•	[HPXWC-23887] [SFT_MPH][ContextAware] Disney+ App is highlighting in the list when we launch 'Disney+' word file/Mail - HP-Jira
•	[HPXWC-23464] [SFT_MPH][ContextAware] Disney + application is not highlighted in the list when we launch it - HP-Jira
•	[HPXWC-23747] [SFT_MPH][Instadock] Instadock info icon tooltip hover state is not proper when we hover on it - HP-Jira</t>
    </r>
  </si>
  <si>
    <t>39.42440.894.0.A.1</t>
  </si>
  <si>
    <t>P017JU-B2Y</t>
  </si>
  <si>
    <r>
      <rPr>
        <sz val="11"/>
        <color rgb="FFFF0000"/>
        <rFont val="Calibri"/>
        <family val="2"/>
      </rPr>
      <t xml:space="preserve">"NOTE: When testing, please turn off auto update in MS Store app first to avoid being automatically updated to the latest version on MS Store.
For 2025 NPI with CF before 2025/2/5 except Arizona Refresh 2 and Eviee
</t>
    </r>
    <r>
      <rPr>
        <sz val="11"/>
        <color rgb="FF000000"/>
        <rFont val="Calibri"/>
        <family val="2"/>
      </rPr>
      <t xml:space="preserve">
Changes:
•	[HPXAPPS-19862] [Auth][SignIn][Regression] Cannot sign in profile by click Chat/Phone from Support page - HP-Jira
•	[HPXWC-24413] [SFT_MPH][Instadock] Instadock is visible only when managed is true in the register editor - HP-Jira
•	[HPXAPPS-19857] [HPX][FeatureFlag][Support] [SIO2302423] Support module is not visible in commercial units. - HP-Jira
•	[HPXWC-24235] Intermittently Desktop Extension crashes on HPX Classic application, while performing any action for Display control, System control , Screen time and Screen Distance Modules on Keelung 32 platform - HP-Jira
•	[HPXAPPS-20416] OCF Resources[Support][FeatureFlag] - Not able to show OCF resources on commercial machines. - HP-Jira
•	[HPXWC-23208] MEP Audio Implementation - HP-Jira
•	[HPXWC-23824] [VisionAI]]Classic]Create Inline Notification component for IDC and add functionality - HP-Jira
•	[HPXAPPS-20336] [DevOps] Dashboard Missing Trigger to Update Versions - HP-Jira
•	[Pen] Crash observed on selecting actions or clicking Lower/Upper barrel, Top Button by naga-aaradhya-mullangi · Pull Request #9823 · hpx/hpx-winclient
•	[HPXWC-23099] [SIO2292930] : Dock name shows garbage in myHP/Dock Station when connecting Hendrixx. - HP-Jira
•	[HPXWC-23495] [Dock] Add Instadock Enabled field in Dock states - HP-Jira
•	[HPXWC-24037] [SFT_MPH][SmartExp] Overlapping of features description strings seen in C&amp;PD UI - HP-Jira
•	[HPXWC-24006] [SFT_MPH][SmartExp][HighContrast] None of the selected text color of contrast themes are reflecting on restore default button. - HP-Jira
•	[HPXWC-24303] [SmartExp][Classic] Presence detection UI is not as per Figma. - HP-Jira</t>
    </r>
  </si>
  <si>
    <t>10A RC3</t>
  </si>
  <si>
    <t>38.52440.1105.0.A.1</t>
  </si>
  <si>
    <t>P017JU-B2Z</t>
  </si>
  <si>
    <r>
      <rPr>
        <sz val="11"/>
        <color rgb="FFFF0000"/>
        <rFont val="Calibri"/>
        <family val="2"/>
      </rPr>
      <t xml:space="preserve">"NOTE: When testing, please turn off auto update in MS Store app first to avoid being automatically updated to the latest version on MS Store.
For 2025 NPI Arizona Refresh2 and Eviee
For SnowWhite
</t>
    </r>
    <r>
      <rPr>
        <sz val="11"/>
        <color rgb="FF000000"/>
        <rFont val="Calibri"/>
        <family val="2"/>
      </rPr>
      <t xml:space="preserve">
Changes:
•	[HPXWC-24603] [DesktopExtension][HPX] Desktop extension is missing after some launches, affecting the visibility and functionality of many modules - HP-Jira
•	[HPXWC-24500] [AudioControl][DisplayControl][ContextAware] Context aware is missing with 10A RC build. (HP.ContextAware.exe crashes when launch the app every time). - HP-Jira
•	[HPXWC-24503] [AudioControl] Presets is missing with 10A RC build on Herbie. - HP-Jira
•	[HPXWC-24504] [AudioControl] "Auto" instead of "Movie" presets will display after re-launch the app on Bopeep. - HP-Jira
•	[HPXWC-24551] [SFT_MPH][OTA][Audio Control] Restore defaults are not working in Audio control module - HP-Jira</t>
    </r>
  </si>
  <si>
    <r>
      <rPr>
        <sz val="11"/>
        <color rgb="FFFF0000"/>
        <rFont val="Calibri"/>
        <family val="2"/>
      </rPr>
      <t xml:space="preserve">"NOTE: When testing, please turn off auto update in MS Store app first to avoid being automatically updated to the latest version on MS Store.
For 2025 NPI Arizona Refresh2
</t>
    </r>
    <r>
      <rPr>
        <sz val="11"/>
        <color rgb="FF000000"/>
        <rFont val="Calibri"/>
        <family val="2"/>
      </rPr>
      <t xml:space="preserve">
Aligned with Arizona Refresh2 SEPM, Arizona Refresh2  will roll back to 9A RC1 for CF.</t>
    </r>
  </si>
  <si>
    <t>1. Home Page
2. Video Control
3. HP Programmable Key
4. Privacy alert
5. Auto Screen Dimming
6. Support
7. Settings
8. System Control
9. Pen
10. Battery Manager
11. Screen Time
12. Screen Distance
13. Gesture
14. Docking</t>
  </si>
  <si>
    <t>39.42441.913.0.A.1</t>
  </si>
  <si>
    <t>P017YZ-B2A</t>
  </si>
  <si>
    <r>
      <rPr>
        <sz val="11"/>
        <color rgb="FFFF0000"/>
        <rFont val="Calibri"/>
        <family val="2"/>
      </rPr>
      <t xml:space="preserve">"NOTE: When testing, please turn off auto update in MS Store app first to avoid being automatically updated to the latest version on MS Store.
For 2025 NPI with CF before 2025/2/5 except Arizona Refresh 2, Eviee and Tekken
</t>
    </r>
    <r>
      <rPr>
        <sz val="11"/>
        <color rgb="FF000000"/>
        <rFont val="Calibri"/>
        <family val="2"/>
      </rPr>
      <t xml:space="preserve">
Changes:
•	[HPXAPPS-20245] [SFT_CSS][AutoLaunch] HPX Auto-launch is failing for win 10 OS with internet. - HP-Jira
•	[HPXAPPS-18642] [ToU] Able to navigate thru the app before ToU modal has been loaded. - HP-Jira
•	[HPXWC-24001] [VisionAI][Localization] Updated the translation file for Classic UI - HP-Jira
•	[HPXWC-24368] [Screen Distance][Proximity] Add 25c1 platforms SSID to classic UI - 2 - HP-Jira
•	[HPXWC-24367] [Screen Time][Proximity] Add 25c1 platforms SSID to classic UI - 2 - HP-Jira
•	[HPXWC-24365] [Energy Consumption] [Classic]: BIOS notification design Update. - HP-Jira
•	[HPXWC-23217] [Context Aware] Integrate rebranded feature flag in CA codebase - HP-Jira
•	[HPXAPPS-18699] Remove Stub Updater - HP-Jira
•	[HPXWC-20320] [Pen][Roo] Show the toggle Pen loss Alert option for Machu 13 LX and Roo pen - HP-Jira
•	[HPXAPPS-19779] [Analytics][Feature flag] Track, review and enable all feature flags available under analytics master flag - HP-Jira
•	[HPXWC-23217] [Context Aware] Integrate rebranded feature flag in CA codebase - HP-Jira
•	[HPXWC-24366] [Energy Consumption] [Classic] : Implementation of Data unavailable and collecting data - HP-Jira
•	[HPXWC-23250] [VisionAI][HDR] Add Video HDR module to HPX - HP-Jira
•	[HPXAPPS-17580] [Analytics] Data not sent to Kibana if user session is less than one minute - Handle PR - HP-Jira
•	[Pen]Update latest translations.json for PenControl classic by yogeshwar-prasad-mali · Pull Request #9894 · hpx/hpx-winclient</t>
    </r>
  </si>
  <si>
    <r>
      <rPr>
        <sz val="11"/>
        <color rgb="FFFF0000"/>
        <rFont val="Calibri"/>
        <family val="2"/>
      </rPr>
      <t xml:space="preserve">"NOTE: When testing, please turn off auto update in MS Store app first to avoid being automatically updated to the latest version on MS Store.
For 2025 NPI Eviee and Tekken
For SnowWhite
</t>
    </r>
    <r>
      <rPr>
        <sz val="11"/>
        <color rgb="FF000000"/>
        <rFont val="Calibri"/>
        <family val="2"/>
      </rPr>
      <t xml:space="preserve">
Changes:
</t>
    </r>
    <r>
      <rPr>
        <sz val="11"/>
        <color rgb="FFFF0000"/>
        <rFont val="Calibri"/>
        <family val="2"/>
      </rPr>
      <t>Energy Consumption has been disabled.</t>
    </r>
    <r>
      <rPr>
        <sz val="11"/>
        <color rgb="FF000000"/>
        <rFont val="Calibri"/>
        <family val="2"/>
      </rPr>
      <t xml:space="preserve">
•	[HPXWC-24603] [DesktopExtension][HPX] Desktop extension is missing after some launches, affecting the visibility and functionality of many modules - HP-Jira
•	[HPXWC-24500] [AudioControl][DisplayControl][ContextAware] Context aware is missing with 10A RC build. (HP.ContextAware.exe crashes when launch the app every time). - HP-Jira
•	[HPXWC-24503] [AudioControl] Presets is missing with 10A RC build on Herbie. - HP-Jira
•	[HPXWC-24504] [AudioControl] "Auto" instead of "Movie" presets will display after re-launch the app on Bopeep. - HP-Jira
•	[HPXWC-24551] [SFT_MPH][OTA][Audio Control] Restore defaults are not working in Audio control module - HP-Jira</t>
    </r>
  </si>
  <si>
    <t>11A Staging
(non-shippable Version)</t>
  </si>
  <si>
    <t>39.42442.944.0.A.1</t>
  </si>
  <si>
    <t>P017YZ-B2B</t>
  </si>
  <si>
    <r>
      <rPr>
        <sz val="11"/>
        <color rgb="FFFF0000"/>
        <rFont val="Calibri"/>
        <family val="2"/>
      </rPr>
      <t xml:space="preserve">"NOTE: When testing, please turn off auto update in MS Store app first to avoid being automatically updated to the latest version on MS Store.
For 2025 NPI with CF before 2025/2/5 except Arizona Refresh 2, Eviee and Tekken
</t>
    </r>
    <r>
      <rPr>
        <sz val="11"/>
        <color rgb="FF000000"/>
        <rFont val="Calibri"/>
        <family val="2"/>
      </rPr>
      <t xml:space="preserve">
Changes:
•	[HPXWC-24830] [Audio] User Experience with MEP Voice Focus Switch -Translations - HP-Jira
•	[HPXAPPS-20810] [DevOps][HPX] Add "Desktop Extension" Label Automatically Based on Changed Files - HP-Jira
•	[HPXWC-25017] [ContextAware]Update feature filter for ContextAwareBase - HP-Jira
•	[HPXAPPS-19188] [Analytics][Performance] Implement infrastructure for performance CDM in hpx win client library. - HP-Jira
•	[HPXWC-24881] Implement Localization for Video control action card title - HP-Jira
•	[HPXWC-24002] [VisionAI]Integrate Classic UI HDR Features with Native APIs - HP-Jira
•	[HPXWC-24134] [SFT_MPH][SystemControl][Commercial] Unable to select Best Power Efficiency on windows power mode settings - HP-Jira
•	[HPXWC-23907] [Audio][Edna]Restore Default button loading with much delay after being clicked. - HP-Jira
•	Add ARM64 support to HPX classic by kyle-peterson · Pull Request #9632 · hpx/hpx-winclient
•	[HPXAPPS-12468] [SFT_CSS][Bell] Narrator reading sort button in bell flyout as "sort button button". - HP-Jira
•	[HPXWC-24823] [SFT_MPH][PenControl][Commercial] Unable to scroll in the page while scale changed in windows settings - HP-Jira
•	[HPXWC-24821] [SFT_MPH][PenControl][Commercial][Tab] Toggle button overlaps with the element selector when navigated through tab key - HP-Jira
•	[HPXWC-24816] [SFT_MPH][PenControl][Commercial] Onestep inking dropdown doesnt match figma design when expanded - HP-Jira
•	[HPXWC-24817] [SFT_MPH][PenControl][Commercial] Onestep inking Dropdown cut-off while HPX windows is resized - HP-Jira</t>
    </r>
  </si>
  <si>
    <t>Rebrand
(non-shippable Version)</t>
  </si>
  <si>
    <t>39.22441.1813.0.A.1</t>
  </si>
  <si>
    <t>P017YZ-B2C</t>
  </si>
  <si>
    <r>
      <rPr>
        <sz val="11"/>
        <color rgb="FFFF0000"/>
        <rFont val="Calibri"/>
        <family val="2"/>
      </rPr>
      <t xml:space="preserve">"NOTE: When testing, please turn off auto update in MS Store app first to avoid being automatically updated to the latest version on MS Store.
For 2025 NPI with CF 2025/2/5 and after
Please only focus on below features and ignore others:
</t>
    </r>
    <r>
      <rPr>
        <sz val="11"/>
        <rFont val="Calibri"/>
        <family val="2"/>
      </rPr>
      <t>1. PC Device page
2. Video Control
3. HP Programmable Key
4. Docking (No instadock)
5. Pen Control
6. Battery Manager
7. System Control</t>
    </r>
    <r>
      <rPr>
        <sz val="11"/>
        <color rgb="FF000000"/>
        <rFont val="Calibri"/>
        <family val="2"/>
      </rPr>
      <t xml:space="preserve">
</t>
    </r>
  </si>
  <si>
    <t xml:space="preserve">1. PC Device page
2. Video Control
3. HP Programmable Key
4. Docking (No instadock)
5. Pen Control
6. Battery Manager
7. System Control
</t>
  </si>
  <si>
    <t>11A Production
(Non-shippable Version)</t>
  </si>
  <si>
    <t>39.52443.1184.0.A.1</t>
  </si>
  <si>
    <t>P017YZ-B2D</t>
  </si>
  <si>
    <r>
      <rPr>
        <sz val="11"/>
        <color rgb="FFFF0000"/>
        <rFont val="Calibri"/>
        <family val="2"/>
      </rPr>
      <t xml:space="preserve">"NOTE: When testing, please turn off auto update in MS Store app first to avoid being automatically updated to the latest version on MS Store.
For 2025 NPI MasadaN, MasadaNX, MaldiveRT6U 2.0, Chiron
</t>
    </r>
    <r>
      <rPr>
        <sz val="11"/>
        <color rgb="FF000000"/>
        <rFont val="Calibri"/>
        <family val="2"/>
      </rPr>
      <t xml:space="preserve">
Changes:
</t>
    </r>
    <r>
      <rPr>
        <sz val="11"/>
        <rFont val="Calibri"/>
        <family val="2"/>
      </rPr>
      <t>•	[HPXAPPS-19857] [HPX][FeatureFlag][Support] [SIO2302423] Support module is not visible in commercial units. - HP-Jira
•	[HPXAPPS-20416] OCF Resources[Support][FeatureFlag] - Not able to show OCF resources on commercial machines. - HP-Jira
•	[HPXAPPS-20245] [SFT_CSS][AutoLaunch] HPX Auto-launch is failing for win 10 OS with internet. - HP-Jira
•	[HPXWC-24001] [VisionAI][Localization] Updated the translation file for Classic UI - HP-Jira
•	[HPXWC-24961] [HPX] Performance modes are not sync with system settings - HP-Jira
•	[HPXWC-24686] [SIO2293027/SIO2296876] MyHP auto closed unexceptedly when first auto launch it with internet on Win11 24H2 OS. - HP-Jira
•	[HPXWC-24365] [Energy Consumption] [Classic]: BIOS notification design Update. - HP-Jira
•	[HPXWC-23250] [VisionAI][HDR] Add Video HDR module to HPX - HP-Jira
•	[HPXWC-24830] [Audio] User Experience with MEP Voice Focus Switch -Translations - HP-Jira
•	[HPXAPPS-19188] [Analytics][Performance] Implement infrastructure for performance CDM in hpx win client library. - HP-Jira
•	[HPXWC-24002] [VisionAI]Integrate Classic UI HDR Features with Native APIs - HP-Jira
•	[HPXWC-24366] [Energy Consumption] [Classic] : Implementation of Data unavailable and collecting data - HP-Jira
•	[HPXWC-25078] [Smart Experiences][VisionAI]Auto HDR should be visible on supported devices - HP-Jira
•	[HPXWC-24020] [VisionAI] Narrator and Tab functionality support for classic UI - HP-Jira
•	[HPXWC-20544] [Dock][Classic] Dock page improvements - HP-Jira
•	[HPXWC-25076] [VisionAI] Analytics support for classic UI - HP-Jira
•	[HPXWC-23099] [SIO2292930] : Dock name shows garbage in myHP/Dock Station when connecting Hendrixx. - HP-Jira
•	[HPXWC-23495] [Dock] Add Instadock Enabled field in Dock states - HP-Jira
•	[HPXWC-24037] [SFT_MPH][SmartExp] Overlapping of features description strings seen in C&amp;PD UI - HP-Jira
•	[HPXWC-24006] [SFT_MPH][SmartExp][HighContrast] None of the selected text color of contrast themes are reflecting on restore default button. - HP-Jira
•	[HPXWC-24303] [SmartExp][Classic] Presence detection UI is not as per Figma. - HP-Jira
•	[HPXWC-24134] [SFT_MPH][SystemControl][Commercial] Unable to select Best Power Efficiency on windows power mode settings - HP-Jira
•	[HPXWC-24823] [SFT_MPH][PenControl][Commercial] Unable to scroll in the page while scale changed in windows settings - HP-Jira
•	[HPXWC-24821] [SFT_MPH][PenControl][Commercial][Tab] Toggle button overlaps with the element selector when navigated through tab key - HP-Jira
•	[HPXWC-24816] [SFT_MPH][PenControl][Commercial] Onestep inking dropdown doesnt match figma design when expanded - HP-Jira
•	[HPXWC-24817] [SFT_MPH][PenControl][Commercial] Onestep inking Dropdown cut-off while HPX windows is resized - HP-Jira
•	[HPXWC-24895] [energy consumption][AUID] AUID missing for both logo(energy consumption &amp; hp) - HP-Jira
•	[HPXWC-24196] [SIO2300994] : Show HP EliteBook 840 G10's report after launch Product Carbon Footprint link in myHP/Energy Consumption. - HP-Jira
•	[HPXWC-24480] [SFT_MPH][Instadock]The product name is displaying as "NA" when we connect the second dock to the platform. - HP-Jira
•	[HPXWC-25200] SIO2308864 - [NB][MasadaN][PV][IEC][SCIT-NPI][SIT][X90_00.22.00][Win11][24H2]: Brightness increases after SureView enabled and onlooker is detected in myHP - HP-Jira</t>
    </r>
  </si>
  <si>
    <t>11A Staging
(Non-shippable Version)</t>
  </si>
  <si>
    <t>39.42443.985.0.A.1</t>
  </si>
  <si>
    <t>P017YZ-B2E</t>
  </si>
  <si>
    <r>
      <rPr>
        <sz val="11"/>
        <color rgb="FFFF0000"/>
        <rFont val="Calibri"/>
        <family val="2"/>
      </rPr>
      <t xml:space="preserve">"NOTE: When testing, please turn off auto update in MS Store app first to avoid being automatically updated to the latest version on MS Store.
For 2025 NPI Storks, Trolls, Selena, Tangled, TangledZ
</t>
    </r>
    <r>
      <rPr>
        <sz val="11"/>
        <color rgb="FF000000"/>
        <rFont val="Calibri"/>
        <family val="2"/>
      </rPr>
      <t xml:space="preserve">
Changes:
•	[HPXWC-24686] [SIO2293027/SIO2296876] MyHP auto closed unexceptedly when first auto launch it with internet on Win11 24H2 OS. - HP-Jira
•	[HPXWC-24366] [Energy Consumption] [Classic] : Implementation of Data unavailable and collecting data - HP-Jira
•	[HPXWC-25078] [Smart Experiences][VisionAI]Auto HDR should be visible on supported devices - HP-Jira
•	[HPXWC-24020] [VisionAI] Narrator and Tab functionality support for classic UI - HP-Jira
•	[HPXWC-20544] [Dock][Classic] Dock page improvements - HP-Jira
•	[HPXWC-25076] [VisionAI] Analytics support for classic UI - HP-Jira
•	[HPXWC-24895] [energy consumption][AUID] AUID missing for both logo(energy consumption &amp; hp) - HP-Jira
•	[HPXWC-24196] [SIO2300994] : Show HP EliteBook 840 G10's report after launch Product Carbon Footprint link in myHP/Energy Consumption. - HP-Jira
•	[HPXWC-24480] [SFT_MPH][Instadock]The product name is displaying as "NA" when we connect the second dock to the platform. - HP-Jira
•	[HPXWC-25200] SIO2308864 - [NB][MasadaN][PV][IEC][SCIT-NPI][SIT][X90_00.22.00][Win11][24H2]: Brightness increases after SureView enabled and onlooker is detected in myHP - HP-Jira</t>
    </r>
  </si>
  <si>
    <t>Rebrand - ITG
(non-shippable Version)</t>
  </si>
  <si>
    <t>39.22444.2390.0.A.1</t>
  </si>
  <si>
    <t>P017YZ-B2F</t>
  </si>
  <si>
    <t>39.42444.1004.0.A.1</t>
  </si>
  <si>
    <t>P017YZ-B2G</t>
  </si>
  <si>
    <r>
      <rPr>
        <sz val="11"/>
        <color rgb="FFFF0000"/>
        <rFont val="Calibri"/>
        <family val="2"/>
      </rPr>
      <t xml:space="preserve">"NOTE: When testing, please turn off auto update in MS Store app first to avoid being automatically updated to the latest version on MS Store.
For 2025 NPI Storks, Trolls, Selena, Tangled, TangledZ
</t>
    </r>
    <r>
      <rPr>
        <sz val="11"/>
        <color rgb="FF000000"/>
        <rFont val="Calibri"/>
        <family val="2"/>
      </rPr>
      <t xml:space="preserve">
Changes:
•	[HPXAPPS-22022] [SFT_CSS][FFT_OTA][Classic][Support][SIO2310218 / SIO2311971][FeatureFlag] Few diagnostic cards are missing in support device page on commercial platforms. - HP-Jira
•	[HPXWC-24760] [SFT_MPH][OTA][AudioControl] Six presets and dts X logo is showing when connecting USB headset on Hyatt unit. - HP-Jira
•	[HPXSUP-3480] Diagnostics [SIO2310149 / SIO2312362 ]- There is no response after clicking diagnostics tools since HPX_39.42442.937.0. - HP-Jira
•	[HPXWC-25458] [HPX][AudioControl][Rebrand/Classic] Most features are disabled in latest production x64 build 39.52443.1200.0. - HP-Jira
•	[HPXWC-24638] [Smart Experiences][VisionAI]Create Blur Screen UI as per new figma - HP-Jira
•	[HPXWC-25275] [Energy Consumption]: Daily Average value conversion from Wh to KWh - HP-Jira
•	[HPXWC-23792] [Dock][API][WorkAround] Create API to set new property on firmware (Set Property) - HP-Jira
•	[HPXWC-24026] [VisionAI] Highcontrast for classic UI - HP-Jira
•	[HPXWC-23812] [SFT_MPH][EnergyConsumption][L10N] "Bios update" Warning message is not localized - HP-Jira
•	[HPXWC-23447] [SFT_MPH][EnergyConsumption][L10N] Daily average value is not showing correct when a language is applied - HP-Jira
•	[HPXWC-23463] [SFT_MPH][EnergyConsumption][L10N] Daily average is showing "0" in some of the languages - HP-Jira
•	[HPXWC-23437] [SIO2289027] The MSG 'HP.ContextAware.exe-Bad image' pop up when boot into system. - HP-Jira
•	[HPXAPPS-21751] [SFT_CSS][HPID] User Initials are not seen until the Avatar Icon is clicked post sign in. - HP-Jira
•	[HPXWC-25150] [AudioControl][L10N] MEP message is not localized on hr-HR language. - HP-Jira</t>
    </r>
  </si>
  <si>
    <t>39.52444.1209.0.A.1</t>
  </si>
  <si>
    <t>P017YZ-B2H</t>
  </si>
  <si>
    <r>
      <rPr>
        <sz val="11"/>
        <color rgb="FFFF0000"/>
        <rFont val="Calibri"/>
        <family val="2"/>
      </rPr>
      <t xml:space="preserve">"NOTE: When testing, please turn off auto update in MS Store app first to avoid being automatically updated to the latest version on MS Store.
For 2025 NPI MasadaN, MasadaNX, MaldiveRT6U 2.0, Chiron
</t>
    </r>
    <r>
      <rPr>
        <sz val="11"/>
        <color rgb="FF000000"/>
        <rFont val="Calibri"/>
        <family val="2"/>
      </rPr>
      <t xml:space="preserve">
Changes:
</t>
    </r>
    <r>
      <rPr>
        <sz val="11"/>
        <rFont val="Calibri"/>
        <family val="2"/>
      </rPr>
      <t>•	[HPXAPPS-22022] [SFT_CSS][FFT_OTA][Classic][Support][SIO2310218 / SIO2311971][FeatureFlag] Few diagnostic cards are missing in support device page on commercial platforms. - HP-Jira
•	[HPXWC-24760] [SFT_MPH][OTA][AudioControl] Six presets and dts X logo is showing when connecting USB headset on Hyatt unit. - HP-Jira
•	[HPXSUP-3480] Diagnostics [SIO2310149 / SIO2312362 ]- There is no response after clicking diagnostics tools since HPX_39.42442.937.0. - HP-Jira
•	[HPXWC-25458] [HPX][AudioControl][Rebrand/Classic] Most features are disabled in latest production x64 build 39.52443.1200.0. - HP-Jira
•	[HPXWC-24026] [VisionAI] Highcontrast for classic UI - HP-Jira
•	[HPXWC-23812] [SFT_MPH][EnergyConsumption][L10N] "Bios update" Warning message is not localized - HP-Jira
•	[HPXWC-25384] Resolve the issue where the feature process does not automatically launch on specific devices during the initial launch of myHP - HP-Jira
•	[HPXWC-23447] [SFT_MPH][EnergyConsumption][L10N] Daily average value is not showing correct when a language is applied - HP-Jira
•	[HPXWC-23463] [SFT_MPH][EnergyConsumption][L10N] Daily average is showing "0" in some of the languages - HP-Jira
•	[HPXWC-23437] [SIO2289027] The MSG 'HP.ContextAware.exe-Bad image' pop up when boot into system. - HP-Jira
•	[HPXAPPS-21751] [SFT_CSS][HPID] User Initials are not seen until the Avatar Icon is clicked post sign in. - HP-Jira
•	[HPXWC-25150] [AudioControl][L10N] MEP message is not localized on hr-HR language. - HP-Jira</t>
    </r>
  </si>
  <si>
    <t>1. Home Page
2. Video Control
3. HP Programmable Key
4. Privacy alert
5. Auto Screen Dimming
6. Support
7. Settings
8. System Control
9. Pen
10. Battery Manager
11. Screen Time
12. Screen Distance
13. Gesture
14. Docking
15. Audio Control
16. Energy Consumption</t>
  </si>
  <si>
    <t>Rebrand - STG
(Non-shippable Version)</t>
  </si>
  <si>
    <t>39.42444.248.0.A.1</t>
  </si>
  <si>
    <t>P017YZ-B2K</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</si>
  <si>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[HPXAPPS-22030] [SignIn][Support][Regression] It doesn't refresh Device list when sign in profile from Support page - HP-Jira
•	[HPXAPPS-20367] [SFT_MPH][Rebrand][Core] Able to see HPX modules UI when we launch through deep links on unsupported platforms - HP-Jira
Jira[HPXAPPS-20948] [SFT_MPH][PCDevice][L10N] PC Device strings was not aligned RTL in AR and HE languages - HP-Jira
•	[HPXAPPS-21492] [Settings Privacy] UI development for L2 Screen for Printer Privacy and Integrate with NB API printer list method - Handle PR - HP-Jira
•	[HPXAPPS-21385] [Settings Privacy] Only show printers linked to the Cloud account - HP-Jira
•	[HPXAPPS-19777] [Analytics][Feature Visibility] Implement feature visibility CDM in HPX winclient - HP-Jira
•	[HPXWC-25385] [SFT_MPH][Rebrand][ContextAware] Some feature string state is not matching with figma - HP-Jira
•	[HPXAPPS-20393] [HPX][Settings][ManagePrivacy] UI issues on Manage privacy preferences screen - HP-Jira
•	[HPXAPPS-21396] [Rebrand][SmartExp] Deeplink is not working for smartexperience - HP-Jira
•	[HPXAPPS-22609] [DeviceListView][STG] Empty device list only on Rebrand STG after Sign in - HP-Jira</t>
    </r>
  </si>
  <si>
    <t xml:space="preserve">Please only focus testing on:
1. PC Device page
2. Video Control
3. HP Programmable Key
4. Docking (No instadock)
5. Pen Control
6. Battery Manager
7. System Control
</t>
  </si>
  <si>
    <t>39.52445.123.0.A.1</t>
  </si>
  <si>
    <t>P017YZ-B2J</t>
  </si>
  <si>
    <r>
      <rPr>
        <sz val="11"/>
        <color rgb="FFFF0000"/>
        <rFont val="Calibri"/>
        <family val="2"/>
      </rPr>
      <t xml:space="preserve">"NOTE: When testing, please turn off auto update in MS Store app first to avoid being automatically updated to the latest version on MS Store.
For 2025 NPI MasadaN, MasadaNX, MaldiveRT6U 2.0, Chiron
</t>
    </r>
    <r>
      <rPr>
        <sz val="11"/>
        <color rgb="FF000000"/>
        <rFont val="Calibri"/>
        <family val="2"/>
      </rPr>
      <t xml:space="preserve">
Changes:
</t>
    </r>
    <r>
      <rPr>
        <sz val="11"/>
        <rFont val="Calibri"/>
        <family val="2"/>
      </rPr>
      <t>•	[HPXAPPS-22030] [SignIn][Support][Regression] It doesn't refresh Device list when sign in profile from Support page - HP-Jira
•	[HPXWC-24502] [SIO2304045] : The Presets items is not available in the Audio control of myHP application. - HP-Jira
•	[HPXAPPS-22169] [SFT_MPH][Rebrand&amp;Classic] HPPK Configurations are not being fetched and saved. - HP-Jira
•	[HPXAPPS-21998] [SIO2293027/SIO2296876] MyHP auto closed unexceptedly when first auto launch it with internet on Win11 24H2 OS. - HP-Jira
•	[HPXAPPS-19777] [Analytics][Feature Visibility] Implement feature visibility CDM in HPX winclient - HP-Jira</t>
    </r>
  </si>
  <si>
    <t>40.42446.571.0.A.1</t>
  </si>
  <si>
    <t>P017YZ-B2R</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</si>
  <si>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[HPXWC-25886] [SFT_MPH][Rebrand][PenControl][Consumer] Pen Control module is not visible in the application with both HPX ITG v. 39.22445.2804.0/HPX STG v. 39.42445.349.0 - HP-Jira
•	[HPXAPPS-23197] [SFT_MPH][OTA_FFT][ContextAware] Application is not highlighting in the list when we launch it and add functionality is not working. - HP-Jira
•	[HPXWC-24954] [AudioControl][Rebrand] Audio have shown on machines without FB "sZ". - HP-Jira
•	[HPXWC-25929] [Audio][Rebrand] Immersive audio isn't showing up on ITG - HP-Jira
•	[HPXWC-25692] [HPX-R] [SysCtrl] [UI]: Upgrade the UIToolkit version to 0.5.0 and Check all the components are working fine or not - HP-Jira
•	[HPXWC-17852] Narrator for PCDevice - action cards - HP-Jira
•	[HPXWC-12676] [Pen][Commercial] Show Low/Medium/High/Full battery level for Non BT supported Pen - HP-Jira
•	[HPXAPPS-22472] [HPX][Startup] Improve performance on 2nd and First Launch of the onboarding - HP-Jira
•	[HPXG-1938] [Function] The "Close" and "Cancel" which have same function buttons display on the Processing Scan dialog. - HP-Jira
•	[HPXG-1949] [UI] The "- xx +" and do and redo icons are overlapped with image when increasing the image size on the Edit -&gt; Adjust/Filters page. - HP-Jira
•	[HPXWC-25223] [SFT_MPH][Rebrand][SystemControl][Commercial] Intermittently System control UI keeps loading - HP-Jira</t>
    </r>
  </si>
  <si>
    <t>11A RC2
(Shippable Version)</t>
  </si>
  <si>
    <t>39.52446.140.0.A.1</t>
  </si>
  <si>
    <t>P017YZ-B2Q</t>
  </si>
  <si>
    <r>
      <rPr>
        <sz val="11"/>
        <color rgb="FFFF0000"/>
        <rFont val="Calibri"/>
        <family val="2"/>
      </rPr>
      <t xml:space="preserve">"NOTE: When testing, please turn off auto update in MS Store app first to avoid being automatically updated to the latest version on MS Store.
For 2025 NPI MasadaN, MasadaNX, MaldiveRT6U 2.0, Chiron
</t>
    </r>
    <r>
      <rPr>
        <sz val="11"/>
        <color rgb="FF000000"/>
        <rFont val="Calibri"/>
        <family val="2"/>
      </rPr>
      <t xml:space="preserve">
Changes:
</t>
    </r>
    <r>
      <rPr>
        <sz val="11"/>
        <rFont val="Calibri"/>
        <family val="2"/>
      </rPr>
      <t>•	Enable Camera and presence detection
•	Privacy Alert and Auto Screen Dimming combined into Presence Detection
•	[HPXAPPS-22110] [SFT_CSS][OTA_FFT][Classic][Core] myHP is crashing on CORP OS platforms while navigating from module to module. - HP-Jira
•	[HPXAPPS-23571] [11A RC] "Presence Sensing" shows in commercial platforms - HP-Jira</t>
    </r>
  </si>
  <si>
    <t>1. Home Page
2. Video Control
3. HP Programmable Key
4. Privacy alert
5. Auto Screen Dimming
6. Support
7. Settings
8. System Control
9. Pen
10. Battery Manager
11. Screen Time (SnowWhite)
12. Screen Distance (SnowWhite)
13. Gesture (SnowWhite)
14. Docking
15. Audio Control
16. Energy Consumption
17. Camera and presence detection</t>
  </si>
  <si>
    <t>40.42447.663.0.A.1</t>
  </si>
  <si>
    <t>P017YZ-B2S</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</si>
  <si>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[HPXAPPS-22701] [HPX][Rebrand][Settings][ManagePrivacyPreferences] Toggle state not persisted when quickly navigating back from Manage Privacy Preferences - HP-Jira
•	[HPXWC-25920] [Dock][Rebrand] Quick connection functionality not available in ITG environment - HP-Jira
•	[HPXAPPS-22409] [Privacy Settings] Computer Privacy Integration - HP-Jira
•	[HPXAPPS-22335] [HPX][Startup] Add splash screen for the rebrand winclient as per design - HP-Jira
•	[HPXWC-25583] [HPPK]Release new package version for progkey - HP-Jira
•	[HPXWC-23162] [HPPK] Right 'Alt' key records two events. Fix it to display a single Key/code pair Part1 - HP-Jira
•	[HPXWC-24759] [SFT_MPH][Rebrand][HPPK] Cut off is seen for save button in Key sequence when screen is resized - HP-Jira
•	[HPXWC-25565] [HPPK] Fix observations for Progkey - HP-Jira
•	[HPXWC-25573] [HPPK] Validate and Update 0.5.0 Clientos version. - HP-Jira
•	[HPXWC-25568] [HPPK] PPR - Menu card - HP-Jira
•	[HPXAPPS-21005] [SFT_MPH][Rebrand][PCDevice] Delay is seen for loading PC Device card in Device List page - HP-Jira
•	[HPXG-1999] [Function] The loading circle always display after user return to Gallery from Thumbnail page. - HP-Jira
•	[HPXAPPS-18493] [SFT_CSS][Rebrand][SignIn] Post Entering valid credentials and clicking on sign in button user is able to see one more sign in window - HP-Jira
•	[HPXAPPS-23141] [Auth][SignIn] Sign in not pointing to correct env - HP-Jira
•	[HPXAPPS-14362] [HPX] App window is not draggable from some areas of Top App Title Bar - HP-Jira
•	[Pen] Add app setting support for Pen control by prashant-tanna · Pull Request #10122 · hpx/hpx-winclient</t>
    </r>
  </si>
  <si>
    <t>40.42447.835.0.A.1</t>
  </si>
  <si>
    <t>P017YZ-B2U</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</si>
  <si>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 xml:space="preserve">Changes:
</t>
    </r>
    <r>
      <rPr>
        <sz val="11"/>
        <color rgb="FFFF0000"/>
        <rFont val="Calibri"/>
        <family val="2"/>
      </rPr>
      <t>•	This is a Unified HPx package that consists of both x64 and Native ARM build.</t>
    </r>
    <r>
      <rPr>
        <sz val="11"/>
        <rFont val="Calibri"/>
        <family val="2"/>
      </rPr>
      <t xml:space="preserve">
•	[HPXAPPS-22701] [HPX][Rebrand][Settings][ManagePrivacyPreferences] Toggle state not persisted when quickly navigating back from Manage Privacy Preferences - HP-Jira
•	[HPXWC-25920] [Dock][Rebrand] Quick connection functionality not available in ITG environment - HP-Jira
•	[HPXAPPS-22409] [Privacy Settings] Computer Privacy Integration - HP-Jira
•	[HPXAPPS-22335] [HPX][Startup] Add splash screen for the rebrand winclient as per design - HP-Jira
•	[HPXWC-25583] [HPPK]Release new package version for progkey - HP-Jira
•	[HPXWC-23162] [HPPK] Right 'Alt' key records two events. Fix it to display a single Key/code pair Part1 - HP-Jira
•	[HPXWC-24759] [SFT_MPH][Rebrand][HPPK] Cut off is seen for save button in Key sequence when screen is resized - HP-Jira
•	[HPXWC-25565] [HPPK] Fix observations for Progkey - HP-Jira
•	[HPXWC-25573] [HPPK] Validate and Update 0.5.0 Clientos version. - HP-Jira
•	[HPXWC-25568] [HPPK] PPR - Menu card - HP-Jira
•	[HPXAPPS-21005] [SFT_MPH][Rebrand][PCDevice] Delay is seen for loading PC Device card in Device List page - HP-Jira
•	[HPXG-1999] [Function] The loading circle always display after user return to Gallery from Thumbnail page. - HP-Jira
•	[HPXAPPS-18493] [SFT_CSS][Rebrand][SignIn] Post Entering valid credentials and clicking on sign in button user is able to see one more sign in window - HP-Jira
•	[HPXAPPS-23141] [Auth][SignIn] Sign in not pointing to correct env - HP-Jira
•	[HPXAPPS-14362] [HPX] App window is not draggable from some areas of Top App Title Bar - HP-Jira
•	[Pen] Add app setting support for Pen control by prashant-tanna · Pull Request #10122 · hpx/hpx-winclient
•	[HPXWC-26192] [Rebrand][AudioControl] Audio presets values are not persistent when relaunching myHP app - HP-Jira
•	[HPXWC-25177] [System Control][Rebrand] bi-directional no function on rebrand version - HP-Jira
•	[HPXAPPS-23177] [Rebrand] Title bar should say "myHP" and not "HPX" - HP-Jira
•	[HPXWC-26146] [Pen] Fix app specific configurations are applying to all apps - HP-Jira
•	[HPXWC-26036] [Pen][IndirectInking] Populate the external monitor selection - HP-Jira
•	[HPXAPPS-23598] Update the MY_ACCOUNT_URL env - HP-Jira
•	[HPXWC-25100] [Rebrand][SystemControl][TPE_SFT][FFT] The "Power Saver” mode not be auto selected When turn on Energy Saver mode. - HP-Jira
•	[HPXWC-25066] [Rebrand][SystemControl][TPE_SFT][FFT] System control will not map correct mode when select power mode in OS. - HP-Jira
•	[HPXWC-25903] [SystemControl][Rebrand] Focus mode button status is always off when renavigate to system control page. - HP-Jira
•	[HPXAPPS-23574] [CommonConsents][PrivacySettings] privacy-x-firstuse and privacy-x-settings FF are not fetched on rebrand app. - HP-Jira</t>
    </r>
  </si>
  <si>
    <t xml:space="preserve">Please only focus testing on:
1. PC Device page
2. Video Control
3. HP Programmable Key
4. Docking (No instadock)
5. Pen Control
6. Battery Manager
7. System Control
8 Energy Consumption
</t>
  </si>
  <si>
    <t>12A Production2
(Non-shippable version)</t>
  </si>
  <si>
    <t>40.52448.168.0.A.1</t>
  </si>
  <si>
    <t>P017YZ-B2V</t>
  </si>
  <si>
    <r>
      <rPr>
        <sz val="11"/>
        <color rgb="FFFF0000"/>
        <rFont val="Calibri"/>
        <family val="2"/>
      </rPr>
      <t xml:space="preserve">"NOTE: When testing, please turn off auto update in MS Store app first to avoid being automatically updated to the latest version on MS Store.
For 2025 NPI Chiron
</t>
    </r>
    <r>
      <rPr>
        <sz val="11"/>
        <color rgb="FF000000"/>
        <rFont val="Calibri"/>
        <family val="2"/>
      </rPr>
      <t xml:space="preserve">
Changes:
</t>
    </r>
    <r>
      <rPr>
        <sz val="11"/>
        <rFont val="Calibri"/>
        <family val="2"/>
      </rPr>
      <t>•	[HPXWC-26217] [SmartExp] In Vision AI, the AUID of elements changes with different languages - HP-Jira
•	[HPXWC-26589] [Smart Experiences][VisionAI] Disable Vision-AI module on HiMax sensor devices for 12A classic release - HP-Jira
•	[HPXAPPS-22480] [SFT_CSS][OTA_FFT][Classic][FUF] Hamburger menu is displayed during First use Flow. - HP-Jira
•	[HPXWC-26060] [SFT_MPH][SmartExp] Snooze time values are not persisting - HP-Jira
•	[HPXWC-26118] [SFT_MPH][SmartExp] Screen blur effect not triggering immediately when we disable and enable the onlooker while in snooze schedule - HP-Jira</t>
    </r>
  </si>
  <si>
    <t>40.42448.937.0.A.1</t>
  </si>
  <si>
    <t>P017YZ-B2W</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</si>
  <si>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 xml:space="preserve">Changes:
</t>
    </r>
    <r>
      <rPr>
        <sz val="11"/>
        <color rgb="FFFF0000"/>
        <rFont val="Calibri"/>
        <family val="2"/>
      </rPr>
      <t>•	Enabled Audio Control</t>
    </r>
    <r>
      <rPr>
        <sz val="11"/>
        <rFont val="Calibri"/>
        <family val="2"/>
      </rPr>
      <t xml:space="preserve">
•	[HPXWC-25923] [STS] Update .NET to latest version - HP-Jira
•	[HPXWC-19908] [Dock][Rebrand] Update translations files (react-pcdock-mfe and PCDockBase) - HP-Jira
•	[HPXWC-26145] [Pen] Implement restore functionality for indirect inking - HP-Jira
•	[HPXAPPS-20189] [Rebrand][BellNotifications] Deleting a notification card from the notification list does not decrease or clear the notification count in taskbar - HP-Jira
•	[HPXAPPS-16752] [Rebrand] Graphql query/useQuery NB API never return for any Graphql exception. - HP-Jira</t>
    </r>
  </si>
  <si>
    <t xml:space="preserve">Please only focus testing on:
1. PC Device page
2. Video Control
3. HP Programmable Key
4. Docking (No instadock)
5. Pen Control
6. Battery Manager
7. System Control
8 Energy Consumption
9. Audio Control
</t>
  </si>
  <si>
    <t>12A RC3
(Non-shippable version)</t>
  </si>
  <si>
    <t>P017YZ-B2Y</t>
  </si>
  <si>
    <r>
      <rPr>
        <sz val="11"/>
        <color rgb="FFFF0000"/>
        <rFont val="Calibri"/>
        <family val="2"/>
      </rPr>
      <t xml:space="preserve">"NOTE: When testing, please turn off auto update in MS Store app first to avoid being automatically updated to the latest version on MS Store.
For 2025 NPI Chiron
</t>
    </r>
    <r>
      <rPr>
        <sz val="11"/>
        <color rgb="FF000000"/>
        <rFont val="Calibri"/>
        <family val="2"/>
      </rPr>
      <t xml:space="preserve">
Changes:
</t>
    </r>
    <r>
      <rPr>
        <sz val="11"/>
        <rFont val="Calibri"/>
        <family val="2"/>
      </rPr>
      <t>•	[HPXAPPS-24011] [SFT_CSS][FFT_OTA][Classic][Core] While launching the application we are able to see new blue flash screen in classic UI. - HP-Jira
•	[HPXWC-26904] [AudioControl][ARM] Noise removal &amp; noise reduction toggle does not changed when select headset between internal &amp; external on ARM device. - HP-Jira
•	[HPXAPPS-24723] [SFT_CSS][OTA_FFT][Classic][NPS] NPS is not triggering. - HP-Jira
Others:
•	Remove MFEMAT Stage on myhp_classic by nicholas-pelham · Pull Request #10786 · hpx/hpx-winclient
•	[HPXWC-19589] [AudioControl][ARM] External output device will not disappear if select internal output then unplug external device. - HP-Jira</t>
    </r>
  </si>
  <si>
    <t>41.42449.1029.0.A.1</t>
  </si>
  <si>
    <t>P01886-B2A</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</si>
  <si>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 xml:space="preserve">Changes:
</t>
    </r>
    <r>
      <rPr>
        <sz val="11"/>
        <color rgb="FFFF0000"/>
        <rFont val="Calibri"/>
        <family val="2"/>
      </rPr>
      <t>Known issue: shows "Error" when app is launched for the first time after install.</t>
    </r>
    <r>
      <rPr>
        <sz val="11"/>
        <rFont val="Calibri"/>
        <family val="2"/>
      </rPr>
      <t xml:space="preserve">
•	[HPXWC-26656] [HPX][Rebrand][PenControl][Consumer] PenControl Module is missing on L0 page - HP-Jira
•	[HPXAPPS-23773] [Rebrand][PenControl] Provide a deviceTypeId field in IDeviceData - HP-Jira
•	[HPXWC-17806] [HPX-R] [SysCtrl] [UI] [Theme]: OLED power saving mode card high contrast support - HP-Jira
•	[HPXWC-26887] [Pen]Remove Feature flag dependency from Pen nugets - HP-Jira
•	[HPXWC-26800] [HPX][Rebrand][PenControl][Commercial] Radial menu reverts to default actions despite changed action. - HP-Jira
•	[HPXWC-26876] [VisionAI][Rebrand]On First launch show default status of feature - HP-Jira
•	[HPXWC-26697] [System Control][Rebrand][Focus mode] change to check user ID to remove focus process name - HP-Jira
•	[HPXWC-26410] [System Control][Rebrand][FF] Update method to get/set feature flag in NuGet due to Feature Switch mechanism changed - HP-Jira
•	[HPXWC-26406] [User Detection][Proximity][Rebrand] Add .Net framework 4.8.1 - 2 - HP-Jira
•	[HPXAPPS-23504] [HPX][Rebrand][Feedback] Error Validation missing on the email address field - HP-Jira
•	[HPXWC-25939] [Rebrand][VisionAI]Create Analytics Specs for Vision AI features - HP-Jira
•	[HPXWC-26690] [SFT_MPH][OTA][Rebrand][SystemControl][Consumer] Focus mode functionality is not working on Tuffy platform - HP-Jira
•	[HPXWC-26253] [Audio][Rebrand] Adaptive audio fails to restore values after clicking the restore default button. - HP-Jira</t>
    </r>
  </si>
  <si>
    <t xml:space="preserve">Please only focus testing on:
1. PC Device page
2. Video Control
3. HP Programmable Key
4. Docking (No instadock)
5. Pen Control
6. Battery Manager
7. System Control
8 Energy Consumption
9. Audio Control
10. Settings
11. Presence Detection - Privacy Alert, Auto Screen Dimming
12. Camera and Presence Detection
</t>
  </si>
  <si>
    <t>12A RC4
(Non-shippable Version as of now, will inform if this build becomes shippable)</t>
  </si>
  <si>
    <t>40.52450.240.0.A.1</t>
  </si>
  <si>
    <t>P01886-B2C</t>
  </si>
  <si>
    <r>
      <rPr>
        <sz val="11"/>
        <color rgb="FFFF0000"/>
        <rFont val="Calibri"/>
        <family val="2"/>
      </rPr>
      <t xml:space="preserve">"NOTE: When testing, please turn off auto update in MS Store app first to avoid being automatically updated to the latest version on MS Store.
For 2025 NPI Chiron
</t>
    </r>
    <r>
      <rPr>
        <sz val="11"/>
        <color rgb="FF000000"/>
        <rFont val="Calibri"/>
        <family val="2"/>
      </rPr>
      <t xml:space="preserve">
Changes:
</t>
    </r>
    <r>
      <rPr>
        <sz val="11"/>
        <rFont val="Calibri"/>
        <family val="2"/>
      </rPr>
      <t>•	[HPXAPPS-25048] [SFT_CSS][FFT_OTA][Classic][NPSNotification] Parameters missing in the qualtrics URL. - HP-Jira
•	[HPXAPPS-24719] [SFT_CSS][OTA_FFT][Classic][HPID] "Go to my account" page is in loading state after sign in. - HP-Jira
•	[HPXAPPS-25192] [DesktopExtension][ARM] Audio Selection Not Changing Input - HP-Jira
•	[HPXAPPS-24193] [HPX][Commercial][Consumer] Context aware functionality is not working for Audio, Pen Module And Display control module - HP-Jira</t>
    </r>
  </si>
  <si>
    <t>41.42450.1325.0.A.1</t>
  </si>
  <si>
    <t>P01886-B2D</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</si>
  <si>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Enable auto launch, First Use Flow, Privacy Settings
•	[HPXAPPS-23674] [Battery Manager][Rebrand] Drop Down is getting overlap on each other and text - HP-Jira
•	[HPXWC-26268] [AudioControl][Rebrand][ARM] Audio control cannot show on ITG build 40.22447.3203.0 - HP-Jira
•	[HPXWC-27163] [SFT_MPH][Rebrand][BatteryManager] Consumer UI is showing in Commercial platforms - HP-Jira
•	[HPXG-1948] [Design] The extra HP+ icon displays on the Device Card. - HP-Jira
•	[HPXAPPS-25192] [DesktopExtension][ARM] Audio Selection Not Changing Input - HP-Jira
•	[HPXAPPS-23470] [SFT_CSS][DeviceList] Content inside device list page takes 13 - 14 seconds to load post first launch on Win 10 platforms - HP-Jira
•	[HPXAPPS-25235] [STG] "Something Went Wrong" Error occurs all the time - HP-Jira
•	[HPXWC-26777] [VisionAI][Rebrand]Integrate contexual config for Vision AI modules - HP-Jira
•	[HPXWC-23920] [Audio][Rebrand] Audio card subtitle is missing. - HP-Jira
•	[HPXWC-24021] [Rebrand][VisionAI] Narrator support for rebrand UI - HP-Jira
•	[HPXWC-26891] [HPX][Rebrand] Not able to navigate to touchpad page with latest STG build , clicking the touchpad module will return to the main page - HP-Jira
•	[HPXWC-26697] [System Control][Rebrand][Focus mode] change to check user ID to remove focus process name - HP-Jira
•	[HPXWC-26410] [System Control][Rebrand][FF] Update method to get/set feature flag in NuGet due to Feature Switch mechanism changed - HP-Jira
•	[HPXAPPS-24012] [Rebrand] Title bar should have dark theme colors when set to dark mode. - HP-Jira</t>
    </r>
  </si>
  <si>
    <t>12A RC5
(Non-shippable Version as of now, will inform if this build becomes shippable)</t>
  </si>
  <si>
    <t>40.52451.275.0.A.1</t>
  </si>
  <si>
    <t>P01886-B2F</t>
  </si>
  <si>
    <r>
      <rPr>
        <sz val="11"/>
        <color rgb="FFFF0000"/>
        <rFont val="Calibri"/>
        <family val="2"/>
      </rPr>
      <t xml:space="preserve">"NOTE: When testing, please turn off auto update in MS Store app first to avoid being automatically updated to the latest version on MS Store.
For 2025 NPI Chiron
</t>
    </r>
    <r>
      <rPr>
        <sz val="11"/>
        <color rgb="FF000000"/>
        <rFont val="Calibri"/>
        <family val="2"/>
      </rPr>
      <t xml:space="preserve">
Changes:
</t>
    </r>
    <r>
      <rPr>
        <sz val="11"/>
        <rFont val="Calibri"/>
        <family val="2"/>
      </rPr>
      <t>•	[HPXAPPS-25616] [Performance] App launch time significantly exceeds the defined threshold - HP-Jira
Others:
•	Revert "[HPXG-1865] : Integrate Single Instance Library to HPX App" for ARM64 build by munkh-enkhtaivan · Pull Request #11076 · hpx/hpx-winclient</t>
    </r>
  </si>
  <si>
    <t>12A RC5
(Shippable Version)</t>
  </si>
  <si>
    <r>
      <rPr>
        <sz val="11"/>
        <color rgb="FFFF0000"/>
        <rFont val="Calibri"/>
        <family val="2"/>
      </rPr>
      <t xml:space="preserve">"NOTE: When testing, please turn off auto update in MS Store app first to avoid being automatically updated to the latest version on MS Store.
For 2025 NPI Chiron
</t>
    </r>
    <r>
      <rPr>
        <sz val="11"/>
        <color rgb="FF000000"/>
        <rFont val="Calibri"/>
        <family val="2"/>
      </rPr>
      <t xml:space="preserve">
Changes:
</t>
    </r>
    <r>
      <rPr>
        <sz val="11"/>
        <rFont val="Calibri"/>
        <family val="2"/>
      </rPr>
      <t>•	Change state to RC</t>
    </r>
  </si>
  <si>
    <t>41.42452.2619.0.A.1</t>
  </si>
  <si>
    <t>P01886-B2H</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</si>
  <si>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[HPXWC-27026] [HPPK][Rebrand] File option is not present on automation dropdown. - HP-Jira
•	[HPXWC-27588] Power supply status in default System Control is incorrect when launch myHP and unplug adaptor - HP-Jira
•	[HPXWC-26848] [HPPK]Release new package version [86] for progkey. - HP-Jira
•	[HPXWC-25585] [HPPK] Localize new strings for all languages - HP-Jira
•	[HPXWC-27223] [HPPK] Remove background image for Progkey - HP-Jira
•	[HPXAPPS-25275] [SFT_CSS][OTA_FFT][HPID][A13Y] Tab is not selecting profile URL in sidebar after sign in which is actionable. - HP-Jira
•	[HPXAPPS-24700] [SIO2324220/2324459/2324389/2324369/2323992/2324834] The HPX item list on the top of Quick Settings after launched it from Start Menu. - HP-Jira
•	[HPXAPPS-24881] [Dock][Rebrand] Dock card should be a secondary in the device list (L0) - HP-Jira
•	[HPXWC-27378] [PCDevicePg][Rebrand] Devices without batteries are showing charging status in build - HP-Jira
•	[HPXWC-27370] [HPX][Rebrand][PenControl][Commercial] 'Pen for external display' is not resetting their default values on clicking on Restore defaults of L1 page - HP-Jira
•	[HPXAPPS-23841] [SFT_CSS][HPID] Prepopulation of data fails to happen post navigating to login page - HP-Jira
•	[HPXWC-24646] [HPPK][Rebrand] Observation found in Arabic and Hebrew language. - HP-Jira
•	[HPXWC-27037] [Progammable Key][PPR] Radio Button hover behavior is not correct - HP-Jira
•	[HPXWC-26975] [Rebrand][HPPK] Icons Color is not visible in Dark Mode. - HP-Jira
•	[HPXWC-27643] [SFT_MPH][Rebrand][HPPK] Applications are not getting highlighted when we select them in application list - HP-Jira
•	[HPXWC-27097] [HPPK] [Rebrand] Select dropdown gets disabled when we click on cancel on folder window. - HP-Jira</t>
    </r>
  </si>
  <si>
    <t>Rebrand - ITG
(Non-shippable Version)</t>
  </si>
  <si>
    <t>41.22451.6797.0.A.1</t>
  </si>
  <si>
    <t>P01886-B2G</t>
  </si>
  <si>
    <r>
      <rPr>
        <sz val="11"/>
        <color rgb="FFFF0000"/>
        <rFont val="Calibri"/>
        <family val="2"/>
      </rPr>
      <t xml:space="preserve">"NOTE: When testing, please turn off auto update in MS Store app first to avoid being automatically updated to the latest version on MS Store.
For 2025 NPI Divinity
</t>
    </r>
    <r>
      <rPr>
        <sz val="11"/>
        <rFont val="Calibri"/>
        <family val="2"/>
      </rPr>
      <t>Changes:
•	For Divinity to test HP GO only</t>
    </r>
  </si>
  <si>
    <t>Please only focus testing on:
1. PC Device page
2. Video Control
3. HP Programmable Key
4. Docking (No instadock)
5. Pen Control
6. Battery Manager
7. System Control
8 Energy Consumption
9. Audio Control
10. Settings
11. Presence Detection - Privacy Alert, Auto Screen Dimming
12. Camera and Presence Detection
13. HP GO</t>
  </si>
  <si>
    <t>41.42452.2641.0.A.1</t>
  </si>
  <si>
    <t>P01886-B2J</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</si>
  <si>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[HPXWC-27859] [SFT_MPH]Rebrand][ContextAware] Context Aware functionality is not working for Pen - HP-Jira
•	[HPXSUP-3737] [FeatureFlag][Rebrand][Support] Create feature flag for Support MFE: "support-x-weblink" - HP-Jira
•	[HPXAPPS-24653] Update the localization of the feature tour files once received from translation team - HP-Jira
•	Pen importmap version update by prashant-tanna · Pull Request #11112 · hpx/hpx-winclient
•	Updating UI Toolkit version to 1.0.1 for DEV &amp; ITG and STG and PROD to 1.0.0 by james-mathson · Pull Request #11108 · hpx/hpx-winclient</t>
    </r>
  </si>
  <si>
    <t>41.42501.15.0.A.1</t>
  </si>
  <si>
    <t>P01886-B2K</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</si>
  <si>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[HPXWC-28043] [PenControl][PcDock] Connection Status got removed from Dock module - HP-Jira
•	[HPXWC-27856] [Audio][PPR][Rebrand] Application settings out of alignment - HP-Jira
•	[HPXAPPS-25587] [HPX][Pen][PPR] Incorrect back button name - HP-Jira
•	[HPXAPPS-25939] [Rebrand][ARM] It keeps popup "This feature is currently unavailable" due to SN/PN not valid - HP-Jira
•	[HPXAPPS-22550] Update Personalization card component to use editable version - HP-Jira
•	[HPXAPPS-24654] Update the localization of the welcome page files once received from translation team - HP-Jira
•	[HPXWC-28112] [Audio] Upgrade ProximitySensor in ShutterStatus - HP-Jira
•	[HPXWC-27974] [System Control][Rebrand][Localization] Update translation files to the latest descriptions - HP-Jira
•	[HPXAPPS-24342] Localize strings - add translated strings - HP-Jira
•	[HPXAPPS-21649] [Support][NavBar] The add device icon should not show on deeper screens in the navigation. - HP-Jira
•	[HPXAPPS-25686] [HPX][CommonConsents] Both Application and Computer privacy are displayed on FuF common consents screen when Computer privacy is already set before launching the app. - HP-Jira
•	[HPXAPPS-25823] [SFT_CSS][FFT_OTA][HPID] Feature tour pop up appears then user is navigated to external browser after selecting signin button from animation screen - HP-Jira
•	[HPXWC-27978] [SFT_MPH][OTA_FFT][Rebrand][SystemControl] Performance control card will switch to performance to smart sense when we turn on the energy saver - HP-Jira
•	[HPXAPPS-24835] [SIO2324937] Some contents on NavBar not localized in myHP/'DESKTOP-XXX' on non-EN language image. - HP-Jira
•	[HPXWC-23645] [SFT_MPH][Rebrand][PenControl][Commercial] Hover click toggle is not visible and "Controlled by windows" actions is seen when we click on barrel button actions before customize button UI loads completely - HP-Jira
•	[HPXAPPS-25900] [Win][PPR] Static hp logo screen - logo too large - HP-Jira</t>
    </r>
  </si>
  <si>
    <t>41.42502.64.0.A.1</t>
  </si>
  <si>
    <t>P01886-B2L</t>
  </si>
  <si>
    <r>
      <rPr>
        <sz val="11"/>
        <color rgb="FFFF0000"/>
        <rFont val="Calibri"/>
        <family val="2"/>
      </rPr>
      <t xml:space="preserve">"NOTE: When testing, please turn off auto update in MS Store app first to avoid being automatically updated to the latest version on MS Store.
For 2025 NPI with CF 2025/2/3 and after
</t>
    </r>
    <r>
      <rPr>
        <sz val="11"/>
        <rFont val="Calibri"/>
        <family val="2"/>
      </rPr>
      <t>Changes:
•	[HPXWC-27983] [SFT_MPH][Rebrand][DockStation]Dock Station Connection status badge is not present in home page and L1 page - HP-Jira
•	[HPXAPPS-25906] [NavBar] The add device icon should not show on the device details page - HP-Jira
•	[HPXWC-27792] [Docks][Analytics] Multiple analytics events not generating - HP-Jira
•	[HPXWC-27744] [PCDevice][Analytics] No Event Generation for PCDevice, Multiple Actions - HP-Jira
•	[HPXWC-27831] [SFT_MPH][Rebrand][EnergyConsumption][L10N] Consumption trends graph is not localized completely - HP-Jira
•	[HPXWC-27985] [SFT_MPH][Rebrand][EnergyConsumption][L10N] Some of the strings are not as per translation sheet for some languages - HP-Jira
•	[HPXWC-27630] [SFT_MPH][OTA_FFT][Rebrand][EnergyConsumption] Alignment is not proper in Total energy consumption - HP-Jira
•	[HPXWC-27836] [SFT_MPH][Rebrand][EnergyConsumption][L10N] hp and hand icon is displayed in middle of the UI for Hebrew and Arabic languages - HP-Jira
•	Importmap update from 1.2.155 to 1.2.156 &amp; 1.2.11 to 1.2.12 &amp; toolkit version to 1.0.1 by mahendra-upadhyay1 · Pull Request #11158 · hpx/hpx-winclient
•	[HPXWC-27950] Audio - Auto Mode should not be available in snowwhite units - HP-Jira
•	[HPXAPPS-23583] Current MFE reloads unnecessary while navigation to next MFE - HP-Jira
•	[SFT_MPH][Rebrand][ContextAware] Cancel and Continue buttons are not matching with figma in Delete profile page by rashmi-singh · Pull Request #11145 · hpx/hpx-winclient</t>
    </r>
  </si>
  <si>
    <t>Rebrand - PROD
(Non-shippable Version)</t>
  </si>
  <si>
    <t>41.52503.190.0.A.1</t>
  </si>
  <si>
    <t>P01886-B2P</t>
  </si>
  <si>
    <r>
      <rPr>
        <sz val="11"/>
        <color rgb="FFFF0000"/>
        <rFont val="Calibri"/>
        <family val="2"/>
      </rPr>
      <t xml:space="preserve">"NOTE: When testing, please turn off auto update in MS Store app first to avoid being automatically updated to the latest version on MS Store.
For 2025 NPI with CF 2025/2/3 and after
For 2025 Sustaining CQ2
For SnowWhite
</t>
    </r>
    <r>
      <rPr>
        <sz val="11"/>
        <rFont val="Calibri"/>
        <family val="2"/>
      </rPr>
      <t>Changes:
•	[HPXAPPS-26104] [Analytics] Data stops flowing after upgrading from classic to rebrand. - HP-Jira
•	[HPXAPPS-27216] [SideFlyOut][PROD] Settings option in SideFlyOut is not present - HP-Jira
•	[HPXAPPS-26849] [Analytics][FeatureVisibility] FeatureVisibility event is sent when analytics-x-featurevisibility flag is off. - HP-Jira
•	[HPXAPPS-27253] [SFT_CSS][FFT_OTA][CampaignAds] CampaignAd cards are not navigating to external browser. - HP-Jira[HPXAPPS-26569] [WinRefresh][HPX] MFE Pipeline support and Bug buffer - HP-Jira
•	[HPXAPPS-27226] [SFT_CSS][FFT_OTA][Feedback] Feedback option is not visible in global side bar. - HP-Jira
•	[HPXAPPS-27161] [Translation][Manage Privacy preferences] The description on the manage privacy preferences and computer privacy is not translated - HP-Jira
•	[HPXAPPS-27240] [SFT_CSS][FFT_OTA][CommonConsent] Both App and Device Consent pages are not visible eventhough the feature flag is turned on - HP-Jira
•	[PCDevicePg][Rebrand] Prod - Battery status is missing on PC Device Page.
•	[HPXWC-28629] [VisionAI][Rebrand]Update VisionAI version in Prod ImportMap - HP-Jira
•	[HPXAPPS-26525] load the page incrementally and show progress instead of waiting for all feature flags to be evaluated - HP-Jira
•	[HPXWC-28194] [System Control][Perf reminder] Add the capabilities in Fusion manifest to enable the Performance Reminder functionality - 2 (update fusion manifest) - HP-Jira
•	[HPXWC-28669] [Pen][Commercial]Update implementation of radial menu get/set for context aware functionality - HP-Jira
•	[HPXWC-27928] [Dock][DarkTheme] The status connection is not applicable to the dark mode - HP-Jira
•	[HPXWC-27940] &amp; [HPXWC-27063] &amp;&amp; [HPXWC-28016] &amp;&amp; [HPXWC-27184] : Audio bug fix by hari-suresh · Pull Request #11285 · hpx/hpx-winclient
•	[SFT_MPH][Rebrand][VisionAI][L10N] Camera &amp; presence detection title is not localized under PC device for all the languages by akhil-penta · Pull Request #11314 · hpx/hpx-winclient
•	[HPXWC-25502] [SIO2311270][Rebrand] : It took 7 seconds to take effect when clicking 'Restore defaults' on the 'Pen Sensitivity' page - HP-Jira
•	[HPXAPPS-26241] [Accessibility] - Cannot see the scrollbar in High Contrast theme - HP-Jira
•	[HPXAPPS-26101] [SIO2330715] The HPX preview UI will flash twice during open HPX. - HP-Jira
•	[Pen] Pen module import map version update by priyanka-sawant2 · Pull Request #11316 · hpx/hpx-winclient
•	[HPXWC-27163]:[SFT_MPH][Rebrand][BatteryManager] Consumer UI is showing in Commercial platforms by dileep-s · Pull Request #11223 · hpx/hpx-winclient
•	HPXWC-28581 || [HPPK] Update ProgKey version in Prod ImportMap. by anita-shah · Pull Request #11294 · hpx/hpx-winclient</t>
    </r>
  </si>
  <si>
    <t>Rebrand - RC9
(Shippable Version)</t>
  </si>
  <si>
    <t>41.52505.347.0.A.1</t>
  </si>
  <si>
    <t>P01886-B2S</t>
  </si>
  <si>
    <r>
      <rPr>
        <sz val="11"/>
        <color rgb="FFFF0000"/>
        <rFont val="Calibri"/>
        <family val="2"/>
      </rPr>
      <t xml:space="preserve">"NOTE: When testing, please turn off auto update in MS Store app first to avoid being automatically updated to the latest version on MS Store.
For 2025 NPI with CF 2025/2/3 and after
For 2025 Sustaining CQ2
For SnowWhite
</t>
    </r>
    <r>
      <rPr>
        <sz val="11"/>
        <rFont val="Calibri"/>
        <family val="2"/>
      </rPr>
      <t>Changes:
•	[HPXAPPS-27841] [Cyber][Security] Prototype Pollution: Axios - HP-Jira
•	[HPXAPPS-27840] [Cyber][Security] Denial Of Service (DoS): MessagePack - HP-Jira
•	[HPXAPPS-27942] [SFT_CSS][OTA][FirstUse] Welcome Sign In screen is displayed in corporate image. - HP-Jira
•	[HPXWC-28933] Dock details page doesn't work properly after sign in profile - HP-Jira
•	[HPXWC-28883] [SFT_MPH][OTA_FFT][Rebrand][HPPK] Ctrl key plus Programmable key functionality is not working - HP-Jira
•	[HPXAPPS-27507] Context hook is not working in hpx framework - HP-Jira
•	[HPXAPPS-27827] The "Sign in" button is grayed out and unclickable after exit sign-in flow on the Value Prop page. - HP-Jira
•	[HPXAPPS-27168] [SIO2346149] No response after clicked 'Sign in' button in myHP. - HP-Jira
•	[HPXAPPS-27507] Context hook is not working in hpx framework - HP-Jira
•	[HPXAPPS-27577] [SFT_MPH][OTA_FFT][PCDevice] Programmable Key module card appears on the PC Device page in Consumer platform and while clicked, it navigates back to the L0 page - HP-Jira
•	[HPXAPPS-27642] [SFT_CSS][Settings][L10N] Strings in Privacy and Settings are not localized in zh-TW. - HP-Jira
•	[HPXAPPS-27428] [Apple][Android] 'Continue as a guest' button doesn't work. - HP-Jira
•	[HPXAPPS-27100] [Translations][Feedback] The error message on the email address and the label on the comments textbox is not translated correctly - HP-Jira</t>
    </r>
  </si>
  <si>
    <t>Rebrand - 1A Hotfix2
(Shippable Version)</t>
  </si>
  <si>
    <t>41.52505.410.0.A.1</t>
  </si>
  <si>
    <t>P01886-B2U</t>
  </si>
  <si>
    <r>
      <rPr>
        <sz val="11"/>
        <color rgb="FFFF0000"/>
        <rFont val="Calibri"/>
        <family val="2"/>
      </rPr>
      <t xml:space="preserve">"NOTE: When testing, please turn off auto update in MS Store app first to avoid being automatically updated to the latest version on MS Store.
For 2025 NPI Muppets, Megamind, Killepitsch
For SnowWhite
</t>
    </r>
    <r>
      <rPr>
        <sz val="11"/>
        <rFont val="Calibri"/>
        <family val="2"/>
      </rPr>
      <t>Changes:
•	[HPXWC-29360] [SFT_MPH][OTA_FFT][Rebrand][SystemControl][Commercial] System control module is missing in Hotfix build v.41. 52505.401.0 - HP-Jira
•	[HPXAPPS-27512] [SFT_CSS][FFT_OTA][Settings] Links related to Advertising and product information in app and device privacy are missing respectively when Consents related to PIPL is turned off in both. - HP-Jira</t>
    </r>
  </si>
  <si>
    <t>Rebrand - 2A RC2
(Non-shippable Version)</t>
  </si>
  <si>
    <t>42.52506.506.0.A.2</t>
  </si>
  <si>
    <t>P01886-B2W</t>
  </si>
  <si>
    <r>
      <rPr>
        <sz val="11"/>
        <color rgb="FFFF0000"/>
        <rFont val="Calibri"/>
        <family val="2"/>
      </rPr>
      <t xml:space="preserve">"NOTE: When testing, please turn off auto update in MS Store app first to avoid being automatically updated to the latest version on MS Store.
For 2025 NPI except Muppets, Megamind, Killepitsch
For 2025 Sustaining CQ2
</t>
    </r>
    <r>
      <rPr>
        <sz val="11"/>
        <rFont val="Calibri"/>
        <family val="2"/>
      </rPr>
      <t>Changes:
•	[HPXAPPS-27118] [ConsentsNBAPI] Optimize JVS Operation During First Launch to Enhance Performance - HP-Jira
•	[HPXAPPS-28432] [ComputerPrivacy] "What system information..." link navigates to wrong URL. - HP-Jira
•	[HPXAPPS-27306] [SIO2346571] The Computer privacy in HPx is not synced with HP Privacy Settings . - HP-Jira
•	[HPXAPPS-28332] [Consents] Consents screens alignment and cut-off issues observed on Dev and ITG. - HP-Jira
•	[HPXAPPS-29001] [Translations][Settings] Back buttons on the Manage privacy preferences and Computer privacy is not translated in non-EN language - HP-Jira
•	[HPXAPPS-28866] [Consents][CMS] Consents are not set in CMS. - HP-Jira
•	[HPXWC-29284] [HP Go] Wrong Logo Style - HP-Jira
•	[HPXAPPS-26338] [L10n][PrivacySettings] Back navigation arrow title is not translated. - HP-Jira
•	[HPXAPPS-27512] [SFT_CSS][FFT_OTA][Settings] Links related to Advertising and product information in app and device privacy are missing respectively when Consents related to PIPL is turned off in both. - HP-Jira
•	Updated MFE version in import map for Battery manager system control and energy consumption by snehal-devalekar · Pull Request #11657 · hpx/hpx-winclient</t>
    </r>
  </si>
  <si>
    <t xml:space="preserve">Please only focus testing on:
1. PC Device page
2. Video Control
3. HP Programmable Key
4. Docking (No instadock)
5. Pen Control
6. Battery Manager
7. System Control
8 Energy Consumption
9. Audio Control
10. Settings
11. Presence Detection - Privacy Alert, Auto Screen Dimming
12. Camera and Presence Detection
13. HP GO
</t>
  </si>
  <si>
    <t>Rebrand - 2A RC4
(Shippable Version)</t>
  </si>
  <si>
    <t>42.52507.561.0.A.1</t>
  </si>
  <si>
    <t>P01886-B2X</t>
  </si>
  <si>
    <r>
      <rPr>
        <sz val="11"/>
        <color rgb="FFFF0000"/>
        <rFont val="Calibri"/>
        <family val="2"/>
      </rPr>
      <t xml:space="preserve">"NOTE: When testing, please turn off auto update in MS Store app first to avoid being automatically updated to the latest version on MS Store.
For 2025 NPI 
For 2025 Sustaining CQ2
For SnowWhite
</t>
    </r>
    <r>
      <rPr>
        <sz val="11"/>
        <rFont val="Calibri"/>
        <family val="2"/>
      </rPr>
      <t>Changes:
•	[HPXAPPS-29381] [SFT_CSS][FFT_OTA][Consent] Common consents are displaying even after doing Accept All and signing in from the welcome screen. - HP-Jira
•	[HPXAPPS-27835] [Consents][FUF] FuF consent screen does not appear on relaunch if no consents were selected. - HP-Jira
•	[HPXAPPS-28750] [PrivacySettings] App Privacy toggles are always off after closing and reopening the app. - HP-Jira</t>
    </r>
  </si>
  <si>
    <t>Rebrand - 3A PROD2
(Non-Shippable Version)</t>
  </si>
  <si>
    <t>43.52508.624.0.A.1</t>
  </si>
  <si>
    <t>P01886-B2Y</t>
  </si>
  <si>
    <r>
      <rPr>
        <sz val="11"/>
        <color rgb="FFFF0000"/>
        <rFont val="Calibri"/>
        <family val="2"/>
      </rPr>
      <t xml:space="preserve">"NOTE: When testing, please turn off auto update in MS Store app first to avoid being automatically updated to the latest version on MS Store.
For 2025 NPI 
For 2025 OOC
For SnowWhite
</t>
    </r>
    <r>
      <rPr>
        <sz val="11"/>
        <rFont val="Calibri"/>
        <family val="2"/>
      </rPr>
      <t>Changes:
•	[HPXG-2509] App crashes if add printer flags are enabled. - HP-Jira
•	[HPXAPPS-14996] [Android][Apple] The string "Device" is missing beside the back arrow button at the top bar on the printer details page. - HP-Jira
•	[HPXG-2305] [Function] The "Cartridge" instead of "Cartridges" displays when trigger Cartridges Missing status. - HP-Jira
•	Added release manager protection for Enterprise by james-mathson · Pull Request #11801 · hpx/hpx-winclient
•	[HPXWC-23133]: The input audio device name shows 'Mic in at front panel(black)' or 'Line in at front/rear panel(black) by mohammed-sanusi · Pull Request #11484 · hpx/hpx-winclient
•	[HPXAPPS-27998] [L10N][Settings][Privacy] The link "HP Privacy Statement" is not translated to the German Language - HP-Jira
•	[HPXAPPS-17784]: [Migration] Update printer-x-devicedetails on default flags by nitin-jhare · Pull Request #11700 · hpx/hpx-winclient
•	[HPXG-2162] [Function] The device name on home page is changed after restart app. - HP-Jira
•	[HPXAPPS-28871] HP Smart to HPX flow does not populate login email address to login field when migrating a user over - HP-Jira
•	[HPXAPPS-29952] Pre-populated Email field is missing characters like "+" post migration from HPSmart - HP-Jira
•	[HPXAPPS-29456] [SFT_CSS][ARM][FeatureDiscovery] Feature discovery is not displayed during first launch on ARM devices with HPX v 43.42507.893.0 - HP-Jira
•	[HPXWC-29622][HPXWC-29894][NuGet Apply] Apply Camera Features NuGets 3.0.0 by kevin-hou · Pull Request #11788 · hpx/hpx-winclient
•	[HPXWC-29384] [Display Control] Back arrow not working as expected on L3 page - HP-Jira
•	[HPXWC-29570] [SFT_MPH][Rebrand][DislayControl]Some of the display modes were not shown correctly on Contextual Config feature. - HP-Jira
•	Update Package version in DEV, ITG and ENT to 1.0.58 by akshay-kumar · Pull Request #11777 · hpx/hpx-winclient
•	[HPXG-2541] [Function] Printer Card Is Not Displayed In Device Screen. - HP-Jira
•	HPXAPPS-28738: Contextual config translation - Production promotion by amol-guldagad · Pull Request #11812 · hpx/hpx-winclient
•	[HPXAPPS-28311] Cleartext Storage of Sensitive Information (CWE ID 312)(1 flaw) - HP-Jira
•	HPXG-2192 -Refresh and removal issue of single printer fixed. by aswathy-sasi · Pull Request #11741 · hpx/hpx-winclient</t>
    </r>
  </si>
  <si>
    <t>Rebrand - 3A RC1
(Non-Shippable Version)</t>
  </si>
  <si>
    <t>43.52509.696.0.A.1</t>
  </si>
  <si>
    <t>P01886-B2Z</t>
  </si>
  <si>
    <r>
      <rPr>
        <sz val="11"/>
        <color rgb="FFFF0000"/>
        <rFont val="Calibri"/>
        <family val="2"/>
      </rPr>
      <t xml:space="preserve">"NOTE: When testing, please turn off auto update in MS Store app first to avoid being automatically updated to the latest version on MS Store.
For 2025 NPI 
For 2025 OOC
For SnowWhite
</t>
    </r>
    <r>
      <rPr>
        <sz val="11"/>
        <rFont val="Calibri"/>
        <family val="2"/>
      </rPr>
      <t>Changes:
•	Enabled Vision AI (HiMax)
•	[HPXAPPS-30337] [Consents] FuF consent screen appears on every launch even after user already consented - all stacks. - HP-Jira
•	[HPXAPPS-30338] [Consents][CMS] Consents are not set in CMS - all stacks. - HP-Jira
•	[HPXWC-29794] [SIO2329436] BSE 0x9F with 'DRIVER_POWER_STATE_FAILURE' occured during restart the system(Line-in side) after open MyHP and connect Line-in/out cable to two UUTs . - HP-Jira
•	[HPXAPPS-30415] [AudioControl][L10N] Audio card will miss when we change language to hu-hu on commercial machine - HP-Jira
•	[HPXAPPS-29000] Fetch Devices data from local machine discovery and sort in Device Controller - HP-Jira
•	[HPXWC-29378] Update UX-Conference Mode - HP-Jira
•	[HPXWC-29379] Update UX-AI Noise Reduction - HP-Jira
•	[HPXWC-29380] Update UX-Studio Recording - HP-Jira
•	[HPXWC-29693] [HPGO] Upgrade the UI toolkit Version 2.0.5 of the HPGO mfe - HP-Jira
•	[HPXG-2357] [Function] The rotation animations shows while scanned image shows in Preview screen after perform ADF scan with Auto-Orientation turn on. - HP-Jira
•	[HPXAPPS-29443] The account strings/icon are not fit to page on the Global Side bar. - HP-Jira
•	[HPXWC-29598] [AudioControl][Rebrand][Commercial] It have show 7 presets when select 3.5mm headset. - HP-Jira
•	[HPXWC-29933] [SFT_MPH][Rebrand][BatteryManager][Commercial] Schedule battery charging contextual config is showing incorrect text in the pc device page - HP-Jira
•	[HPXWC-29507] [SFT_MPH][Rebrand][SystemControl][Commercial] High performance is not showing in Contextual Config on mobile workstation platforms - HP-Jira
•	[HPXWC-29826] [SFT_MPH][Rebrand][PenControl][Commercial] Pen sensitivity sliders are not reaching to the start of the slider even after clicking multiple times - HP-Jira
•	[HPXWC-29819] [SFT_MPH][Rebrand][PenControl][Commercial] Gap is not present between the icons and pen sensitivity sliders - HP-Jira
•	[HPXWC-29316] [HPGo] In the Suspended State, Module Tile is missing - HP-Jira</t>
    </r>
  </si>
  <si>
    <r>
      <rPr>
        <sz val="11"/>
        <color rgb="FFFF0000"/>
        <rFont val="Calibri"/>
        <family val="2"/>
      </rPr>
      <t xml:space="preserve">"NOTE: When testing, please turn off auto update in MS Store app first to avoid being automatically updated to the latest version on MS Store.
For SnowWhite
</t>
    </r>
    <r>
      <rPr>
        <sz val="11"/>
        <rFont val="Calibri"/>
        <family val="2"/>
      </rPr>
      <t>For SnowWhite, please roll back to this version.</t>
    </r>
  </si>
  <si>
    <t>Rebrand - 3A RC3
(Non-Shippable Version)</t>
  </si>
  <si>
    <t>43.52510.766.0.A.1</t>
  </si>
  <si>
    <t>P018K9-B2B</t>
  </si>
  <si>
    <r>
      <rPr>
        <sz val="11"/>
        <color rgb="FFFF0000"/>
        <rFont val="Calibri"/>
        <family val="2"/>
      </rPr>
      <t xml:space="preserve">"NOTE: When testing, please turn off auto update in MS Store app first to avoid being automatically updated to the latest version on MS Store.
For 2025 NPI 
For 2025 OOC
</t>
    </r>
    <r>
      <rPr>
        <sz val="11"/>
        <rFont val="Calibri"/>
        <family val="2"/>
      </rPr>
      <t>Changes:
•	[HPXWC-29794] [SIO2329436] BSE 0x9F with 'DRIVER_POWER_STATE_FAILURE' occured during restart the system(Line-in side) after open MyHP and connect Line-in/out cable to two UUTs . - HP-Jira
•	[HPXWC-30284] Bidirectional System Control's balanced default mode is incorrectly mapped to the OS Balanced mode - HP-Jira
•	[HPXWC-30317] Disable video control if Poly Camera pro application is installed on commercial platform - HP-Jira
•	[HPXWC-23133] [SIO2293100/SIO2301720/SIO2320187/SIO2320197/SIO2353348] : Tangled -The input audio device name shows 'Mic in at front panel(black)' or 'Line in at front/rear panel(black)' in System Sound and myHP Audio Control. - HP-Jira
•	[HPXAPPS-30085] [Consents][CMS][OfflineMode] Consents not Synced to CMS unless user navigates to Privacy Settings when consents are set offline and app is closed before reconnecting to internet. - HP-Jira
•	[HPXAPPS-27839] [Consents] Computer privacy does not appear in first use flow if only one of three consents is set to unknown in registry editor. - HP-Jira
•	[HPXAPPS-27097] [RTL][Consents][Settings][ManagePrivacyPreferences] Incorrect alignment of description is observed on the Consents, Manage privacy preference and computer privacy screen - Handle PR - HP-Jira
•	[HPXAPPS-27989] [PrivacySettings][Analytics] OnClick events are not sent when clicking on the links on Privacy Settings. - HP-Jira
•	[HPXAPPS-27998] [L10N][Settings][Privacy] The link "HP Privacy Statement" is not translated to the German Language - HP-Jira
•	[HPXWC-30330] [SIO2355401] Extra Audio module shows in HPX/Main page. - HP-Jira</t>
    </r>
  </si>
  <si>
    <r>
      <rPr>
        <sz val="11"/>
        <color rgb="FFFF0000"/>
        <rFont val="Calibri"/>
        <family val="2"/>
      </rPr>
      <t xml:space="preserve">"NOTE: When testing, please turn off auto update in MS Store app first to avoid being automatically updated to the latest version on MS Store.
For 2025 Sustaining CQ2 NB
</t>
    </r>
    <r>
      <rPr>
        <sz val="11"/>
        <rFont val="Calibri"/>
        <family val="2"/>
      </rPr>
      <t>For 2025 Sustaining CQ2 NB, please pick up this version.</t>
    </r>
  </si>
  <si>
    <t>Rebrand - 3A RC5
(Shippable Version)</t>
  </si>
  <si>
    <t>43.52511.1102.0.A.1</t>
  </si>
  <si>
    <t>P018K9-B2C</t>
  </si>
  <si>
    <r>
      <rPr>
        <sz val="11"/>
        <color rgb="FFFF0000"/>
        <rFont val="Calibri"/>
        <family val="2"/>
      </rPr>
      <t xml:space="preserve">"NOTE: When testing, please turn off auto update in MS Store app first to avoid being automatically updated to the latest version on MS Store.
For 2025 NPI 
For 2025 OOC
</t>
    </r>
    <r>
      <rPr>
        <sz val="11"/>
        <rFont val="Calibri"/>
        <family val="2"/>
      </rPr>
      <t xml:space="preserve">Changes:
•	[HPXAPPS-30740] [SignIn][Regression] Sign in from Device page, HPX main window keep blank before sign in success - HP-Jira
•	[HPXAPPS-30742] [SignIn][ARM] Click Sign in from Dashboard and then click Sign in from Device page, HPX crash from ARM unit - HP-Jira
•	[HPXAPPS-26083] [SFT_CSS][OTA_FFT] Blank page after sign in from device details page and post relaunch only user initials are displaying. - HP-Jira
•	[HPXAPPS-30792] [SIO2355354] HPX show blank after click sign in. - HP-Jira
•	[HPXAPPS-31324] [SIO2366848] The HPX always shows blank after clicking Sign In and then closing the login page. - HP-Jira
•	[HPXWC-30725] [SFT_MPH][OTA_FFT][Rebrand][VisionAI] "Auto HDR enabled" string is showing for Camera and presence detection card when we click Restore defaults button - HP-Jira
•	Auth bump to fix blank screen after sign in by jensen-mckenzie · Pull Request #12079 · hpx/hpx-winclient
•	[HPXAPPS-30828] [SFT_MPH][OTA_FFT][PCDevice] Product information card is missing on L1 page in Corp image - HP-Jira
•	[HPXAPPS-29945] [SFT_MPH][OTA_FFT][DockStation] Product information card is missing in L1 page - HP-Jira
•	[HPXAPPS-29943] [SFT_MPH][PenControl][Commercial] Product information card is missing in L1 page - HP-Jira </t>
    </r>
  </si>
  <si>
    <t>Rebrand - 4A PROD
(Non-Shippable Version)</t>
  </si>
  <si>
    <t>44.52512.1289.0.A.1</t>
  </si>
  <si>
    <t>P018K9-B2D</t>
  </si>
  <si>
    <r>
      <rPr>
        <sz val="11"/>
        <color rgb="FFFF0000"/>
        <rFont val="Calibri"/>
        <family val="2"/>
      </rPr>
      <t xml:space="preserve">"NOTE: When testing, please turn off auto update in MS Store app first to avoid being automatically updated to the latest version on MS Store.
For 2025 NPI 
For 2025 OOC
</t>
    </r>
    <r>
      <rPr>
        <sz val="11"/>
        <rFont val="Calibri"/>
        <family val="2"/>
      </rPr>
      <t>Changes:
•	[HPXWC-30456] [AudioControl][Ent] The package version of Audio for ENT RC is not the same as Prod RC. - HP-Jira
•	[HPXWC-30538] [SFT_MPH][PenControl][Commercial] Some of the actions in the radial menu are not working. - HP-Jira
•	[HPXWC-30330] [SIO2355401] Extra Audio module shows in HPX/Main page. - HP-Jira
•	[HPXAPPS-31335] [DesktopExtension][WindowsApp] is not compatible with Fusion ARM SDKs on the ARM platform - HP-Jira
•	[HPXWC-29215] [SOC Commander] Get List of top 10 thread based on Utilization criteria - HP-Jira
•	[HPXAPPS-30828] [SFT_MPH][OTA_FFT][PCDevice] Product information card is missing on L1 page in Corp image - HP-Jira
•	[HPXWC-30766] [SIO2368531/2368126] Headphones(Realtek(R) Audio) disappeared after click 'Restore default' in myHp/Audio. - HP-Jira
•	[HPXAPPS-28416] HPID does not receive appInstanceId from HPX - HP-Jira
•	Header overlaps with Pen image on L1 page in Hebrew and Arabic by marcos-silva · Pull Request #11821 · hpx/hpx-winclient
•	[HPXWC-29390] [SFT_MPH][Rebrand][DockStation] While docking the second new dock quick connect feature card is not stable in L1 Page - HP-Jira
•	[HPXWC-30227] [Rebrand][DockStation] Dock Image is not visible in the L1 page of the dock module after NB API changes by Device Mgmt Team - HP-Jira
•	[HPXAPPS-28010] [Feedback][Analytics] OnClick event is not sent when clicking on the "HP Privacy Statement" links on Feedback. - HP-Jira
•	[HPXAPPS-27457] [Analytics] analytics-x-core FF does not control analytics flow. - HP-Jira
•	[HPXAPPS-22813] [HPX][FeatureFlag] Delay observed with the experienceToggle.v2.useCheck takes more than a 1 second - HP-Jira
•	[HPXWC-29808] [SFT_MPH][Rebrand][VisionAI] Default illustration (Auto HDR) is not showing for the first launch of Vision AI - HP-Jira
•	[HPXAPPS-30464] Pop-up sign in when user migrates to HPX first time with the migrated email and not sign in in HPX - HP-Jira
•	[HPXWC-30180] [AudioControl][Rebrand] 3.5mm headset will disappear on output drop-down list when click restore button. - HP-Jira
•	[HPXWC-28854] [AudioControl][ARM][Rebrand][Performance] It will dealy 43s when enable MEP function on ARM device then switch between different headsets. - HP-Jira
•	[HPXWC-29919] [AudioControl][Rebrand][L10N] Speaker Swap is not translated correctly for pt-PT language. - HP-Jira
•	[HPXWC-29867] [AudioControl][Rebrand][L10N] The translation for zh-HK is the same as zh-TW. - HP-Jira
•	[HPXWC-29599] [AudioControl][Rebrand] Some contents are still not translated - HP-Jira
•	Update stg track of Pen and Dock by shivam-barke · Pull Request #11940 · hpx/hpx-winclient
•	[HPXAPPS-30085] [Consents][CMS][OfflineMode] Consents not Synced to CMS unless user navigates to Privacy Settings when consents are set offline and app is closed before reconnecting to internet. - HP-Jira</t>
    </r>
  </si>
  <si>
    <t>Rebrand - 3A Hotfix1
(Shippable Version)</t>
  </si>
  <si>
    <t>43.52513.1706.0.A.1</t>
  </si>
  <si>
    <t>P018K9-B2E</t>
  </si>
  <si>
    <r>
      <rPr>
        <sz val="11"/>
        <color rgb="FFFF0000"/>
        <rFont val="Calibri"/>
        <family val="2"/>
      </rPr>
      <t xml:space="preserve">"NOTE: When testing, please turn off auto update in MS Store app first to avoid being automatically updated to the latest version on MS Store.
For 2025 NPI 
For 2025 OOC
</t>
    </r>
    <r>
      <rPr>
        <sz val="11"/>
        <rFont val="Calibri"/>
        <family val="2"/>
      </rPr>
      <t>Changes:
• Embargo country check</t>
    </r>
  </si>
  <si>
    <t>Rebrand - 5A PROD
(Non-Shippable Version)</t>
  </si>
  <si>
    <t>45.52517.2610.0.A.1</t>
  </si>
  <si>
    <t>P018K9-B2F</t>
  </si>
  <si>
    <r>
      <rPr>
        <sz val="11"/>
        <color rgb="FFFF0000"/>
        <rFont val="Calibri"/>
        <family val="2"/>
      </rPr>
      <t xml:space="preserve">"NOTE: When testing, please turn off auto update in MS Store app first to avoid being automatically updated to the latest version on MS Store.
For 2025 OOC
</t>
    </r>
    <r>
      <rPr>
        <sz val="11"/>
        <rFont val="Calibri"/>
        <family val="2"/>
      </rPr>
      <t>Changes:
•	[HPXAPPS-28902] [SIO2325796/SIO2322831/SIO2318286][NB][Divinity][Pudding16][Machu16N] Total Boot time Divinity (23.996s) exceeds CER Fast startup criteria (14s) - HP-Jira
•	[HPXWC-30829] [SFT_MPH][Core] Intermittently HPX auto close/ crashes on resuming from sleep mode - HP-Jira
•	[HPXWC-30567] [AIC] AIC Module is visible and interactable when Fusion services are disabled - HP-Jira
•	[HPXAPPS-31500] [SIO2367735] HPX can not sign in successfully. - HP-Jira
•	[HPXWC-30360] [EnergyConsumption] Product Carbon footprint link not opening as expected from List Container. - HP-Jira
•	[HPXAPPS-32513] [Devices] Device modules overlapped when window isn't set as maximized - HP-Jira
•	[HPXAPPS-31809] [Performance] Unexpected Increase in Application Launch Time on Low-End Systems - HP-Jira
•	[HPXAPPS-33482] [HPX] App is freezing and hanging upon launch. - HP-Jira
•	[HPXWC-30522] [AIC] Clicking a link within one of the responses traps you in a webpage - HP-Jira
•	[HPXAPPS-33673] [Pro/STG/ITG/Dev] Message 'This feature is currently unavailable' pop up when go to device page - HP-Jira
•	[HPXAPPS-33773] [Consents] Consents are not set in CMS - ALL TRACKS. (PATCH call works as expected via POSTMAN) - HP-Jira
•	[HPXAPPS-33860] [SFT_CSS][FirstUseFlow] Welcomescreen is not visible on HPX v 45.42516.1940 - HP-Jira
•	[HPXWC-31494] [Audio]Error message show when navigate to Speaker config page. - HP-Jira
•	[HPXAPPS-31680] Desktop Extension is not running in ARM64 Architecture on ARM System - HP-Jira
•	[HPXWC-31479] [AudioControl] APM function is lost with latest prod build. - HP-Jira
•	[HPXAPPS-31670] [SignIn] Sign in successfully, Still in Home page for 30 mins, and then click other places, it shows up blank - HP-Jira</t>
    </r>
  </si>
  <si>
    <t>Rebrand - 5A RC
(Non-Shippable Version)</t>
  </si>
  <si>
    <t>45.52518.2843.0.A.1</t>
  </si>
  <si>
    <t>P018K9-B2H</t>
  </si>
  <si>
    <r>
      <rPr>
        <sz val="11"/>
        <color rgb="FFFF0000"/>
        <rFont val="Calibri"/>
        <family val="2"/>
      </rPr>
      <t xml:space="preserve">"NOTE: When testing, please turn off auto update in MS Store app first to avoid being automatically updated to the latest version on MS Store.
For 2025 OOC
</t>
    </r>
    <r>
      <rPr>
        <sz val="11"/>
        <rFont val="Calibri"/>
        <family val="2"/>
      </rPr>
      <t>Changes:
•	[HPXWC-31445] [Snap layout] Implement a store for PCTaskGroupsBase and retrieve data from a JSON file - HP-Jira
•	[HPXAPPS-34297] [ARM][Fusion][Regression] "Support" is missing from "Profile and Settings" flyout - HP-Jira
•	[HPXWC-31606] [SFT_MPH][VisionAI][ARM][Divinity] Presence detection module not seen with latest ITG,STG &amp; Prod builds - HP-Jira
•	[HPXAPPS-34802] [VideoControl][ARM] Video Control is missing on supported machine (FB) SystemPropertiesService recommended over WMIService - HP-Jira
•	[HPXAPPS-34335] [SFT_CSS][OTA_FFT][NPS][ARM] NPS notification is not triggering on ARM platforms. - HP-Jira
•	[HPXWC-31452] [Snap layout] Develop a UWP background task to initiate the launch of HP.TaskGroupsManager.exe - HP-Jira
•	[HPXWC-31572] [AudioControl] EQ tips does not show under EQ text when launch hpx to audio. - HP-Jira
•	[HPXG-2804] [UI] Loading Dotted Animation is Not in HPX Theme - HP-Jira
•	[HPXWC-30194] [SIO2354390] :The 'pressure level' of pen sensitivity can't keep the presets. - HP-Jira
•	[HPXSUP-4137] [Translation]In the Product information, the Care Pack is always displaying in English - HP-Jira
•	[HPXWC-31572] [AudioControl] EQ tips does not show under EQ text when launch hpx to audio. - HP-Jira
•	[HPXAPPS-32726] [Win][PPR] Empty Device List: Add Device Card Width - HP-Jira</t>
    </r>
  </si>
  <si>
    <t>Rebrand - 5A RC2
(Non-Shippable Version)</t>
  </si>
  <si>
    <t>45.52519.3013.0.A.1</t>
  </si>
  <si>
    <t>P018K9-B2J</t>
  </si>
  <si>
    <r>
      <rPr>
        <sz val="11"/>
        <color rgb="FFFF0000"/>
        <rFont val="Calibri"/>
        <family val="2"/>
      </rPr>
      <t xml:space="preserve">"NOTE: When testing, please turn off auto update in MS Store app first to avoid being automatically updated to the latest version on MS Store.
For 2025 OOC
</t>
    </r>
    <r>
      <rPr>
        <sz val="11"/>
        <rFont val="Calibri"/>
        <family val="2"/>
      </rPr>
      <t>Changes:
•	[HPXAPPS-32506] [ENT] Latest ENT does not launch to Root View/L0 page - HP-Jira
•	[HPXWC-31965] [SIO2379004] Well-being show in myHP after do Windows update. - HP-Jira
•	[HPXAPPS-35077] [Performance][RC] FuF Consent Performance via JVS Optimization - HP-Jira
•	[HPXWC-31905] [SWIMLANE][HPPK][ARM]Investigation on conflicts between Hotkey RPC and Fusion RPC - HP-Jira
•	Update importmap.json - engagement northbound api 1.8.0-patch-1 by harkirat-ghotra · Pull Request #12768 · hpx/hpx-winclient
•	Removed Print for 5A RC branch for performance improvements by james-mathson · Pull Request #12784 · hpx/hpx-winclient</t>
    </r>
  </si>
  <si>
    <t>Rebrand - 5A RC3
(Shippable Version)</t>
  </si>
  <si>
    <t>45.52519.3041.0.A.1</t>
  </si>
  <si>
    <t>P018K9-B2K</t>
  </si>
  <si>
    <r>
      <rPr>
        <sz val="11"/>
        <color rgb="FFFF0000"/>
        <rFont val="Calibri"/>
        <family val="2"/>
      </rPr>
      <t xml:space="preserve">"NOTE: When testing, please turn off auto update in MS Store app first to avoid being automatically updated to the latest version on MS Store.
For 2025 OOC
</t>
    </r>
    <r>
      <rPr>
        <sz val="11"/>
        <rFont val="Calibri"/>
        <family val="2"/>
      </rPr>
      <t>Changes:
•	[HPXAPPS-35138] [SFT_CSS][AutoLaunch] HPX application is not getting launched during Auto Launch on Consumer and Commercial platforms - HP-Jira</t>
    </r>
  </si>
  <si>
    <t>Rebrand - 6A RC
(Non-shippable Version)</t>
  </si>
  <si>
    <t>46.52522.3587.0.A.1</t>
  </si>
  <si>
    <t>P018K9-B2N</t>
  </si>
  <si>
    <r>
      <rPr>
        <sz val="11"/>
        <color rgb="FFFF0000"/>
        <rFont val="Calibri"/>
        <family val="2"/>
      </rPr>
      <t xml:space="preserve">"NOTE: When testing, please turn off auto update in MS Store app first to avoid being automatically updated to the latest version on MS Store.
For 2025 OOC
</t>
    </r>
    <r>
      <rPr>
        <sz val="11"/>
        <rFont val="Calibri"/>
        <family val="2"/>
      </rPr>
      <t>Changes:
•	[HPXAPPS-35868] [Consents][non-HP] Computer consents are shown on non-HP Windows devices on FUF and Privacy Settings screens (Dell/Lenovo). - HP-Jira
•	[HPXAPPS-34004] Blank screen on first launch for longer than 60 sec - HP-Jira
•	[HPXAPPS-35733] App does not launch properly, keep snipping on blue screen - HP-Jira
•	hp-jira.external.hp.com/browse/HPXAPPS-36049
•	[HPXWC-32332] [Performance] Battery Manager is taking 5 seconds to initialize its filter file resulting in app's performance. - HP-Jira
•	[HPXSUP-4503] Live Chat with an agent - URL link text color change - HP-Jira
•	[HPXWC-31938] [SmartExp]Use pipe communication to send parameters to Desktop Extension - HP-Jira
•	[HPXWC-32149] [Pen] Stop toast notifications if Pen is in Garage - HP-Jira
•	[HPXWC-31817] [Pen] Handle pen dock event with battery charging status in roo pen - HP-Jira
•	[HPXWC-31553] [Battery Manager] Merge feature branch of ARM feature support into main branch - HP-Jira
•	[HPXWC-32002] Show video control card if HP Presence application is installed on commercial platform - HP-Jira
•	[HPXWC-31913] [Audio] Modify 10Band EQ Settings to Limit Gain Range to +/-6dB - HP-Jira
•	[HPXWC-30106] [Audio Control] When 3.5 inserted output combobox is unavailable and when removed shows speakers, or output available . - HP-Jira
•	[HPXAPPS-15642] [SIO2269786/SIO2346886/2377138] There is Video Control module list in Home&amp;Devices page of HPX 33.52417.394.0. - HP-Jira
•	[HPXWC-13078] Battery Manager support for ARM devices (Qualcomm) - Coda - HP-Jira
•	[HPXAPPS-33851] [SFT_MPH][OTA_FFT[DockStation] Dock Image is not seen on L1 page - HP-Jira</t>
    </r>
  </si>
  <si>
    <t>Rebrand - 6A RC3
(Non-shippable Version)</t>
  </si>
  <si>
    <t>46.52523.3965.0.A.1</t>
  </si>
  <si>
    <t>P018K9-B2P</t>
  </si>
  <si>
    <r>
      <rPr>
        <sz val="11"/>
        <color rgb="FFFF0000"/>
        <rFont val="Calibri"/>
        <family val="2"/>
      </rPr>
      <t xml:space="preserve">"NOTE: When testing, please turn off auto update in MS Store app first to avoid being automatically updated to the latest version on MS Store.
For 2025 OOC, 2026 NPI
</t>
    </r>
    <r>
      <rPr>
        <sz val="11"/>
        <rFont val="Calibri"/>
        <family val="2"/>
      </rPr>
      <t>Changes:
•	[HPXAPPS-36566] [SFT_CSS][FFT_OTA][Core] Right click is enabled and right click options are functional on PRODUCTION track - HP-Jira
•	[HPXWC-32573] [SFT_MPH][OTA_FFT][BatteryManager][ARM] Battery manager is coming in Divinity platform after updating to latest myHP App - HP-Jira
•	[HPXWC-32565] [SFT_MPH][OTA_FFT][PenControl][Commercial] External display card is not seen in the L1 Page - HP-Jira
•	[HPXAPPS-35623] [SIO2379948] Back button disappeared in Audio page and couldn't return to previous page after idling the unit for a while. - HP-Jira
•	[HPXWC-32546] [SFT_MPH][OTA_FFT][Rebrand][DockStation] After restarting the system or relaunching the HPX application, Quick Connect is not visible on the L1 page - HP-Jira
•	[HPXAPPS-36247] [Sign in/Sign out][Regression] After Sign in/Sign out successfully, nav bar is not visible. - HP-Jira
•	[HPXAPPS-34694] [Windows][Offline][ForYou] For you contents do not show up once the internet is restored when offline no cached banner is shown. - HP-Jira
•	[HPXAPPS-34702] [Windows][Offline][ForYou] LoginHpx Banner is not shown even user is logged out in offline and then online scenario - HP-Jira
•	[HPXAPPS-33944] [Performance] It takes more than expected to load FUF when first launch hpx or relaunch hpx. - HP-Jira</t>
    </r>
  </si>
  <si>
    <t>Rebrand - 6A RC4
(Shippable Version)</t>
  </si>
  <si>
    <t>46.52523.4052.0.A.1</t>
  </si>
  <si>
    <t>P018K9-B2Q</t>
  </si>
  <si>
    <r>
      <rPr>
        <sz val="11"/>
        <color rgb="FFFF0000"/>
        <rFont val="Calibri"/>
        <family val="2"/>
      </rPr>
      <t xml:space="preserve">"NOTE: When testing, please turn off auto update in MS Store app first to avoid being automatically updated to the latest version on MS Store.
For 2025 OOC, 2026 NPI
</t>
    </r>
    <r>
      <rPr>
        <sz val="11"/>
        <rFont val="Calibri"/>
        <family val="2"/>
      </rPr>
      <t>Changes:
•	[HPXWC-32646] [SFT_MPH][OTA_FFT][PenControl][Commercial] External display functionality is not working as expected - HP-Jira
•	[HPXAPPS-37237] User in Germany seeing US campaigns - HP-Jira
•	[HPXWC-32533] [Pen] Increase code coverage of Pen control native-view - HP-Jira</t>
    </r>
  </si>
  <si>
    <t>Rebrand - 6A Hotfix1
(Shippable Version)</t>
  </si>
  <si>
    <t>46.52524.4209.0.A.1</t>
  </si>
  <si>
    <t>P018K9-B2R</t>
  </si>
  <si>
    <r>
      <rPr>
        <sz val="11"/>
        <color rgb="FFFF0000"/>
        <rFont val="Calibri"/>
        <family val="2"/>
      </rPr>
      <t xml:space="preserve">"NOTE: When testing, please turn off auto update in MS Store app first to avoid being automatically updated to the latest version on MS Store.
For 2025 OOC, 2026 NPI
</t>
    </r>
    <r>
      <rPr>
        <sz val="11"/>
        <rFont val="Calibri"/>
        <family val="2"/>
      </rPr>
      <t>Changes:
•	[HPXAPPS-37733] [Prod] Shop Page shows "Something Went Wrong" error - HP-Jira
•	[HPXAPPS-36373] [SFT_CSS][FFT_OTA][DeviceDetails] Persistent Grey Outline/Glass pane Appears at Top of App's UI - HP-Jira
•	[HPXAPPS-37249] Events are missing CDM version causing schema validation errors. - HP-Jira</t>
    </r>
  </si>
  <si>
    <t>Rebrand - 7A RC1
(Non-shippable Version)</t>
  </si>
  <si>
    <t>47.52526.4786.0.A.1</t>
  </si>
  <si>
    <t>P018K9-B2T</t>
  </si>
  <si>
    <r>
      <rPr>
        <sz val="11"/>
        <color rgb="FFFF0000"/>
        <rFont val="Calibri"/>
        <family val="2"/>
      </rPr>
      <t xml:space="preserve">"NOTE: When testing, please turn off auto update in MS Store app first to avoid being automatically updated to the latest version on MS Store.
For 2025 OOC, 2026 NPI
</t>
    </r>
    <r>
      <rPr>
        <sz val="11"/>
        <rFont val="Calibri"/>
        <family val="2"/>
      </rPr>
      <t>Main Changes:
• Changed App name from myHP to HP
• Added "For you" page
•	[HPXWC-32964] [Rebrand][System Control][TPE_SFT][FFT] The system control mode does not remain as the selected setting after the unit is restarted. - HP-Jira
•	[HPXAPPS-37733] [Prod] Shop Page shows "Something Went Wrong" error - HP-Jira
•	[HPXAPPS-37054] [Performance] Performance degradation observed on latest version of HPX app - HP-Jira
•	[HPXAPPS-37718] [ComputerConsents] Computer Consents screen reloads after few seconds and resets user changes. - HP-Jira
•	[HPXWC-32985] [SFT_MPH][OTA_FFT][PenControl][Commercial] Gesture Card is visible in Pen control module with the latest Prod build. - HP-Jira
•	[HPXWC-32954] [AudioControl] Audio presets and EQ will be missing after re-launch the app. - HP-Jira
•	[HPXAPPS-37800] [SFT_CSS][OTA_FFT][Shop] Shop page (communications foryou) should not showing up in Corp OS images - HP-Jira
•	[HPXWC-32980] [AudioControl][Commercial] Audio control module still will show up when standalone app exists. - HP-Jira
•	[HPXAPPS-38405] [AllTracks] App doesn't load on some launches - HP-Jira
•	[HPXAPPS-37054] [Performance] Performance degradation observed on latest version of HPX app - HP-Jira</t>
    </r>
  </si>
  <si>
    <t>Rebrand - 7A RC2
(Non-shippable Version)</t>
  </si>
  <si>
    <t>47.52527.4885.0.A.1</t>
  </si>
  <si>
    <t>P018K9-B2U</t>
  </si>
  <si>
    <r>
      <rPr>
        <sz val="11"/>
        <color rgb="FFFF0000"/>
        <rFont val="Calibri"/>
        <family val="2"/>
      </rPr>
      <t xml:space="preserve">"NOTE: When testing, please turn off auto update in MS Store app first to avoid being automatically updated to the latest version on MS Store.
For 2025 OOC, 2026 NPI
</t>
    </r>
    <r>
      <rPr>
        <sz val="11"/>
        <rFont val="Calibri"/>
        <family val="2"/>
      </rPr>
      <t>Main Changes:
•	[HPXSUP-4919] [Sign in][Regression] - Sometimes Sign in from Contact us/Warranty page, it shows up error - HP-Jira
•	[HPXAPPS-38709] [SFT_CSS][FFT_OTA][Core] Right click is enabled and right click options are functional on RC1 track - HP-Jira
•	[HPXAPPS-37929] [FUFQA] User is not able to redirect to external browser while clicking sign in on consecutive time - HP-Jira
•	[HPXAPPS-38776] [Regression][DeviceList] No remote devices show after signing in - HP-Jira
•	[HPXAPPS-36747] [ENT][AppManaged] Privacy Setting Screen should show the latest values from registry on ENT mode - HP-Jira</t>
    </r>
  </si>
  <si>
    <t>Rebrand - 8A STG
(Non-shippable Version)</t>
  </si>
  <si>
    <t>48.42528.3124.0.A.1</t>
  </si>
  <si>
    <t>P018K9-B2V</t>
  </si>
  <si>
    <r>
      <rPr>
        <sz val="11"/>
        <color rgb="FFFF0000"/>
        <rFont val="Calibri"/>
        <family val="2"/>
      </rPr>
      <t xml:space="preserve">"NOTE: When testing, please turn off auto update in MS Store app first to avoid being automatically updated to the latest version on MS Store.
For 2025 8/X/Ultra/mWS:
Machu13
Machu13X
Machu14
Machu14N
Machu16N
Machu16
MachuW14
MachuW16
LaPaz13
LaPaz14
LaPaz16
LaPaz13N
LaPaz14N
LaPaz16N
LaPazW14
LaPazW14N
ColosseumW14N
MasadaN
MasadaNX
Eviee
Gemtree16/18
Chiron
Helm
SnowWhite
 and 2026 CashmereI platforms 
</t>
    </r>
    <r>
      <rPr>
        <sz val="11"/>
        <rFont val="Calibri"/>
        <family val="2"/>
      </rPr>
      <t>Main Changes:
•	For testing Smart Resource Optimizer in System Control</t>
    </r>
  </si>
  <si>
    <t>Rebrand - 7A RC5
(Shippable Version)</t>
  </si>
  <si>
    <t>47.52528.5138.0.A.1</t>
  </si>
  <si>
    <t>P018K9-B2W</t>
  </si>
  <si>
    <r>
      <rPr>
        <sz val="11"/>
        <color rgb="FFFF0000"/>
        <rFont val="Calibri"/>
        <family val="2"/>
      </rPr>
      <t xml:space="preserve">"NOTE: When testing, please turn off auto update in MS Store app first to avoid being automatically updated to the latest version on MS Store.
For 2025 Gemtree 16/18, 2026 NPI except Cashmere I/XI
</t>
    </r>
    <r>
      <rPr>
        <sz val="11"/>
        <rFont val="Calibri"/>
        <family val="2"/>
      </rPr>
      <t>Main Changes:
•	[HPXAPPS-39332] [SFT_CSS][ENT][ManageabilitySettings] When disabling the Battery module, the System Control module card is also being disabled unexpectedly. - HP-Jira
•	[HPXWC-33191] [SFT_MPH][PenControl][Audio Control] Volume up, Volume down and Mute/unmute actions are not working as expected in customize buttons page - HP-Jira
•	[HPXAPPS-37241] [CyberSecurity] Address Control Flow Guard issues in the security report from False to True - HP-Jira
•	[HPXWC-33425] [ProximitySensor][ProximitySense][UserDetection] Update NuGet for unsigned dependencies - HP-Jira</t>
    </r>
  </si>
  <si>
    <t>48.42529.3190.0.A.1</t>
  </si>
  <si>
    <t>P018K9-B2X</t>
  </si>
  <si>
    <r>
      <rPr>
        <sz val="11"/>
        <color rgb="FFFF0000"/>
        <rFont val="Calibri"/>
        <family val="2"/>
      </rPr>
      <t xml:space="preserve">"NOTE: When testing, please turn off auto update in MS Store app first to avoid being automatically updated to the latest version on MS Store.
For 2025 8/X/Ultra/mWS:
Machu13
Machu13X
Machu14
Machu14N
Machu16N
Machu16
MachuW14
MachuW16
LaPaz13
LaPaz14
LaPaz16
LaPaz13N
LaPaz14N
LaPaz16N
LaPazW14
LaPazW14N
ColosseumW14N
MasadaN
MasadaNX
Eviee
Gemtree16/18
Chiron
Helm
SnowWhite
 and 2026 CashmereI platforms 
</t>
    </r>
    <r>
      <rPr>
        <sz val="11"/>
        <rFont val="Calibri"/>
        <family val="2"/>
      </rPr>
      <t>Main Changes:
•	Fixed Smart Resource Optimizer in System Control not shown issue</t>
    </r>
  </si>
  <si>
    <t>48.42530.3253.0.A.1</t>
  </si>
  <si>
    <t>P019CR-B2A</t>
  </si>
  <si>
    <r>
      <rPr>
        <sz val="11"/>
        <color rgb="FFFF0000"/>
        <rFont val="Calibri"/>
        <family val="2"/>
      </rPr>
      <t xml:space="preserve">"NOTE: When testing, please turn off auto update in MS Store app first to avoid being automatically updated to the latest version on MS Store.
For testing Smart Resource Optimizer in System Contro
For 2025 8/X/Ultra/mWS:
Machu13
Machu13X
Machu14
Machu14N
Machu16N
Machu16
MachuW14
MachuW16
LaPaz13
LaPaz14
LaPaz16
LaPaz13N
LaPaz14N
LaPaz16N
LaPazW14
LaPazW14N
ColosseumW14N
MasadaN
MasadaNX
Eviee
Gemtree16/18
Chiron
Helm
SnowWhite
 and 2026 CashmereI platforms 
</t>
    </r>
    <r>
      <rPr>
        <sz val="11"/>
        <rFont val="Calibri"/>
        <family val="2"/>
      </rPr>
      <t>Main Changes:
•	[HPXAPPS-39388] [Device][Upgrade] It takes Dock as PC when do upgrading and no image - HP-Jira
•	[HPXWC-33562] [SFT_MPH][PenControl][Commercial] Gesture Card is visible in Pen control module with the latest ITG/STG build. - HP-Jira
•	[HPXAPPS-38662] The app icon looks a bit small - in the Application - HP-Jira
•	[HPXAPPS-40059] [Data loss] Feature Flag data looks incorrect - HP-Jira
•	[HPXAPPS-39304] [Localization] The nicknames of mouse and keyboard are still in English in device details screen. - HP-Jira
•	[HPXG-3666] [Function] Blank screen shows if sign in or create account successfully during OOBE flow. - HP-Jira
•	[HPXWC-33570] [SFT_MPH][SystemControl][SOC_Commander] Efficiency mode is still active for spiked background process when we turn off the Smart Resource Optimizer toggle - HP-Jira</t>
    </r>
  </si>
  <si>
    <t>Rebrand - 8A PROD
(Non-shippable Version)</t>
  </si>
  <si>
    <t>48.52530.5597.0.A.1</t>
  </si>
  <si>
    <t>P018K9-B2Y</t>
  </si>
  <si>
    <r>
      <rPr>
        <sz val="11"/>
        <color rgb="FFFF0000"/>
        <rFont val="Calibri"/>
        <family val="2"/>
      </rPr>
      <t xml:space="preserve">"NOTE: When testing, please turn off auto update in MS Store app first to avoid being automatically updated to the latest version on MS Store.
For 2026 NPI except Cashmere I/XI
</t>
    </r>
    <r>
      <rPr>
        <sz val="11"/>
        <rFont val="Calibri"/>
        <family val="2"/>
      </rPr>
      <t>Main Changes:
•	[HPXWC-33133] [SFT_MPH][DisplayControl][L10] App string for branding is not found for other languages in out of sync page - HP-Jira
•	[HPXAPPS-38582] Get supplies tile is missing on device details page - HP-Jira
•	[HPXAPPS-37929] [FUFQA] User is not able to redirect to external browser while clicking sign in on consecutive time - HP-Jira
•	[HPXAPPS-38721] [SFT_CSS][L10N] White screen appears after launching the application in Arabic and Hebrew language. - HP-Jira
•	[HPXAPPS-38776] [Regression][DeviceList] No remote devices show after signing in - HP-Jira
•	[HPXAPPS-38823] [RC][PROD][Settings] The "My Dock" title appears under the Device Privacy and Computer Privacy screen - HP-Jira
•	[HPXAPPS-38887] [SFT_CSS][FFT_OTA][Core] Right click is enabled and right click options are functional on main branch - HP-Jira
•	[HPXG-3549] [Function] The error page 'Something went wrong' instead of the PDP after clicking printer card on the device page. - HP-Jira
•	[HPXAPPS-39332] [SFT_CSS][ENT][ManageabilitySettings] When disabling the Battery module, the System Control module card is also being disabled unexpectedly. - HP-Jira
•	[HPXAPPS-38726] [SFT_CSS][Settings][ENT] User Consents buttons missing when navigating to 'Manage Privacy Preferences' section thru Settings page - HP-Jira
•	[HPXAPPS-39646] [Performance][ENT] Privacy(Consent Screen) takes more than 10 seconds to load - HP-Jira
•	[HPXAPPS-37929] [FUFQA]Consecutive click of sign in button not allowed - HP-Jira
•	[HPXAPPS-38912] [SignIn] After signing in, it shows up blank frequently - HP-Jira
•	[HPXAPPS-38925] [SFT_CSS][ARM][Core] HPX App crashes post initial sign-in on ARM unit, and crashes on every subsequent launch - HP-Jira
•	[HPXWC-33562] [SFT_MPH][PenControl][Commercial] Gesture Card is visible in Pen control module with the latest ITG/STG build. - HP-Jira
•	[HPXAPPS-39388] [Device][Upgrade] It takes Dock as PC when do upgrading and no image - HP-Jira</t>
    </r>
  </si>
  <si>
    <t>Rebrand - 7A Hotfix 1
(Shippable Version)</t>
  </si>
  <si>
    <t>47.52530.5546.0.A.1</t>
  </si>
  <si>
    <t>P018K9-B2Z</t>
  </si>
  <si>
    <r>
      <rPr>
        <sz val="11"/>
        <color rgb="FFFF0000"/>
        <rFont val="Calibri"/>
        <family val="2"/>
      </rPr>
      <t xml:space="preserve">"NOTE: When testing, please turn off auto update in MS Store app first to avoid being automatically updated to the latest version on MS Store.
For 2025 Gemtree 16/18
</t>
    </r>
    <r>
      <rPr>
        <sz val="11"/>
        <rFont val="Calibri"/>
        <family val="2"/>
      </rPr>
      <t>Main Changes:
•	[HPXAPPS-39889] Data Loss in HP app Windows - Viewmode being rewritten - HP-Jira
•	[HPXAPPS-39603] [SFT_CSS][Core] HP logo is not appearing in the title bar before "HP" - HP-Jira</t>
    </r>
  </si>
  <si>
    <t>48.42531.3279.0.A.1</t>
  </si>
  <si>
    <t>P019CR-B2B</t>
  </si>
  <si>
    <r>
      <rPr>
        <sz val="11"/>
        <color rgb="FFFF0000"/>
        <rFont val="Calibri"/>
        <family val="2"/>
      </rPr>
      <t xml:space="preserve">"NOTE: When testing, please turn off auto update in MS Store app first to avoid being automatically updated to the latest version on MS Store.
For testing Smart Resource Optimizer in System Control
For 2025 8/X/Ultra/mWS:
Machu13
Machu13X
Machu14
Machu14N
Machu16N
Machu16
MachuW14
MachuW16
LaPaz13
LaPaz14
LaPaz16
LaPaz13N
LaPaz14N
LaPaz16N
LaPazW14
LaPazW14N
ColosseumW14N
MasadaN
MasadaNX
Eviee
Gemtree16/18
Chiron
Helm
SnowWhite
 and 2026 CashmereI platforms 
</t>
    </r>
    <r>
      <rPr>
        <sz val="11"/>
        <rFont val="Calibri"/>
        <family val="2"/>
      </rPr>
      <t>Main Changes:
•	[HPXWC-33690] [SOC Commander] Analytics Spec Update for SRO1.0 - HP-Jira
•	[HPXWC-33412] [SFT_MPH][OTA_FFT][PenControl][Commercial] Delay is seen in Restore default functionality in external display page - HP-Jira
•	[HPXAPPS-40215] [Analytics] Multiple AutoLaunchTask and LaunchAppTask events are sent. - HP-Jira
•	[HPXAPPS-38255] Connection Info NB API is not working as expected when tested in windows - HP-Jira
•	[HPXAPPS-27487] HPX Navbar displayed incorrectly on AR &amp; HE units. - HP-Jira
•	[HPXSUP-5097] Support [VA Intent Analytics] - controlName/controlLabel values are not correct if clicking on 'Show more' or 'Show less' button under PC, Printer or AIP Intents list. - HP-Jira
•	[HPXSUP-5073] [Win][Analytics]Data Loss in HP App - ViewDisplay in ActionDetail instead of Action field - HP-Jira
•	[HPXSUP-5080] [Chat] - It shows up two boxes at firstly - HP-Jira</t>
    </r>
  </si>
  <si>
    <t>Rebrand - 8A RC1
(Non-shippable Version)</t>
  </si>
  <si>
    <t>48.52531.5880.0.A.1</t>
  </si>
  <si>
    <t>P019CR-B2C</t>
  </si>
  <si>
    <r>
      <rPr>
        <sz val="11"/>
        <color rgb="FFFF0000"/>
        <rFont val="Calibri"/>
        <family val="2"/>
      </rPr>
      <t xml:space="preserve">"NOTE: When testing, please turn off auto update in MS Store app first to avoid being automatically updated to the latest version on MS Store.
For 2026 NPI except Cashmere I/XI
</t>
    </r>
    <r>
      <rPr>
        <sz val="11"/>
        <rFont val="Calibri"/>
        <family val="2"/>
      </rPr>
      <t>Main Changes:
•	[HPXWC-33341] [Pen] Support existing UI to Roo 2.0 Pens - HP-Jira
•	[HPXWC-33690] [SOC Commander] Analytics Spec Update for SRO1.0 - HP-Jira
•	[HPXWC-33095] Info message if external monitor is not connected - HP-Jira
•	[HPXWC-33453] [SRO1.5]Update the denied app list structure - HP-Jira
•	[HPXWC-33412] [SFT_MPH][OTA_FFT][PenControl][Commercial] Delay is seen in Restore default functionality in external display page - HP-Jira
•	[HPXAPPS-40215] [Analytics] Multiple AutoLaunchTask and LaunchAppTask events are sent. - HP-Jira
•	[HPXAPPS-27487] HPX Navbar displayed incorrectly on AR &amp; HE units. - HP-Jira
•	[HPXSUP-5097] Support [VA Intent Analytics] - controlName/controlLabel values are not correct if clicking on 'Show more' or 'Show less' button under PC, Printer or AIP Intents list. - HP-Jira
•	[HPXSUP-5080] [Chat] - It shows up two boxes at firstly - HP-Jira
•	[HPXWC-30602] [SFT_MPH][Rebrand][DockStation]After connecting Hook2 Dock, the dock image and dock name is not updating and Quick Connect card is seen on L1 page - HP-Jira
•	[HPXWC-27709] [SFT_MPH][OTA_FFT][Rebrand][DockStation]When docking a second new dock, on the L1 page device name, product name, and product information are not displayed - HP-Jira
•	[HPXWC-29760] [SFT_MPH][Rebrand][PenControl][Commercial][Ent] Back button name is displayed as "Back" for customize radial menu page and as "route.home" for slice pages - HP-Jira</t>
    </r>
  </si>
  <si>
    <t>Rebrand - 9A STG
(Non-shippable Version)</t>
  </si>
  <si>
    <t>49.42532.3387.0.A.1</t>
  </si>
  <si>
    <t>P019CR-B2D</t>
  </si>
  <si>
    <r>
      <rPr>
        <sz val="11"/>
        <color rgb="FFFF0000"/>
        <rFont val="Calibri"/>
        <family val="2"/>
      </rPr>
      <t xml:space="preserve">"NOTE: When testing, please turn off auto update in MS Store app first to avoid being automatically updated to the latest version on MS Store.
For testing Smart Resource Optimizer in System Control
For testing ROO pen 2.0
For 2026 NPI
For 2025 8/X/Ultra/mWS:
Machu13
Machu13X
Machu14
Machu14N
Machu16N
Machu16
MachuW14
MachuW16
LaPaz13
LaPaz14
LaPaz16
LaPaz13N
LaPaz14N
LaPaz16N
LaPazW14
LaPazW14N
ColosseumW14N
MasadaN
MasadaNX
Eviee
Gemtree16/18
Chiron
Helm
SnowWhite
</t>
    </r>
    <r>
      <rPr>
        <sz val="11"/>
        <rFont val="Calibri"/>
        <family val="2"/>
      </rPr>
      <t>Main Changes:
• Enabled ROO pen 2.0</t>
    </r>
  </si>
  <si>
    <t>Rebrand - 8A RC2
(Shippable Version)</t>
  </si>
  <si>
    <t>48.52531.6118.0.A.1</t>
  </si>
  <si>
    <t>P019CR-B2E</t>
  </si>
  <si>
    <r>
      <rPr>
        <sz val="11"/>
        <color rgb="FFFF0000"/>
        <rFont val="Calibri"/>
        <family val="2"/>
      </rPr>
      <t xml:space="preserve">"NOTE: When testing, please turn off auto update in MS Store app first to avoid being automatically updated to the latest version on MS Store.
For OTA testing
</t>
    </r>
    <r>
      <rPr>
        <sz val="11"/>
        <rFont val="Calibri"/>
        <family val="2"/>
      </rPr>
      <t>Main Changes:
•	On Store version
•	[HPXAPPS-40929] [Deeplink] deeplinks don't work when myhp is opened. - HP-Jira
•	[HPXAPPS-39603] [SFT_CSS][Core] HP logo is not appearing in the title bar before "HP" - HP-Jira
•	[HPXAPPS-38662] The app icon looks a bit small - in the Application - HP-Jira
•	[HPXAPPS-39318] [Windows chat/phone] Once Session timeout, re-login doesn't work - HP-Jira</t>
    </r>
  </si>
  <si>
    <t>49.42533.3503.0.A.1</t>
  </si>
  <si>
    <t>P019CR-B2F</t>
  </si>
  <si>
    <r>
      <rPr>
        <sz val="11"/>
        <color rgb="FFFF0000"/>
        <rFont val="Calibri"/>
        <family val="2"/>
      </rPr>
      <t xml:space="preserve">"NOTE: When testing, please turn off auto update in MS Store app first to avoid being automatically updated to the latest version on MS Store.
For testing Smart Resource Optimizer in System Control
For testing ROO pen 2.0
For 2026 NPI
For 2025 8/X/Ultra/mWS:
Machu13
Machu13X
Machu14
Machu14N
Machu16N
Machu16
MachuW14
MachuW16
LaPaz13
LaPaz14
LaPaz16
LaPaz13N
LaPaz14N
LaPaz16N
LaPazW14
LaPazW14N
ColosseumW14N
MasadaN
MasadaNX
Eviee
Gemtree16/18
Chiron
Helm
SnowWhite
</t>
    </r>
    <r>
      <rPr>
        <sz val="11"/>
        <rFont val="Calibri"/>
        <family val="2"/>
      </rPr>
      <t>Main Changes:
•	[HPXWC-33353] [Pen] Call location API on just before toast send if myHP is not running - HP-Jira
•	[HPXAPPS-37383] [EM NB API] Append Time Zone and Local Time to Campaign Requests - HP-Jira
•	[HPXAPPS-40861] Firmware version doesn't show up for Pen device on MasadaNX - Regression - HP-Jira
•	[HPXAPPS-40176] [FUF_QA]Feature tour screen appears multiple times unless user do any kind of action like Skip/Done - HP-Jira
•	[HPXWC-32873] [SFT_MPH][DockStation] Narrator is reading Quick Connect card details since it is not an action item. - HP-Jira
•	[N1X][HPXWC-XXXX]: Audio Core Infrastructure by eric-gilchrist · Pull Request #13918 · hpx/hpx-winclient</t>
    </r>
  </si>
  <si>
    <t>49.42534.3648.0.A.1</t>
  </si>
  <si>
    <t>P019CR-B2H</t>
  </si>
  <si>
    <r>
      <rPr>
        <sz val="11"/>
        <color rgb="FFFF0000"/>
        <rFont val="Calibri"/>
        <family val="2"/>
      </rPr>
      <t xml:space="preserve">"NOTE: When testing, please turn off auto update in MS Store app first to avoid being automatically updated to the latest version on MS Store.
For testing Smart Resource Optimizer in System Control
For testing ROO pen 2.0
For 2026 NPI
For 2025 8/X/Ultra/mWS:
Machu13
Machu13X
Machu14
Machu14N
Machu16N
Machu16
MachuW14
MachuW16
LaPaz13
LaPaz14
LaPaz16
LaPaz13N
LaPaz14N
LaPaz16N
LaPazW14
LaPazW14N
ColosseumW14N
MasadaN
MasadaNX
Eviee
Gemtree16/18
Chiron
Helm
SnowWhite
</t>
    </r>
    <r>
      <rPr>
        <sz val="11"/>
        <rFont val="Calibri"/>
        <family val="2"/>
      </rPr>
      <t>Main Changes:
•	[HPXG-3692] [UI][Kronos Refresh] Incorrect Supply Guage is displayed for Kronos Refresh. - HP-Jira
•	[HPXWC-33756] [Smart displays][screen shift][UI] Update new UI changes - HP-Jira
•	[HPXWC-31065] [Audio] Equilizer - HP-Jira
•	[HPXSUP-3096] [VA][Chat]As an HPX support user, I need the ability to minimize and maximize my chat windows in order to navigate to other place in the app to complete tasks. - HP-Jira
•	[HPXSUP-31] Device Specs - As a HPX windows user, I would like to view my overall specs of my PC so that I can determine if I need an upgrade of a component such as memory ram - HP-Jira
•	[HPXWC-34222] [AIC][UI] Issue when inputting a new prompt related to previous prompt with response collapsed - HP-Jira
•	[HPXWC-31694] [Display] Checkpoint - integration for ARM Portrait DLL with HPx - HP-Jira
•	[HPXAPPS-41866] [SFT_MPH][Core] Small triangle (Error) icon is displaying at the bottom of the UI once back from other module, such as Audio - HP-Jira</t>
    </r>
  </si>
  <si>
    <t>49.42535.3715.0.A.1</t>
  </si>
  <si>
    <t>P019CR-B2L</t>
  </si>
  <si>
    <r>
      <rPr>
        <sz val="11"/>
        <color rgb="FFFF0000"/>
        <rFont val="Calibri"/>
        <family val="2"/>
      </rPr>
      <t xml:space="preserve">"NOTE: When testing, please turn off auto update in MS Store app first to avoid being automatically updated to the latest version on MS Store.
For testing ROO pen 2.0
For 2026 NPI
</t>
    </r>
    <r>
      <rPr>
        <sz val="11"/>
        <rFont val="Calibri"/>
        <family val="2"/>
      </rPr>
      <t>Main Changes:
•	[HPXSUP-5267] [Contact us] - Contact us gone from host PC when only one device there - HP-Jira
•	[HPXAPPS-42258] [Win][CustomerIssue] Users reporting inability to log in - HP-Jira
•	[HPXWC-34337] [SFT_MPH][OTA_FFT][SystemControl][SOC_Commander]Clicking on App Optimization settings takes the user to the Device page instead of the SRO L3 page. - HP-Jira
•	[HPXWC-34294] [SFT_MPH][ContextAware] Selected application is not getting focused on the Add Application page - HP-Jira
•	[HPXWC-34415] [SFT_MPH][OTA_FFT][SystemControl][SOC_Commander]SRO 1.5 feature is not present on the L2 page with or without a property JSON file. - HP-Jira
•	[HPXSUP-5301] [Device Specs] It should display Video above Audio - HP-Jira
•	[HPXSUP-4984] Enable Signed Out and Wrong Account Contact Support States feature for Windows - HP-Jira</t>
    </r>
  </si>
  <si>
    <t>Rebrand - 9A RC1
(Non-shippable Version)</t>
  </si>
  <si>
    <t>49.52535.7224.0.A.1</t>
  </si>
  <si>
    <t>P019CR-B2K</t>
  </si>
  <si>
    <r>
      <rPr>
        <sz val="11"/>
        <color rgb="FFFF0000"/>
        <rFont val="Calibri"/>
        <family val="2"/>
      </rPr>
      <t xml:space="preserve">"NOTE: When testing, please turn off auto update in MS Store app first to avoid being automatically updated to the latest version on MS Store.
For SnowWhite
For OTA testing
</t>
    </r>
    <r>
      <rPr>
        <sz val="11"/>
        <rFont val="Calibri"/>
        <family val="2"/>
      </rPr>
      <t>Main Changes:
•	[HPXAPPS-42124] [Flyout] [NavPill] Back Button Reusing Identical AutomationId Across Flyouts - HP-Jira
•	[HPXSUP-5267] [Contact us] - Contact us gone from host PC when only one device there - HP-Jira
•	[HPXAPPS-42258] [Win][CustomerIssue] Users reporting inability to log in - HP-Jira
•	[HPXWC-34337] [SFT_MPH][OTA_FFT][SystemControl][SOC_Commander]Clicking on App Optimization settings takes the user to the Device page instead of the SRO L3 page. - HP-Jira
•	[HPXWC-34374] App crashed on Waffle with 9A build 49.52534.6901.0. - HP-Jira
•	[HPXAPPS-42521] [SFT_MPH][PenControl][DockStation] Two module- cards are seen in L0 Page for both Pen and Dock modules in latest ITG build - HP-Jira
•	[HPXWC-31065] [Audio] Equilizer - HP-Jira
•	[HPXSUP-3096] [VA][Chat]As an HPX support user, I need the ability to minimize and maximize my chat windows in order to navigate to other place in the app to complete tasks. - HP-Jira
•	[HPXAPPS-42192] [Translations] Download translated strings to Settings MFE - HP-Jira
•	[HPXWC-34155] [SRO1.5] Control Visibility of Transit Power Saver based on sensor availability - HP-Jira
•	[HPXAPPS-41866] [SFT_MPH][Core] Small triangle (Error) icon is displaying at the bottom of the UI once back from other module, such as Audio - HP-Jira
•	HPXSUP-5303 [VA] When the "Start a new session" prompt appears, clicking anywhere on the scrim will cause the prompt to disappear by you-liang-cui · Pull Request #14380 · hpx/hpx-winclient</t>
    </r>
  </si>
  <si>
    <t>Rebrand - 9A ITG
(Non-shippable Version)</t>
  </si>
  <si>
    <t>49.22535.17524.0.A.1</t>
  </si>
  <si>
    <t>P019CR-B2M</t>
  </si>
  <si>
    <r>
      <rPr>
        <sz val="11"/>
        <color rgb="FFFF0000"/>
        <rFont val="Calibri"/>
        <family val="2"/>
      </rPr>
      <t xml:space="preserve">"NOTE: When testing, please turn off auto update in MS Store app first to avoid being automatically updated to the latest version on MS Store.
For testing Smart Displays in CashmereI only
** Please ONLY test the Smart Displays function. Do not test on any other functions.
</t>
    </r>
    <r>
      <rPr>
        <sz val="11"/>
        <rFont val="Calibri"/>
        <family val="2"/>
      </rPr>
      <t>Main Changes:
•	Enabled Smart Displays</t>
    </r>
  </si>
  <si>
    <t>Rebrand - 10A STG
(Non-shippable Version)</t>
  </si>
  <si>
    <t>50.42536.3811.0.A.1</t>
  </si>
  <si>
    <t>P019CR-B2P</t>
  </si>
  <si>
    <r>
      <rPr>
        <sz val="11"/>
        <color rgb="FFFF0000"/>
        <rFont val="Calibri"/>
        <family val="2"/>
      </rPr>
      <t xml:space="preserve">"NOTE: When testing, please turn off auto update in MS Store app first to avoid being automatically updated to the latest version on MS Store.
For testing ROO pen 2.0
For 2026 NPI except CashmereI
</t>
    </r>
    <r>
      <rPr>
        <sz val="11"/>
        <rFont val="Calibri"/>
        <family val="2"/>
      </rPr>
      <t>Main Changes:
•	[HPXG-4005] [Function][expired beacon] APP has no response after clicking "Exit Setup" bu…
•	[HPXAPPS-41428] Update account MFE on welcome and settings - HP-Jira
•	[HPXAPPS-42975] [Dev Build] HP App "Something went wrong" error, failing unable to load -…
•	[HPXAPPS-42531] [intermittent issue][Function] Both FuF and welcome page are missing after complete…
•	[HPXWC-34635] [Audio] Fix Audio Versioning - HP-Jira
•	[HPXG-4003] [Function] The button changes to 'Exit setup' and can't exit after clicking…
•	Add checkout step to SonarQube set at 0 for full git history by alex-pham · Pull Request #14467 · h…
•	[HPXWC-33944] [SFT_MPH][[Smartdisplays] Increasing the brightness using the Fn key triggers an unin…</t>
    </r>
  </si>
  <si>
    <t>Rebrand - 9A RC2
(Non-shippable Version)</t>
  </si>
  <si>
    <t>49.52536.7565.0.A.1</t>
  </si>
  <si>
    <t>P019CR-B2N</t>
  </si>
  <si>
    <r>
      <rPr>
        <sz val="11"/>
        <color rgb="FFFF0000"/>
        <rFont val="Calibri"/>
        <family val="2"/>
      </rPr>
      <t xml:space="preserve">"NOTE: When testing, please turn off auto update in MS Store app first to avoid being automatically updated to the latest version on MS Store.
For SnowWhite
For OTA testing
For 2025 Sustaining CQ4
For 2026 Sustaining CQ1
</t>
    </r>
    <r>
      <rPr>
        <sz val="11"/>
        <rFont val="Calibri"/>
        <family val="2"/>
      </rPr>
      <t>Main Changes:
•	[HPXSUP-5315] [Contact us] - We always set responseLanguage = en - HP-Jira
•	[HPXSUP-5352] [Warranty][Dock] - The content show up Unknown we don't send ProductNumber for dock - HP-Jira</t>
    </r>
  </si>
  <si>
    <t>Rebrand - 10A ITG
(Non-shippable Version)</t>
  </si>
  <si>
    <t>50.22536.17873.0.A.1</t>
  </si>
  <si>
    <t>P019CR-B2Q</t>
  </si>
  <si>
    <r>
      <rPr>
        <sz val="11"/>
        <color rgb="FFFF0000"/>
        <rFont val="Calibri"/>
        <family val="2"/>
      </rPr>
      <t xml:space="preserve">"NOTE: When testing, please turn off auto update in MS Store app first to avoid being automatically updated to the latest version on MS Store.
For testing Smart Displays and Smart Resource Optimizer v1.5 in CashmereI only
** Please ONLY test the Smart Displays and Smart Resource Optimizer v1.5 functions. Do not test on any other functions.
</t>
    </r>
    <r>
      <rPr>
        <sz val="11"/>
        <rFont val="Calibri"/>
        <family val="2"/>
      </rPr>
      <t>Main Changes:
•	Enabled Smart Resource Optimizer v1.5</t>
    </r>
  </si>
  <si>
    <t>Rebrand - 9A RC4
(Shippable Version)</t>
  </si>
  <si>
    <t>49.52537.7800.0.A.1</t>
  </si>
  <si>
    <t>P019CR-B2S</t>
  </si>
  <si>
    <r>
      <rPr>
        <sz val="11"/>
        <color rgb="FFFF0000"/>
        <rFont val="Calibri"/>
        <family val="2"/>
      </rPr>
      <t xml:space="preserve">"NOTE: When testing, please turn off auto update in MS Store app first to avoid being automatically updated to the latest version on MS Store.
For SnowWhite
For OTA testing
For 2025 Sustaining CQ4
For 2026 Sustaining CQ1
</t>
    </r>
    <r>
      <rPr>
        <sz val="11"/>
        <rFont val="Calibri"/>
        <family val="2"/>
      </rPr>
      <t>Main Changes:
•	 [HPXAPPS-42626] [SFT_CSS][AutoLaunch] HP application is not launching during Auto Launch on Consumer and Commercial platforms. - HP-Jira</t>
    </r>
  </si>
  <si>
    <t>50.42537.3865.0.A.1</t>
  </si>
  <si>
    <t>P019CR-B2U</t>
  </si>
  <si>
    <r>
      <rPr>
        <sz val="11"/>
        <color rgb="FFFF0000"/>
        <rFont val="Calibri"/>
        <family val="2"/>
      </rPr>
      <t xml:space="preserve">"NOTE: When testing, please turn off auto update in MS Store app first to avoid being automatically updated to the latest version on MS Store.
For testing ROO pen 2.0
For 2026 NPI except CashmereI
</t>
    </r>
    <r>
      <rPr>
        <sz val="11"/>
        <rFont val="Calibri"/>
        <family val="2"/>
      </rPr>
      <t>Main Changes:
•	[HPXAPPS-42106] [DeepLink] Deep link not working as expected in many modules - HP-Jira
•	[HPXSUP-5315] [Contact us] - We always set responseLanguage = en - HP-Jira
•	[HPXSUP-5352] [Warranty][Dock] - The content show up Unknown we don't send ProductNumber for do…
•	[HPXWC-34357] [Smart displays][screen shift][Localization] Implement translation file for updated U…
•	[HPXWC-34641] [SFT_CSS][DeviceList] Nick name is not displaying as "My Computer" in devic…
•	[HPXWC-34700] [SOC Commander][SRO 1.5] Implement updating the state of windows notification when th…
•	[HPXWC-29714] [Audio] Advanced EQ issue - HP-Jira
•	[HPXWC-34168] [SFT_MPH][TaskGroup][L10N] Edit task group page back arrow string not localized - HP-…
•	[HPXWC-34380] [SIO2399894] The Group name could not key in CH when edit task group in HPX on AB2-CH…</t>
    </r>
  </si>
  <si>
    <t>50.22537.18098.0.A.1</t>
  </si>
  <si>
    <t>P019CR-B2T</t>
  </si>
  <si>
    <r>
      <rPr>
        <sz val="11"/>
        <color rgb="FFFF0000"/>
        <rFont val="Calibri"/>
        <family val="2"/>
      </rPr>
      <t xml:space="preserve">"NOTE: When testing, please turn off auto update in MS Store app first to avoid being automatically updated to the latest version on MS Store.
For testing Smart Displays and Smart Resource Optimizer v1.5 in CashmereI only
** Please ONLY test the Smart Displays and Smart Resource Optimizer v1.5 functions. Do not test on any other functions.
</t>
    </r>
    <r>
      <rPr>
        <sz val="11"/>
        <rFont val="Calibri"/>
        <family val="2"/>
      </rPr>
      <t>Main Changes:
•	[HPXAPPS-42106] [DeepLink] Deep link not working as expected in many modules - HP-Jira
•	[HPXWC-34357] [Smart displays][screen shift][Localization] Implement translation file for updated U…</t>
    </r>
  </si>
  <si>
    <t>50.42538.4009.0.A.1</t>
  </si>
  <si>
    <t>P019CR-B2W</t>
  </si>
  <si>
    <r>
      <rPr>
        <sz val="11"/>
        <color rgb="FFFF0000"/>
        <rFont val="Calibri"/>
        <family val="2"/>
      </rPr>
      <t xml:space="preserve">"NOTE: When testing, please turn off auto update in MS Store app first to avoid being automatically updated to the latest version on MS Store.
For 2026 NPI except CashmereI
</t>
    </r>
    <r>
      <rPr>
        <sz val="11"/>
        <rFont val="Calibri"/>
        <family val="2"/>
      </rPr>
      <t>Main Changes:
•	[HPXWC-34259] [SRO 1.5] Integrate translations for InTransit feature - HP-Jira
•	[HPXWC-34691] [Battery] Implement First user flow toast - HP-Jira
•	[HPXWC-29427] [Audio] Speaker Logo - HP-Jira
•	[HPXWC-34688] [Battery] Implement Settings navigation to L3 page - HP-Jira
•	[HPXWC-35089] [AIC] Update SSID to AIassistant - HP-Jira
•	[HPXAPPS-42234] [WINDOWS] Nickname is not reflecting in HPX device details page when updated by per…
•	[HPXG-3826] [Performance]HPX takes more time than HPSmart to navigate to their respective screens a…
•	[HPXAPPS-41732] The "Remove device" instead of "Remove from app" shows on devic…
•	[HPXWC-32111] [AudioControl][Commercial][Fortemedia] Noise reduction toggle should be on when click…
•	[HPXAPPS-42306] [SFT_CSS][FirstUseFlow] Sign in and Continue as Guest buttons misaligned compared t…</t>
    </r>
  </si>
  <si>
    <t>50.22538.18573.0.A.1</t>
  </si>
  <si>
    <t>P019CR-B2V</t>
  </si>
  <si>
    <r>
      <rPr>
        <sz val="11"/>
        <color rgb="FFFF0000"/>
        <rFont val="Calibri"/>
        <family val="2"/>
      </rPr>
      <t xml:space="preserve">"NOTE: When testing, please turn off auto update in MS Store app first to avoid being automatically updated to the latest version on MS Store.
For testing Smart Displays and Smart Resource Optimizer v1.5 in CashmereI only
** Please ONLY test the Smart Displays and Smart Resource Optimizer v1.5 functions. Do not test on any other functions.
</t>
    </r>
    <r>
      <rPr>
        <sz val="11"/>
        <rFont val="Calibri"/>
        <family val="2"/>
      </rPr>
      <t>Main Changes:
•	[HPXWC-34259] [SRO 1.5] Integrate translations for InTransit feature - HP-Jira</t>
    </r>
  </si>
  <si>
    <t>49.52537.7800.0.A.2</t>
  </si>
  <si>
    <t>P019CR-B2Z</t>
  </si>
  <si>
    <r>
      <rPr>
        <sz val="11"/>
        <color rgb="FFFF0000"/>
        <rFont val="Calibri"/>
        <family val="2"/>
      </rPr>
      <t xml:space="preserve">"NOTE: When testing, please turn off auto update in MS Store app first to avoid being automatically updated to the latest version on MS Store.
For SnowWhite
For 2025 Sustaining CQ4
For 2026 Sustaining CQ1
</t>
    </r>
    <r>
      <rPr>
        <sz val="11"/>
        <rFont val="Calibri"/>
        <family val="2"/>
      </rPr>
      <t>Main Changes:
• Re-release to add back DRDVD option and Corporate Ready Image feature byte</t>
    </r>
  </si>
  <si>
    <t xml:space="preserve">1. PC Device page
2. Video Control
3. HP Programmable Key
4. Docking (No instadock)
5. Pen Control
6. Battery Manager
7. System Control
8 Energy Consumption
9. Audio Control
10. Settings
11. Presence Detection - Privacy Alert, Auto Screen Dimming
12. Camera and Presence Detection
13. HP GO
</t>
  </si>
  <si>
    <t>50.42540.4198.0.A.1</t>
  </si>
  <si>
    <t>P019SQ-B2B</t>
  </si>
  <si>
    <r>
      <rPr>
        <sz val="11"/>
        <color rgb="FFFF0000"/>
        <rFont val="Calibri"/>
        <family val="2"/>
      </rPr>
      <t xml:space="preserve">"NOTE: When testing, please turn off auto update in MS Store app first to avoid being automatically updated to the latest version on MS Store.
For 2026 NPI except CashmereI
</t>
    </r>
    <r>
      <rPr>
        <sz val="11"/>
        <rFont val="Calibri"/>
        <family val="2"/>
      </rPr>
      <t>Main Changes:
•	[HPXAPPS-44610] [Windows] [DeviceUnification]It displays all AccessoryDevice in one row on the dash…
•	[HPXG-4159] APP crashes aftre signing in account during OOBE/POOBE flow. - HP-Jira
•	[HPXG-4330] [III-2089][Stage][US][Win HPX] The HPX app will be killed automatically after saving th…
•	[HPXAPPS-44670] [ITG][Profile flyout] The 'Sign in' button is not using the new AUID - HP-J…
•	[HPXWC-30979] [Pen] Support Magnifier feature for ROO 1.0 and 2.0 pen - HP-Jira
•	[HPXSUP-5623] [DeviceList] Device list is not consistent between support flyout and home dashboard …
•	[HPXSUP-5643] [SIO2414247] The Virtual Assistant button show cut off if we click 'Minimize'…
•	[HPXSUP-5701] [Chat UI] The bottom of chat UI seems has more space than before - HP-Jira
•	[HPXWC-35646] [SFT_MPH][PenControl] An extra line is observed in the action list post the last acti…
•	[HPXWC-35381] [SIO2411143] :Cannot find 'One step Inking' in HPX/My pen page. - HP-Jira
•	[HPXG-4220] [UI] The blue border line display around the background image after select a small Scan…
•	[REVERT-14731] Revert "[HPXG-4337]: Certificate warning appears when opening Advanced Settings…
•	[HPXWC-35037] [SFT_MPH][TaskGroup] On the initial launch, tapping Capture app freezes for ~4 5 seco…</t>
    </r>
  </si>
  <si>
    <t>50.22540.19309.0.A.1</t>
  </si>
  <si>
    <t>P019SQ-B2A</t>
  </si>
  <si>
    <r>
      <rPr>
        <sz val="11"/>
        <color rgb="FFFF0000"/>
        <rFont val="Calibri"/>
        <family val="2"/>
      </rPr>
      <t xml:space="preserve">"NOTE: When testing, please turn off auto update in MS Store app first to avoid being automatically updated to the latest version on MS Store.
For testing Smart Displays, Smart Resource Optimizer v1.5 and Look To Move in CashmereI only
** Please ONLY test the Smart Displays, Smart Resource Optimizer v1.5 and Look To Move functions. Do not test on any other functions.
</t>
    </r>
    <r>
      <rPr>
        <sz val="11"/>
        <rFont val="Calibri"/>
        <family val="2"/>
      </rPr>
      <t>Main Changes:
•	Enabled Look To Move
•	[HPXAPPS-44610] [Windows] [DeviceUnification]It displays all AccessoryDevice in one row on the dash…
•	[HPXG-4159] APP crashes aftre signing in account during OOBE/POOBE flow. - HP-Jira
•	[HPXG-4330] [III-2089][Stage][US][Win HPX] The HPX app will be killed automatically after saving th…
•	[HPXAPPS-44670] [ITG][Profile flyout] The 'Sign in' button is not using the new AUID - HP-J…
•	[HPXWC-30979] [Pen] Support Magnifier feature for ROO 1.0 and 2.0 pen - HP-Jira
•	[HPXSUP-5623] [DeviceList] Device list is not consistent between support flyout and home dashboard …
•	[HPXSUP-5643] [SIO2414247] The Virtual Assistant button show cut off if we click 'Minimize'…
•	[HPXSUP-5701] [Chat UI] The bottom of chat UI seems has more space than before - HP-Jira
•	[HPXWC-35646] [SFT_MPH][PenControl] An extra line is observed in the action list post the last acti…
•	[HPXWC-35381] [SIO2411143] :Cannot find 'One step Inking' in HPX/My pen page. - HP-Jira
•	[HPXG-4220] [UI] The blue border line display around the background image after select a small Scan…
•	[REVERT-14731] Revert "[HPXG-4337]: Certificate warning appears when opening Advanced Settings…
•	[HPXWC-35037] [SFT_MPH][TaskGroup] On the initial launch, tapping Capture app freezes for ~4 5 seco…</t>
    </r>
  </si>
  <si>
    <t xml:space="preserve">1. PC Device page
2. Video Control
3. HP Programmable Key
4. Docking (No instadock)
5. Pen Control
6. Battery Manager
7. System Control
8 Energy Consumption
9. Audio Control
10. Settings
11. Presence Detection - Privacy Alert, Auto Screen Dimming
12. Camera and Presence Detection
13. HP GO
14. Smart Displays
15. Look To Move
</t>
  </si>
  <si>
    <t>50.42541.4293.0.A.1</t>
  </si>
  <si>
    <t>P019SQ-B2D</t>
  </si>
  <si>
    <r>
      <rPr>
        <sz val="11"/>
        <color rgb="FFFF0000"/>
        <rFont val="Calibri"/>
        <family val="2"/>
      </rPr>
      <t xml:space="preserve">"NOTE: When testing, please turn off auto update in MS Store app first to avoid being automatically updated to the latest version on MS Store.
For 2026 NPI except CashmereI
</t>
    </r>
    <r>
      <rPr>
        <sz val="11"/>
        <rFont val="Calibri"/>
        <family val="2"/>
      </rPr>
      <t>Main Changes:
•	[HPXWC-34872] [System control][translation] request 'cool' mode chinese to 冷卻 - HP-Jira
•	[HPXWC-36411] [PEN][Gestures]The Pen gesture feature is showing disable in HPX (Enabled while using…
•	[HPXAPPS-45374] [UTO] Upgrade the UTO to the latest available version (v4.33.1) - HP-Jira
•	[HPXWC-35301] [Gesture][Himax][Spike] Consume Commercial Gesture Service in Native View - HP-Jira
•	[HPXWC-35809] [Gesture][Himax] Integrate the HP.Gesture.exe with the build. - HP-Jira
•	[HPXAPPS-41487] Toast Notifications and Token-Based Login Implementation - HP-Jira
•	[HPXWC-35944] [SFT_MPH]Perform] The backspace and delete keys aren't removing content from the …
•	SmartDisplay package promotion on STG by khushal-dawda · Pull Request #14767 · hpx/hpx-winclient
•	[HPXWC-35636] [SIO2413531] The equalizer background image would be dislocation when adjust the HPX …
•	[HPXWC-34898] [SIO2406570] The word 'Audio' shows EN language in HP/Audio control page on t…
•	[HPXWC-34806] [SIO2404998] There are two same poly camera pro list in 'Delete task group' a…
•	[HPXWC-34473] [SIO2402045] It shouldn't show 6 preset modes in HP/Audio/Presets after plug 3.5m…
•	[HPXWC-35919] [SFT_MPH][SystemControl][Commercial] No mode is selected when we select Best Power Ef…
•	[HPXWC-30963] [SFT_MPH][PenControl][Commercial] Open app is not syncing with a Windows settings - H…
•	[HPXWC-34449] [SFT_MPH][PenControl][Commercial] Context-aware functionality for pen sensitivity is …</t>
    </r>
  </si>
  <si>
    <t>50.22541.19648.0.A.1</t>
  </si>
  <si>
    <t>P019SQ-B2C</t>
  </si>
  <si>
    <r>
      <rPr>
        <sz val="11"/>
        <color rgb="FFFF0000"/>
        <rFont val="Calibri"/>
        <family val="2"/>
      </rPr>
      <t xml:space="preserve">"NOTE: When testing, please turn off auto update in MS Store app first to avoid being automatically updated to the latest version on MS Store.
For testing Smart Displays, Smart Resource Optimizer v1.5 and Look To Move in CashmereI only
** Please ONLY test the Smart Displays, Smart Resource Optimizer v1.5 and Look To Move functions. Do not test on any other functions.
</t>
    </r>
    <r>
      <rPr>
        <sz val="11"/>
        <rFont val="Calibri"/>
        <family val="2"/>
      </rPr>
      <t>Main Changes:
•	Enabled Look To Move
•	[HPXAPPS-41391] [MandatoryAppUpdate MFE] Add Dark Mode Animation - HP-Jira
•	[HPXWC-36411] [PEN][Gestures]The Pen gesture feature is showing disable in HPX (Enabled while using…
•	[HPXAPPS-45374] [UTO] Upgrade the UTO to the latest available version (v4.33.1) - HP-Jira
•	[HPXWC-35301] [Gesture][Himax][Spike] Consume Commercial Gesture Service in Native View - HP-Jira
•	[HPXWC-35809] [Gesture][Himax] Integrate the HP.Gesture.exe with the build. - HP-Jira
•	[HPXAPPS-41487] Toast Notifications and Token-Based Login Implementation - HP-Jira
•	[HPXWC-34473] [SIO2402045] It shouldn't show 6 preset modes in HP/Audio/Presets after plug 3.5m…
•	[HPXWC-35919] [SFT_MPH][SystemControl][Commercial] No mode is selected when we select Best Power Ef…
•	[HPXWC-30963] [SFT_MPH][PenControl][Commercial] Open app is not syncing with a Windows settings - H…
•	[HPXWC-34449] [SFT_MPH][PenControl][Commercial] Context-aware functionality for pen sensitivity is …</t>
    </r>
  </si>
  <si>
    <t>50.42542.4316.0.A.1</t>
  </si>
  <si>
    <t>P019SQ-B2E</t>
  </si>
  <si>
    <r>
      <rPr>
        <sz val="11"/>
        <color rgb="FFFF0000"/>
        <rFont val="Calibri"/>
        <family val="2"/>
      </rPr>
      <t xml:space="preserve">"NOTE: When testing, please turn off auto update in MS Store app first to avoid being automatically updated to the latest version on MS Store.
For 2026 NPI except CashmereI
</t>
    </r>
    <r>
      <rPr>
        <sz val="11"/>
        <rFont val="Calibri"/>
        <family val="2"/>
      </rPr>
      <t>Main Changes:
•	Enabled Smart Displays
•	[HPXAPPS-35733] App does not launch properly, keep spinning on blue screen - HP-Jira
•	[HPXAPPS-44736] [SIO2414032] Click'Delete the account' have no respond when sign in a accou…
•	[HPXWC-35927] [SRO1.5] Implement Default QoS Handling for Denied Apps in SRO 1.5 - HP-Jira
•	[HPXWC-35737] [Pen] Add New translation strings of the WIFI disconnected service feature in Find my…
•	[HPXWC-35927] [SRO1.5] Implement Default QoS Handling for Denied Apps in SRO 1.5 - HP-Jira
•	[HPXWC-34715] [Battery] Implement API to Enable/Disable edge dimming - HP-Jira
•	[System Control]: Update DEV/ITG Import Map -&gt; 1.2.16 by eric-gilchrist · Pull Request #14886 · …
•	[HPXWC-35964] [SFT_MPH][SystemControl][SRO1.5] Travel Power Saver notification is triggered when bo…
•	[HPXWC-35149] [SFT_MPH][PenControl][Commercial] Gesture card is visible in the Arizona platform and…
•	[HPXWC-36541] [SFT_MPH][PenControl][Commercial] Roo specific features are seen and pen loss alert f…
•	[HPXAPPS-42854] [Dock][Localization] - It shows up localized nickname and then back to English when…
•	[HPXAPPS-44276] [SIO2409981] The Devices privacy page of HP will show cut off after set PC name to …
•	[HPXAPPS-44227] [SFT_CSS][UnifiedSettings] App id characters are not in capital letters. - HP-Jira
•	[HPXSUP-5643] [SIO2414247] The Virtual Assistant button show cut off if we click 'Minimize'…
•	[HPXWC-35335] [AudioControl] Presets would display for USB headphone when re-launch the app on Lond…
•	[HPXAPPS-39735] [Menu][Device] The label of back menu bar is not showing correctly when switch clic…
•	[HPXAPPS-36897] [SFT_CSS][FFT_OTA][Settings] Back button displayed instead of settings button on Ma…</t>
    </r>
  </si>
  <si>
    <t xml:space="preserve">1. PC Device page
2. Video Control
3. HP Programmable Key
4. Docking (No instadock)
5. Pen Control
6. Battery Manager
7. System Control
8 Energy Consumption
9. Audio Control
10. Settings
11. Presence Detection - Privacy Alert, Auto Screen Dimming
12. Camera and Presence Detection
13. HP GO
14. Smart Displays
</t>
  </si>
  <si>
    <t>50.22542.19794.0.A.1</t>
  </si>
  <si>
    <t>P019SQ-B2F</t>
  </si>
  <si>
    <r>
      <rPr>
        <sz val="11"/>
        <color rgb="FFFF0000"/>
        <rFont val="Calibri"/>
        <family val="2"/>
      </rPr>
      <t xml:space="preserve">"NOTE: When testing, please turn off auto update in MS Store app first to avoid being automatically updated to the latest version on MS Store.
For testing Smart Displays, Smart Resource Optimizer v1.5 and Look To Move in CashmereI only
** Please ONLY test the Smart Displays, Smart Resource Optimizer v1.5 and Look To Move functions. Do not test on any other functions.
</t>
    </r>
    <r>
      <rPr>
        <sz val="11"/>
        <rFont val="Calibri"/>
        <family val="2"/>
      </rPr>
      <t>Main Changes:
•	Enabled Look To Move
•	[HPXAPPS-35733] App does not launch properly, keep spinning on blue screen - HP-Jira
•	[HPXAPPS-44736] [SIO2414032] Click'Delete the account' have no respond when sign in a accou…
•	[HPXWC-35927] [SRO1.5] Implement Default QoS Handling for Denied Apps in SRO 1.5 - HP-Jira
•	[HPXWC-35737] [Pen] Add New translation strings of the WIFI disconnected service feature in Find my…
•	[HPXWC-35927] [SRO1.5] Implement Default QoS Handling for Denied Apps in SRO 1.5 - HP-Jira
•	[HPXWC-34715] [Battery] Implement API to Enable/Disable edge dimming - HP-Jira
•	[System Control]: Update DEV/ITG Import Map -&gt; 1.2.16 by eric-gilchrist · Pull Request #14886 · …
•	[HPXWC-35964] [SFT_MPH][SystemControl][SRO1.5] Travel Power Saver notification is triggered when bo…
•	[HPXWC-35149] [SFT_MPH][PenControl][Commercial] Gesture card is visible in the Arizona platform and…
•	[HPXWC-36541] [SFT_MPH][PenControl][Commercial] Roo specific features are seen and pen loss alert f…
•	[HPXAPPS-42854] [Dock][Localization] - It shows up localized nickname and then back to English when…
•	[HPXAPPS-44276] [SIO2409981] The Devices privacy page of HP will show cut off after set PC name to …
•	[HPXAPPS-44227] [SFT_CSS][UnifiedSettings] App id characters are not in capital letters. - HP-Jira
•	[HPXSUP-5643] [SIO2414247] The Virtual Assistant button show cut off if we click 'Minimize'…
•	[HPXWC-35335] [AudioControl] Presets would display for USB headphone when re-launch the app on Lond…
•	[HPXAPPS-39735] [Menu][Device] The label of back menu bar is not showing correctly when switch clic…
•	[HPXAPPS-36897] [SFT_CSS][FFT_OTA][Settings] Back button displayed instead of settings button on Ma…</t>
    </r>
  </si>
  <si>
    <t>Rebrand - 11A STG
(Non-shippable Version)</t>
  </si>
  <si>
    <t>50.42544.4605.0.A.1</t>
  </si>
  <si>
    <t>P019SQ-B2K</t>
  </si>
  <si>
    <r>
      <rPr>
        <sz val="11"/>
        <color rgb="FFFF0000"/>
        <rFont val="Calibri"/>
        <family val="2"/>
      </rPr>
      <t xml:space="preserve">"NOTE: When testing, please turn off auto update in MS Store app first to avoid being automatically updated to the latest version on MS Store.
For 2026 NPI except CashmereI
</t>
    </r>
    <r>
      <rPr>
        <sz val="11"/>
        <rFont val="Calibri"/>
        <family val="2"/>
      </rPr>
      <t>Main Changes:
•	Enabled Smart Displays
•	[HPXWC-38777] [AudioControl][ARM] There is missing contents, and no functions are available - HP-Ji…
•	[HPXAPPS-43796] [SFT_CSS][Performance] Recent Regression in App Launch Time for the 2025.11.A Relea…
•	[HPXAPPS-46509] [SIO2425825][Modr27I] A pop-up error message "You are in an embargoed country …
•	[HPXWC-38006] [SFT_CSS][DeviceUnification][STG] Module cards are displaying for the added devices. …
•	[HPXAPPS-45774] [Function] Clicking on "Connect this printer to use all features" Status …
•	[HPXG-4596] [Function] "Unable to reach printer" error appears while adding a USB printer…
•	[HPXG-4296] [Function]The Privacy option is disable status if add the printer first and then sign i…
•	[HPXG-4622] [SFT_CSS] When Printable tile is clicked, it redirects to "/us/en/index.html"…
•	[HPXAPPS-46274] [SIO2420142][STG] Cannot open HP Smart after click HPX/add a device/open HP Smart e…
•	[HPXWC-39054] [SFT_MPH][PCDevice] Module cards are missing when relaunch the HPX application with 1…
•	[HPXWC-39058] HP Go is missing with latest build 50.52544.10644.0 on divinity - HP-Jira
•	[HPXWC-39049] [SFT_MPH][TaskGroup] Task groups module lost in 11A prod 50.52544.10644.0 - HP-Jira
•	[HPXWC-34710] [Battery] Enable/disable Windows Studio Effect - HP-Jira
•	[HPXWC-38995] [smart Display] Add a smartdisplay mfe in the prod - HP-Jira
•	[HPXAPPS-42854] [Dock][Localization] - It shows up localized nickname and then back to English when…
•	[HPXAPPS-45088] [SFT_CSS][Add Device] In the 'Add a printer' section, instead of seeing …
•	[HPXWC-38637] [AudioControl] The contextual config of audio card will show "incorrectly" …
•	[HPXWC-35905] [SFT_MPH][PenControl][Commercial] Notification tab and Pen settings tab toggle switch…</t>
    </r>
  </si>
  <si>
    <t>Rebrand - 11A ITG
(Non-shippable Version)</t>
  </si>
  <si>
    <t>50.22544.20581.0.A.1</t>
  </si>
  <si>
    <t>P019SQ-B2J</t>
  </si>
  <si>
    <r>
      <rPr>
        <sz val="11"/>
        <color rgb="FFFF0000"/>
        <rFont val="Calibri"/>
        <family val="2"/>
      </rPr>
      <t xml:space="preserve">"NOTE: When testing, please turn off auto update in MS Store app first to avoid being automatically updated to the latest version on MS Store.
For testing Smart Displays, Smart Resource Optimizer v1.5 and Look To Move in CashmereI only
** Please ONLY test the Smart Displays, Smart Resource Optimizer v1.5 and Look To Move functions. Do not test on any other functions.
</t>
    </r>
    <r>
      <rPr>
        <sz val="11"/>
        <rFont val="Calibri"/>
        <family val="2"/>
      </rPr>
      <t>Main Changes:
•	Enabled Look To Move
•	[HPXWC-38777] [AudioControl][ARM] There is missing contents, and no functions are available - HP-Ji…
•	[HPXAPPS-43796] [SFT_CSS][Performance] Recent Regression in App Launch Time for the 2025.11.A Relea…
•	[HPXAPPS-46509] [SIO2425825][Modr27I] A pop-up error message "You are in an embargoed country …
•	[HPXWC-38006] [SFT_CSS][DeviceUnification][STG] Module cards are displaying for the added devices. …
•	[HPXAPPS-45774] [Function] Clicking on "Connect this printer to use all features" Status …
•	[HPXAPPS-46387] [SFT_CSS][PROD][DeviceUnification] Added devices via HPSA are not appearing in HPX …
•	[HPXG-4596] [Function] "Unable to reach printer" error appears while adding a USB printer…
•	[HPXG-4296] [Function]The Privacy option is disable status if add the printer first and then sign i…
•	[HPXG-4622] [SFT_CSS] When Printable tile is clicked, it redirects to "/us/en/index.html"…
•	[HPXAPPS-46274] [SIO2420142][STG] Cannot open HP Smart after click HPX/add a device/open HP Smart e…
•	[HPXWC-39054] [SFT_MPH][PCDevice] Module cards are missing when relaunch the HPX application with 1…
•	[HPXWC-39058] HP Go is missing with latest build 50.52544.10644.0 on divinity - HP-Jira
•	[HPXWC-39049] [SFT_MPH][TaskGroup] Task groups module lost in 11A prod 50.52544.10644.0 - HP-Jira
•	[HPXWC-34710] [Battery] Enable/disable Windows Studio Effect - HP-Jira
•	[HPXWC-38995] [smart Display] Add a smartdisplay mfe in the prod - HP-Jira
•	[HPXWC-38637] [AudioControl] The contextual config of audio card will show "incorrectly" …</t>
    </r>
  </si>
  <si>
    <t>Rebrand - 11A RC1
(Non-shippable Version)</t>
  </si>
  <si>
    <t>50.52545.10994.0.A.1</t>
  </si>
  <si>
    <t>P019SQ-B2L</t>
  </si>
  <si>
    <r>
      <rPr>
        <sz val="11"/>
        <color rgb="FFFF0000"/>
        <rFont val="Calibri"/>
        <family val="2"/>
      </rPr>
      <t xml:space="preserve">"NOTE: When testing, please turn off auto update in MS Store app first to avoid being automatically updated to the latest version on MS Store.
For 2026 Sustaining CQ1
For 2026 NPI  NexusX, CashmereI, CashmereXI
</t>
    </r>
    <r>
      <rPr>
        <sz val="11"/>
        <rFont val="Calibri"/>
        <family val="2"/>
      </rPr>
      <t>Main Changes:
•	[HPXWC-38700] [Function] "HP.SmartDisplay.exe – Application Error" occurs after every fre…
•	[HPXAPPS-45781] [SFT_CSS][MandatoryAppUpdate] In offline mode, "Update Complete" popup is…
•	[HPXWC-37488] [SFT_MPH][OTA][System Control] "Smart resource optimizer and travel power saver …
•	[HPXAPPS-46668] [SRO1.5] Feature flag in-consistency issue - HP-Jira
•	[HPXAPPS-46650] [SFT_MPH][OTA][Perform][Machu13X] AIC pill is seen on Unsupported platforms - HP-Ji…
•	[HPXAPPS-42646] [AddBySN] Adding a printer device didn't show out in device list - HP-Jira
•	[HPXWC-39090] [Smart Display] || Update the GIF for Look to Control Feature. - HP-Jira
•	[HPXWC-38927] [Pen] Add conditional supportive text for key sequence input in Customize Button menu…
•	[HPXWC-38871] [SIO2428187] Error MSG 'HP.SmartDisplay.exe-Application Error...0x...FFFFFF' …
•	[HPXWC-33202] [SFT_MPH][BatteryManager] The battery level is above 80% and 'Maximize battery he…
•	[HPXWC-38144] [SIO2425165] 'Look to move' has no function after turn on it in HPX/Smart dis…
•	[HPXWC-39001] [SFT_MPH][PenControl][Commercial] String under the key sequence text box is not prese…
•	[HPXWC-35725] [SIO2414552] Pressed Shift+F12/Ctril+F12/Alt+F12 hotkey no response after add the tas…
•	[HPXWC-38105] [SFT_MPH[OTA][PenControl][Commercial] Gesture functionality is working even with Moon…
•	[HPXWC-38087] [SFT_MPH[OTA][PenControl][Commercial] Gesture Pane is not displaying even though the …
•	[HPXWC-38116] [SFT_MPH[OTA][PenControl][Commercial] Magnifier functionality is not working - HP-Jira
•	[HPXWC-39233] [HPXWC-39230]: [SFT_MPH][PenControl][Commercial] "Something went wrong” error appears when radial menu is selected by bibekananda-sahoo1 · Pull Request #15153 · hpx/hpx-winclient</t>
    </r>
  </si>
  <si>
    <t>1. PC Device page
2. Video Control
3. HP Programmable Key
4. Docking (No instadock)
5. Pen Control
6. Battery Manager
7. System Control
8 Energy Consumption
9. Audio Control
10. Settings
11. Presence Detection - Privacy Alert, Auto Screen Dimming
12. Camera and Presence Detection
13. HP GO</t>
  </si>
  <si>
    <t>50.42545.4640.0.A.1</t>
  </si>
  <si>
    <t>P019SQ-B2M</t>
  </si>
  <si>
    <r>
      <rPr>
        <sz val="11"/>
        <color rgb="FFFF0000"/>
        <rFont val="Calibri"/>
        <family val="2"/>
      </rPr>
      <t xml:space="preserve">"NOTE: When testing, please turn off auto update in MS Store app first to avoid being automatically updated to the latest version on MS Store.
For 2026 NPI except NexusX, CashmereI, CashmereXI
</t>
    </r>
    <r>
      <rPr>
        <sz val="11"/>
        <rFont val="Calibri"/>
        <family val="2"/>
      </rPr>
      <t>Main Changes:
•	Enabled Look To Move
•	[HPXWC-38700] [Function] "HP.SmartDisplay.exe – Application Error" occurs after every fre…
•	[HPXAPPS-45781] [SFT_CSS][MandatoryAppUpdate] In offline mode, "Update Complete" popup is…
•	[HPXWC-37488] [SFT_MPH][OTA][System Control] "Smart resource optimizer and travel power saver …
•	[HPXAPPS-46668] [SRO1.5] Feature flag in-consistency issue - HP-Jira
•	[HPXAPPS-46650] [SFT_MPH][OTA][Perform][Machu13X] AIC pill is seen on Unsupported platforms - HP-Ji…
•	[HPXWC-37137] [ContextAware][Automation] There is no app will show on the list of "Add Applica…
•	[HPXWC-39090] [Smart Display] || Update the GIF for Look to Control Feature. - HP-Jira
•	[HPXWC-38893] [Touchpad] Migrate Touchpad Gesture function into NuGet - HP-Jira
•	[HPXWC-38927] [Pen] Add conditional supportive text for key sequence input in Customize Button menu…
•	[HPXWC-34692] [Battery] Handle "Enable Now" in First user flow toast - HP-Jira
•	[HPXWC-38864] [SIO2427997] 'HP.SmartDisplay.exe - Application error' window pop up after la…
•	[HPXWC-38871] [SIO2428187] Error MSG 'HP.SmartDisplay.exe-Application Error...0x...FFFFFF' …
•	[HPXWC-33202] [SFT_MPH][BatteryManager] The battery level is above 80% and 'Maximize battery he…
•	[HPXWC-38144] [SIO2425165] 'Look to move' has no function after turn on it in HPX/Smart dis…
•	[HPXWC-39001] [SFT_MPH][PenControl][Commercial] String under the key sequence text box is not prese…
•	[HPXWC-35725] [SIO2414552] Pressed Shift+F12/Ctril+F12/Alt+F12 hotkey no response after add the tas…
•	[HPXWC-38105] [SFT_MPH[OTA][PenControl][Commercial] Gesture functionality is working even with Moon…
•	[HPXWC-38087] [SFT_MPH[OTA][PenControl][Commercial] Gesture Pane is not displaying even though the …
•	[HPXWC-38116] [SFT_MPH[OTA][PenControl][Commercial] Magnifier functionality is not working - HP-Jira</t>
    </r>
  </si>
  <si>
    <t>Display Control</t>
  </si>
  <si>
    <t>Video Control (to Poly Camera Pro)</t>
  </si>
  <si>
    <t>Video Control (to HP Enhanced Camera)</t>
  </si>
  <si>
    <t>Presence Detection
(2022 Ultron Only)</t>
    <phoneticPr fontId="29" type="noConversion"/>
  </si>
  <si>
    <t>Touchpad</t>
  </si>
  <si>
    <t>Speaker Tracking</t>
  </si>
  <si>
    <t>Audio App Settings</t>
  </si>
  <si>
    <t>Brightness</t>
  </si>
  <si>
    <t>Contrast</t>
  </si>
  <si>
    <t>Desktop Partition</t>
  </si>
  <si>
    <t>Mode selections</t>
  </si>
  <si>
    <t>LBL Mode</t>
  </si>
  <si>
    <t>Mode by application</t>
  </si>
  <si>
    <t>Cycle</t>
  </si>
  <si>
    <t>NB/DT</t>
  </si>
  <si>
    <t>Type</t>
  </si>
  <si>
    <t>Code Name</t>
  </si>
  <si>
    <t>AI PC</t>
  </si>
  <si>
    <t>Platform</t>
  </si>
  <si>
    <t>CFR</t>
  </si>
  <si>
    <t>CF</t>
  </si>
  <si>
    <t>Planned Shipping Version</t>
  </si>
  <si>
    <t>2023 NPI</t>
  </si>
  <si>
    <t>NB</t>
  </si>
  <si>
    <t>400 Series</t>
  </si>
  <si>
    <t>Roc14</t>
  </si>
  <si>
    <t>HP ProBook 440 14 inch G10 Notebook PC</t>
  </si>
  <si>
    <t>Y</t>
  </si>
  <si>
    <t>qM</t>
  </si>
  <si>
    <t>n/a</t>
  </si>
  <si>
    <t>Roc15</t>
  </si>
  <si>
    <t>HP ProBook 450 15.6 inch G10 Notebook PC</t>
  </si>
  <si>
    <t>600 Series</t>
  </si>
  <si>
    <t>Kraken13</t>
  </si>
  <si>
    <t>HP EliteBook 630 13.3 inch G10 Notebook PC</t>
  </si>
  <si>
    <t>Kraken14</t>
  </si>
  <si>
    <t>HP EliteBook 640 14 inch G10 Notebook PC</t>
  </si>
  <si>
    <t>Kraken15</t>
  </si>
  <si>
    <t>HP EliteBook 650 15.6 inch G10 Notebook PC</t>
  </si>
  <si>
    <t>800 Series</t>
  </si>
  <si>
    <t>Warg13</t>
  </si>
  <si>
    <t>HP EliteBook 830 13 inch G10 Notebook PC</t>
  </si>
  <si>
    <t>qM, qk</t>
  </si>
  <si>
    <t>Warg14</t>
  </si>
  <si>
    <t>HP EliteBook 840 14 inch G10 Notebook PC</t>
  </si>
  <si>
    <t>Warg14L</t>
  </si>
  <si>
    <t>HP EliteBook 1040 14 inch G10 Notebook PC</t>
  </si>
  <si>
    <t>Warg14LX</t>
  </si>
  <si>
    <t>HP Elite x360 1040 14 inch G10  2-in-1 Notebook PC</t>
  </si>
  <si>
    <t>Warg16</t>
  </si>
  <si>
    <t>HP EliteBook 860 16 inch G10 Notebook PC</t>
  </si>
  <si>
    <t>Warg13X</t>
  </si>
  <si>
    <t>HP Elite x360 830 13 inch G10 2-in-1 Notebook PC</t>
  </si>
  <si>
    <t>1000 Series</t>
  </si>
  <si>
    <t>WargW14</t>
  </si>
  <si>
    <t>HP ZBook Firefly 14 inch G10 Mobile Workstation PC</t>
  </si>
  <si>
    <t>WargW16</t>
  </si>
  <si>
    <t>HP ZBook Firefly 16 inch G10 Mobile Workstation PC</t>
  </si>
  <si>
    <t>DT</t>
  </si>
  <si>
    <t>Mobile Workstation</t>
  </si>
  <si>
    <t>DigDug</t>
  </si>
  <si>
    <t>HP Pro Mini 260 G9 Desktop PC</t>
  </si>
  <si>
    <t>Sandwalker</t>
  </si>
  <si>
    <t>HP Elite Dragonfly 13.5 inch G4 Notebook PC</t>
  </si>
  <si>
    <t>Varcolac</t>
  </si>
  <si>
    <t>ZBook Fury 16 G10</t>
  </si>
  <si>
    <t>Lox13</t>
  </si>
  <si>
    <t>HP EliteBook 835 13 inch G10 Notebook PC</t>
  </si>
  <si>
    <t>Lox14</t>
  </si>
  <si>
    <t>HP EliteBook 845 14 inch G10 Notebook PC</t>
  </si>
  <si>
    <t>Lox16</t>
  </si>
  <si>
    <t>HP EliteBook 865 16 inch G10 Notebook PC</t>
  </si>
  <si>
    <t>LoxW14</t>
  </si>
  <si>
    <t>Comm W Placeholder</t>
  </si>
  <si>
    <t>Pacman</t>
  </si>
  <si>
    <t>HP Elite Mini 800 G9 Desktop PC</t>
  </si>
  <si>
    <t>Desktop Mini</t>
  </si>
  <si>
    <t>Asteroids</t>
  </si>
  <si>
    <t>HP Pro Mini 400 G9 Desktop PC</t>
  </si>
  <si>
    <t>Galaxian</t>
  </si>
  <si>
    <t>HP Elite Mini 600 G9 Desktop PC</t>
  </si>
  <si>
    <t>All-in-One</t>
  </si>
  <si>
    <t>Boggle24</t>
  </si>
  <si>
    <t>HP ProOne 440 23.8 inch G9 All-in-One Desktop PC</t>
  </si>
  <si>
    <t>Boggle24ZHN</t>
  </si>
  <si>
    <t>HP ZHAN 99 Pro 23.8 inch G9 All-in-One Desktop PC</t>
  </si>
  <si>
    <t>Splendor24</t>
  </si>
  <si>
    <t>HP EliteOne 840 23.8 inch G9 All-in-One Desktop PC</t>
  </si>
  <si>
    <t>Splendor27</t>
  </si>
  <si>
    <t>HP EliteOne 870 27 inch G9 All-in-One Desktop PC</t>
  </si>
  <si>
    <t>Desktop PC</t>
  </si>
  <si>
    <t>Checkers</t>
  </si>
  <si>
    <t>HP Elite SFF 600 G9 Desktop PC</t>
  </si>
  <si>
    <t>Chess</t>
  </si>
  <si>
    <t>HP Elite Tower 600 G9 Desktop PC
HP Elite Tower 680 G9 Desktop PC</t>
  </si>
  <si>
    <t>Jenga</t>
  </si>
  <si>
    <t>HP Pro SFF 400 G9 Desktop PC</t>
  </si>
  <si>
    <t>Mahjong</t>
  </si>
  <si>
    <t>HP Pro Tower 400 G9 PCI Desktop PC
HP Pro Tower 480 G9 PCI Desktop PC</t>
  </si>
  <si>
    <t>Solitaire</t>
  </si>
  <si>
    <t>HP Elite Tower 880 G9 Desktop PC
HP Elite Tower 800 G9 Desktop PC</t>
  </si>
  <si>
    <t>SolitaireZ</t>
  </si>
  <si>
    <t>HP Z1 G9 Tower Desktop PC</t>
  </si>
  <si>
    <t>Sudoku</t>
  </si>
  <si>
    <t>HP Elite SFF 800 G9 Desktop PC</t>
  </si>
  <si>
    <t>Medusa</t>
  </si>
  <si>
    <t>ZBook Studio 16 G10</t>
  </si>
  <si>
    <t>Iaso</t>
  </si>
  <si>
    <t>HP ZBook Power 15.6 G10 Mobile Workstation PC</t>
  </si>
  <si>
    <t>RPOS</t>
  </si>
  <si>
    <t xml:space="preserve">Truth </t>
  </si>
  <si>
    <t>HP Engage Flex Pro G2 Retail System</t>
  </si>
  <si>
    <t>Valour</t>
  </si>
  <si>
    <t>HP Engage Flex Pro-C G2 Retail System</t>
  </si>
  <si>
    <t>Moondragon</t>
  </si>
  <si>
    <t>HP Dragonfly 16 G4 Notebook PC</t>
  </si>
  <si>
    <t>Ioke</t>
  </si>
  <si>
    <t>HP ZBook Power 15.6 inch G10 Mobile Workstation PC</t>
  </si>
  <si>
    <t>Pan14</t>
  </si>
  <si>
    <t>HP ProBook 445 14 inch G10 Notebook PC</t>
  </si>
  <si>
    <t>Pan15</t>
  </si>
  <si>
    <t>HP ProBook 455 15.6 inch G10 Notebook PC</t>
  </si>
  <si>
    <t>Knucker14</t>
  </si>
  <si>
    <t>HP EliteBook 645 14 inch G10 Notebook PC</t>
  </si>
  <si>
    <t>Knucker15</t>
  </si>
  <si>
    <t>HP EliteBook 655 15.6  inch G10 Notebook PC</t>
  </si>
  <si>
    <t>Pax</t>
  </si>
  <si>
    <t>HP Pro x360 435 13.3 inch G10 Notebook PC</t>
  </si>
  <si>
    <t>Education</t>
  </si>
  <si>
    <t>Alaska</t>
  </si>
  <si>
    <t>HP ProBook Fortis 14 inch G11 Notebook PC</t>
  </si>
  <si>
    <t>Alaska Refresh</t>
  </si>
  <si>
    <t>Arizona</t>
  </si>
  <si>
    <t>HP Pro x360 Fortis 11 inch G11 Notebook PC</t>
  </si>
  <si>
    <t>Arizona Refresh</t>
  </si>
  <si>
    <t>2024 NPI</t>
  </si>
  <si>
    <t>2023.09.A RC6</t>
  </si>
  <si>
    <t>n/a</t>
    <phoneticPr fontId="9" type="noConversion"/>
  </si>
  <si>
    <t>Baymax13</t>
  </si>
  <si>
    <t>HP EliteBook 830 13 inch G11 Notebook PC</t>
  </si>
  <si>
    <t>Baymax14</t>
  </si>
  <si>
    <t>HP EliteBook 840 14 inch G11 Notebook PC</t>
  </si>
  <si>
    <t>Baymax16</t>
  </si>
  <si>
    <t>HP EliteBook 860 16 inch G11 Notebook PC</t>
  </si>
  <si>
    <t>Baymax13X</t>
  </si>
  <si>
    <t>HP Elite x360 830 13 inch G11 2-in-1 Notebook PC</t>
  </si>
  <si>
    <t>BaymaxW14​</t>
  </si>
  <si>
    <t>HP ZBook Firefly 14 inch G11 Mobile Workstation PC</t>
  </si>
  <si>
    <t>BaymaxW16</t>
  </si>
  <si>
    <t>HP ZBook Firefly 16 inch G11 Mobile Workstation PC</t>
  </si>
  <si>
    <t>Splendor</t>
  </si>
  <si>
    <t>HP EliteOne 870 27 G9 All-in-One Desktop PC
HP EliteOne 840 23.8 inch G9 All-in-One Desktop PC</t>
  </si>
  <si>
    <t>Broncos</t>
  </si>
  <si>
    <t>HP ZBook Fury 16 G11 Mobile Workstation PC</t>
  </si>
  <si>
    <t>Luisa13</t>
  </si>
  <si>
    <t>HP EliteBook 835 13 inch G11 Notebook PC</t>
  </si>
  <si>
    <t>Luisa14</t>
  </si>
  <si>
    <t>HP EliteBook 845 14 inch G11 Notebook PC</t>
  </si>
  <si>
    <t>Luisa16</t>
  </si>
  <si>
    <t>HP EliteBook 865 16 inch G11 Notebook PC</t>
  </si>
  <si>
    <t>LuisaW14</t>
  </si>
  <si>
    <t>HP ZBook Firefly 14 inch G11 A Mobile Workstation PC</t>
  </si>
  <si>
    <t>Owlzz</t>
  </si>
  <si>
    <t>HP ZBook Power 15.6 inch G11 A Mobile Workstation PC</t>
  </si>
  <si>
    <t>Longhornz</t>
  </si>
  <si>
    <t>HP ZBook Power 15.6 inch G11 Mobile Workstation PC</t>
  </si>
  <si>
    <t>Rex13</t>
  </si>
  <si>
    <t>HP EliteBook 630 13.3 inch G11 Notebook PC</t>
  </si>
  <si>
    <t>Rex14</t>
  </si>
  <si>
    <t>HP EliteBook 640 14 inch G11 Notebook PC</t>
  </si>
  <si>
    <t>Rex16</t>
  </si>
  <si>
    <t>HP EliteBook 650 15.6 inch G11 Notebook PC</t>
  </si>
  <si>
    <t>Olaf14</t>
  </si>
  <si>
    <t>HP ProBook 440 14 inch G11 Notebook PC</t>
  </si>
  <si>
    <t>Olaf16</t>
  </si>
  <si>
    <t>HP ProBook 450 15.6 inch G11 Notebook PC</t>
  </si>
  <si>
    <t>Oaken14</t>
  </si>
  <si>
    <t>HP ProBook 445 14 inch G11 Notebook PC</t>
  </si>
  <si>
    <t>Oaken16</t>
  </si>
  <si>
    <t>HP ProBook 455 15.6 inch G11 Notebook PC</t>
  </si>
  <si>
    <t>Roz14</t>
  </si>
  <si>
    <t>HP EliteBook 645 14 inch G11 Notebook PC</t>
  </si>
  <si>
    <t>Roz16</t>
  </si>
  <si>
    <t>HP EliteBook 655 15.6 inch G11 Notebook PC</t>
  </si>
  <si>
    <t>Ernesto</t>
  </si>
  <si>
    <t>HP EliteBook 1040 14 inch G11 Notebook PC</t>
  </si>
  <si>
    <t>ErnestoX</t>
  </si>
  <si>
    <t>HP Elite x360 1040 14 inch G11 2-in-1 Notebook PC</t>
  </si>
  <si>
    <t>Bobcats</t>
  </si>
  <si>
    <t>HP ZBook Studio 16 inch G11 Mobile Workstation PC</t>
  </si>
  <si>
    <t>Freddo</t>
  </si>
  <si>
    <t>HP EliteDesk 805 G8 Desktop Mini PC</t>
  </si>
  <si>
    <t>24C2</t>
  </si>
  <si>
    <t>SnowWhite</t>
  </si>
  <si>
    <t>HP Dragonfly G5 14</t>
  </si>
  <si>
    <t>2025 NPI</t>
  </si>
  <si>
    <t>2025 Leverage</t>
  </si>
  <si>
    <t>MaldiveR6U 2.0 Refresh</t>
  </si>
  <si>
    <t>HP 250R 15.6 inch G9 Notebook PC</t>
  </si>
  <si>
    <t>n/a</t>
    <phoneticPr fontId="29" type="noConversion"/>
  </si>
  <si>
    <t>2025 Education</t>
  </si>
  <si>
    <t>Arizona Refresh2</t>
  </si>
  <si>
    <t>HP Pro x360 Fortis 11 inch G13 Notebook PC</t>
  </si>
  <si>
    <t>2025 1000 Series</t>
  </si>
  <si>
    <t>Eviee</t>
  </si>
  <si>
    <t>HP EliteBook X G1a 14 inch Notebook AI PC</t>
  </si>
  <si>
    <t>2025 RPOS</t>
  </si>
  <si>
    <t>Tekken 15/19/23</t>
  </si>
  <si>
    <t>HP Engage One Pro 15.6 G2 All-in-One System​
HP Engage One Pro 19.5 G2 All-in-One System​
HP Engage One Pro 23.8 G2 All-in-One System</t>
  </si>
  <si>
    <t>MasadaN</t>
  </si>
  <si>
    <t>HP EliteBook X G1i 14 inch Notebook AI PC</t>
  </si>
  <si>
    <t>MasadaNX</t>
  </si>
  <si>
    <t>HP EliteBook X Flip G1i 14 inch Notebook AI PC</t>
  </si>
  <si>
    <t>MaldiveRT6U 2.0</t>
  </si>
  <si>
    <t>HP 250RT 15.6 inch G9 Notebook PC</t>
  </si>
  <si>
    <t>2025 Workstation</t>
  </si>
  <si>
    <t>Chiron</t>
  </si>
  <si>
    <t>HP ZBook Ultra 14 inch G1a Mobile Workstation PC</t>
  </si>
  <si>
    <t>2025 400 Series</t>
  </si>
  <si>
    <t>Storks</t>
  </si>
  <si>
    <t>HP ProDesk 4 SFF G1i Desktop</t>
  </si>
  <si>
    <t>Trolls</t>
  </si>
  <si>
    <t>HP ProDesk 4 Tower G1i Desktop
HP ProDesk 4 Tower G1i E Desktop</t>
  </si>
  <si>
    <t>2025 800 Series</t>
  </si>
  <si>
    <t>Selena</t>
  </si>
  <si>
    <t>HP EliteDesk 8 SFF G1i Desktop</t>
  </si>
  <si>
    <t>Tangled</t>
  </si>
  <si>
    <t>HP EliteDesk 8 Tower G1i Desktop
HP EliteDesk 8 Tower G1i E Desktop</t>
  </si>
  <si>
    <t>TangledZ</t>
  </si>
  <si>
    <t>HP Z1 G12 Tower Desktop</t>
  </si>
  <si>
    <t>2024 Workstation</t>
  </si>
  <si>
    <t>MachuW14</t>
  </si>
  <si>
    <t>HP ZBook 8 G1i 14 inch Mobile Workstation PC</t>
  </si>
  <si>
    <t>MachuW16</t>
  </si>
  <si>
    <t>HP ZBook 8 G1i 16 inch Mobile Workstation PC</t>
  </si>
  <si>
    <t>Machu13</t>
  </si>
  <si>
    <t>HP EliteBook 8 G1i 13 inch Notebook AI PC</t>
  </si>
  <si>
    <t>Machu13X</t>
  </si>
  <si>
    <t>HP EliteBook 8 Flip G1i 13 inch Notebook AI PC</t>
  </si>
  <si>
    <t>Machu14</t>
  </si>
  <si>
    <t>HP EliteBook 8 G1i 14 inch Notebook AI PC</t>
  </si>
  <si>
    <t>Machu16</t>
  </si>
  <si>
    <t>HP EliteBook 8 G1i 16 inch Notebook AI PC</t>
  </si>
  <si>
    <t>2024 600 Series</t>
  </si>
  <si>
    <t>Wafer14</t>
  </si>
  <si>
    <t>HP EliteBook 6 G1i 14 inch Notebook PC AI Edition</t>
  </si>
  <si>
    <t>Rainbow Cake14</t>
  </si>
  <si>
    <t>HP ProBook 4 G1i 14 inch Notebook PC AI Edition</t>
  </si>
  <si>
    <t>Rainbow Cake16</t>
  </si>
  <si>
    <t>HP ProBook 4 G1i 16 inch Notebook PC AI Edition</t>
  </si>
  <si>
    <t>2025 600 Series</t>
  </si>
  <si>
    <t>Wafer13</t>
  </si>
  <si>
    <t>HP EliteBook 6 G1i 13 inch Notebook PC AI Edition</t>
  </si>
  <si>
    <t>Wafer16</t>
  </si>
  <si>
    <t>HP EliteBook 6 G1i 16 inch Notebook PC AI Edition</t>
  </si>
  <si>
    <t>Muppets</t>
  </si>
  <si>
    <t>HP ProDesk 4 Mini G1i</t>
  </si>
  <si>
    <t>Megamind</t>
  </si>
  <si>
    <t>HP EliteDesk 8 Mini G1i</t>
  </si>
  <si>
    <t>Killepitsch</t>
  </si>
  <si>
    <t>HP Engage Flex Mini G2 Retail System</t>
  </si>
  <si>
    <t>2025 ARM</t>
  </si>
  <si>
    <t>Divinity</t>
  </si>
  <si>
    <t>HP EliteBook 6 G1q 14 inch Notebook Next Gen AI PC</t>
  </si>
  <si>
    <t>Waffle14</t>
  </si>
  <si>
    <t>HP EliteBook 6 G1a 14 inch Notebook PC AI Edition</t>
  </si>
  <si>
    <t>Waffle16</t>
  </si>
  <si>
    <t>HP EliteBook 6 G1a 16 inch Notebook PC AI Edition</t>
  </si>
  <si>
    <t>Pudding14</t>
  </si>
  <si>
    <t>HP ProBook 4 G1a 14 inch Notebook PC AI Edition</t>
  </si>
  <si>
    <t>Pudding16</t>
  </si>
  <si>
    <t>HP ProBook 4 G1a 16 inch Notebook PC AI Edition</t>
  </si>
  <si>
    <t>Jumanji24</t>
  </si>
  <si>
    <t>HP ProStudio 4 All-in-One G1i 23.8 inch Desktop PC</t>
  </si>
  <si>
    <t>Kazaam24</t>
  </si>
  <si>
    <t>HP EliteStudio 8 All-in-One G1i 23.8 inch Desktop PC</t>
  </si>
  <si>
    <t>Kazaam27</t>
  </si>
  <si>
    <t>HP EliteStudio 8 All-in-One G1i 27 inch Desktop PC</t>
  </si>
  <si>
    <t>Gemtree16/18</t>
  </si>
  <si>
    <t>HP ZBook Fury 16” G1i Mobile Workstation PC
HP ZBook Fury 16” G1i Mobile Workstation PC</t>
  </si>
  <si>
    <t>LaPaz13</t>
  </si>
  <si>
    <t>HP EliteBook 8 G1a 13 inch Notebook AI PC</t>
  </si>
  <si>
    <t>LaPaz13N</t>
  </si>
  <si>
    <t>HP EliteBook 8 G1a 13 inch Notebook  Next Gen AI PC</t>
  </si>
  <si>
    <t>LaPaz14</t>
  </si>
  <si>
    <t>HP EliteBook 8 G1a 14 inch Notebook AI PC</t>
  </si>
  <si>
    <t>LaPaz14N</t>
  </si>
  <si>
    <t>HP EliteBook 8 G1a 14 inch Notebook  Next Gen AI PC</t>
  </si>
  <si>
    <t>LaPaz16</t>
  </si>
  <si>
    <t>HP EliteBook 8 G1a 16 inch Notebook AI PC</t>
  </si>
  <si>
    <t>LaPaz16N</t>
  </si>
  <si>
    <t>HP EliteBook 8 G1a 16 inch Notebook  Next Gen AI PC</t>
  </si>
  <si>
    <t>LaPazW14N
ColosseumW14N</t>
  </si>
  <si>
    <t>HP ZBook 8 14 inch G1ak Mobile Workstation PC​
HP ZBook 8 14 inch G1as Mobile Workstation PC</t>
  </si>
  <si>
    <t>Machu14N</t>
  </si>
  <si>
    <t>HP EliteBook 8 G1i 14 inch Notebook Next Gen AI PC</t>
  </si>
  <si>
    <t>Matinee</t>
  </si>
  <si>
    <t>KRK &gt; EliteDesk 8 Mini G1a AI
HWP &gt; EliteDesk 8 Mini G1a</t>
  </si>
  <si>
    <t>LaPazW14</t>
  </si>
  <si>
    <t>HP ZBook 8 14 inch G1ah Mobile Workstation PC​</t>
  </si>
  <si>
    <t>Helm(UMA/GN22)</t>
  </si>
  <si>
    <t>HP Zbook X 16 inch G1i Mobile Workstation PC</t>
  </si>
  <si>
    <t>Helm(WN22)</t>
  </si>
  <si>
    <t>Waffle14N</t>
  </si>
  <si>
    <t>HP EliteBook 6 G1a 14 inch Notebook Next Gen AI PC​</t>
  </si>
  <si>
    <t>Rum Cake16</t>
  </si>
  <si>
    <t>HP ProBook 4 G1iR 16 inch Notebook PC AI Edition​</t>
  </si>
  <si>
    <t>Rum Cake14</t>
  </si>
  <si>
    <t>HP ProBook 4 G1iR 14 inch Notebook PC AI Edition​</t>
  </si>
  <si>
    <t>Machu16N</t>
  </si>
  <si>
    <t>HP EliteBook 8 G1i 16 inch Notebook Next Gen AI PC</t>
  </si>
  <si>
    <t>Penfold (GN22)</t>
  </si>
  <si>
    <t>HP Zbook 9 G1i Notebook PC​</t>
  </si>
  <si>
    <t>Wafer16R</t>
  </si>
  <si>
    <t>HP EliteBook 6 G1R 16 inch Notebook PC AI Edition</t>
  </si>
  <si>
    <t>Wafer14R</t>
  </si>
  <si>
    <t>HP EliteBook 6 G1R 14 inch Notebook PC AI Edition</t>
  </si>
  <si>
    <t>Dalgona</t>
  </si>
  <si>
    <t>HP ProBook 4 G1q 14 inch Notebook Next Gen AI PC</t>
  </si>
  <si>
    <t>2026 NPI</t>
  </si>
  <si>
    <t>NexusX (KBPC)</t>
  </si>
  <si>
    <t>2026 X Series</t>
  </si>
  <si>
    <t>Cashmere I (Trans)  (Intel PTL​)</t>
  </si>
  <si>
    <t>Cashmere XI (Trans) (Intel PTL​)</t>
  </si>
  <si>
    <t>Cashmere A (AMD Gorgon​)</t>
  </si>
  <si>
    <t>2026 8 Series</t>
  </si>
  <si>
    <t>Merino13​​ (Intel PTL​)</t>
  </si>
  <si>
    <t>Merino13X​ ​(Intel PTL​)</t>
  </si>
  <si>
    <t>Merino14​ ​ (Intel PTL​)</t>
  </si>
  <si>
    <t>Merino16​​ (Intel PTL​)</t>
  </si>
  <si>
    <t>2026 Workstation</t>
  </si>
  <si>
    <t>MerinoW14​ (Intel PTL-H)</t>
  </si>
  <si>
    <t>MerinoW16​ (Intel PTL-H)</t>
  </si>
  <si>
    <t>Moomin​ (Desktop Mini)</t>
  </si>
  <si>
    <t>QuiGon​ (Conferencing)</t>
  </si>
  <si>
    <t>2026 6 Series</t>
  </si>
  <si>
    <t>Gouda14​ (Intel PTL​)</t>
  </si>
  <si>
    <t>Gouda16​ (Intel PTL​)</t>
  </si>
  <si>
    <t>2026 4 Series</t>
  </si>
  <si>
    <t>Ricotta14​ (Intel PTL​)</t>
  </si>
  <si>
    <t>Ricotta16​ (Intel PTL​)</t>
  </si>
  <si>
    <t>Cashmere I (vPro)  (Intel PTL​)</t>
  </si>
  <si>
    <t>Cashmere XI (vPro) (Intel PTL​)</t>
  </si>
  <si>
    <t>Lampas14​ (AMD Gorgon​)</t>
  </si>
  <si>
    <t>Lampas16​ (AMD Gorgon​)</t>
  </si>
  <si>
    <t>LampasW14​  (AMD Gorgon​)</t>
  </si>
  <si>
    <t>CashmereQCM (Glymur/Mahua)</t>
  </si>
  <si>
    <t>Ice Cream</t>
  </si>
  <si>
    <t>Gruyere14​ (AMD Gorgon​)</t>
  </si>
  <si>
    <t>Gruyere16​ (AMD Gorgon​)</t>
  </si>
  <si>
    <t>Goat14​ (AMD Hawk Point​)</t>
  </si>
  <si>
    <t>Goat16​ (AMD Hawk Point​)</t>
  </si>
  <si>
    <t>Parmesan14​ (AMD Gorgon​)</t>
  </si>
  <si>
    <t>Parmesan16​ (AMD Gorgon​)</t>
  </si>
  <si>
    <t>Provolone14​ (AMD Hawk Point​)</t>
  </si>
  <si>
    <t>Provolone16​ (AMD Hawk Point​)</t>
  </si>
  <si>
    <t>MatineeR (Desktop Mini) ​</t>
  </si>
  <si>
    <t>2026 AIO</t>
  </si>
  <si>
    <t>Twilight​ (AIO)</t>
  </si>
  <si>
    <t>Dolcelatte​ (Qualcomm Mahua/Kalambo​)</t>
  </si>
  <si>
    <t>Soul​ (Desktop SFF) (AMD Gorgon)</t>
  </si>
  <si>
    <t>2026 2 series</t>
  </si>
  <si>
    <t>Moana​ (Desktop Mini)</t>
  </si>
  <si>
    <t>Gorgonzola14 (Intel WCL​)</t>
  </si>
  <si>
    <t>Gorgonzola16 (Intel WCL​)</t>
  </si>
  <si>
    <t>Cheddar​13 (Intel WCL​)</t>
  </si>
  <si>
    <t>Cheddar​14 (Intel WCL​)</t>
  </si>
  <si>
    <t>Cheddar​16 (Intel WCL​)</t>
  </si>
  <si>
    <t>Cheddar​13X (Intel WCL​)</t>
  </si>
  <si>
    <t>Tweed​</t>
  </si>
  <si>
    <t>2027 X Series</t>
  </si>
  <si>
    <t>Sundae (AMD StrixHalo)</t>
  </si>
  <si>
    <t>myHP/HPX Release Matrix</t>
  </si>
  <si>
    <t>myHP master build (for testing only)</t>
  </si>
  <si>
    <t>myHP branch build (for CF)</t>
  </si>
  <si>
    <t>OTA</t>
  </si>
  <si>
    <t>HPX Dev Build</t>
  </si>
  <si>
    <t>HPX Integration Build</t>
  </si>
  <si>
    <t>HPX Staging Build</t>
  </si>
  <si>
    <t>HPX Production Build (for CF)</t>
  </si>
  <si>
    <t>46.52523.4052.0</t>
  </si>
  <si>
    <t>46.52524.4209.0</t>
  </si>
  <si>
    <t>46.52526.4572.0</t>
  </si>
  <si>
    <t>47.52528.5138.0</t>
  </si>
  <si>
    <t>47.52530.5546.0</t>
  </si>
  <si>
    <t>48.52531.6118.0</t>
  </si>
  <si>
    <t>48.52533.6679.0</t>
  </si>
  <si>
    <t>49.52537.7800.0</t>
  </si>
  <si>
    <t>FIB</t>
  </si>
  <si>
    <t>RTM</t>
  </si>
  <si>
    <t>RTP</t>
  </si>
  <si>
    <t>Build</t>
  </si>
  <si>
    <t>2025 JUN</t>
  </si>
  <si>
    <t>2025 JUL</t>
  </si>
  <si>
    <t>2025 AUG</t>
  </si>
  <si>
    <t>2025 SEP</t>
  </si>
  <si>
    <t>2025 OCT</t>
  </si>
  <si>
    <t>2025 NOV</t>
  </si>
  <si>
    <t>2025 DEC</t>
  </si>
  <si>
    <t>2026 JAN</t>
  </si>
  <si>
    <t>2026 FEB</t>
  </si>
  <si>
    <t>2026 MAR</t>
  </si>
  <si>
    <t>2026 APR</t>
  </si>
  <si>
    <t>2026 MAY</t>
  </si>
  <si>
    <t>2026 JUN</t>
  </si>
  <si>
    <t>2026 JUL</t>
  </si>
  <si>
    <t>P/N</t>
  </si>
  <si>
    <t>W1</t>
  </si>
  <si>
    <t>W2</t>
  </si>
  <si>
    <t>W3</t>
  </si>
  <si>
    <t>W4</t>
  </si>
  <si>
    <t>W5</t>
  </si>
  <si>
    <t>2026 KBPC</t>
  </si>
  <si>
    <t>No</t>
  </si>
  <si>
    <t>HP EliteType G1a Keyboard PC</t>
  </si>
  <si>
    <t>Rebrand - 11A RC1</t>
  </si>
  <si>
    <t>50.52545.10994.0.A.1
P019SQ-B2L</t>
  </si>
  <si>
    <t>Yes</t>
  </si>
  <si>
    <t>HP EliteBook X G2i 14 inch Notebook Next Gen AI PC​</t>
  </si>
  <si>
    <t>HP EliteBook X Flip G2i 14 inch Notebook Next Gen AI PC​</t>
  </si>
  <si>
    <t>HP EliteBook X G2a 14 inch Notebook Next Gen AI PC​</t>
  </si>
  <si>
    <t>Rebrand - 11A STG</t>
  </si>
  <si>
    <t>50.42545.4640.0.A.1
P019SQ-B2M</t>
  </si>
  <si>
    <t>HP EliteBook 8 G2i 13 inch Notebook Next Gen AI PC​</t>
  </si>
  <si>
    <t>HP EliteBook 8 FLIP G2i 13 inch Notebook Next Gen AI PC​</t>
  </si>
  <si>
    <t>HP EliteBook 8 G2i 14 inch Notebook Next Gen AI PC​</t>
  </si>
  <si>
    <t>HP EliteBook 8 G2i 16 inch Notebook Next Gen AI PC​</t>
  </si>
  <si>
    <t>HP ZBook 8 G2i 14 inch Mobile Workstation PC​</t>
  </si>
  <si>
    <t>HP ZBook 8 G2i 16 inch Mobile Workstation PC​</t>
  </si>
  <si>
    <t>HP EliteDesk 8 Mini G2i Desktop Next Gen AI PC​</t>
  </si>
  <si>
    <t>HP EliteBook 6 G2i 14 inch Notebook Next Gen AI PC​</t>
  </si>
  <si>
    <t>HP EliteBook 6 G2i 16 inch Notebook Next Gen AI PC​</t>
  </si>
  <si>
    <t>HP ProBook 4 G2i 14 inch Notebook Next Gen AI PC​</t>
  </si>
  <si>
    <t>HP ProBook 4 G2i 16 inch Notebook Next Gen AI PC​</t>
  </si>
  <si>
    <t>HP EliteBook 8 G2a 14 inch Notebook Next Gen AI PC​</t>
  </si>
  <si>
    <t>HP EliteBook 8 G2a 16 inch Notebook Next Gen AI PC​</t>
  </si>
  <si>
    <t>HP ZBook 8 G2a 14 inch Mobile Workstation PC​</t>
  </si>
  <si>
    <t>HP EliteBook X G2q 14 inch Notebook Next Gen AI PC​</t>
  </si>
  <si>
    <t>HP Zbook X 16 inch G2i Mobile Workstation PC</t>
  </si>
  <si>
    <t>HP EliteBook 6 G2a 14 inch Notebook Next Gen AI PC​</t>
  </si>
  <si>
    <t>HP EliteBook 6 G2a 16 inch Notebook Next Gen AI PC​</t>
  </si>
  <si>
    <t>HP EliteBook 6 G2a 14 inch Notebook PC AI Edition​</t>
  </si>
  <si>
    <t>HP EliteBook 6 G2a 16 inch Notebook PC AI Edition​</t>
  </si>
  <si>
    <t>HP ProBook 4 G2a 14 inch Notebook Next Gen AI PC​</t>
  </si>
  <si>
    <t>HP ProBook 4 G2a 16 inch Notebook Next Gen AI PC​</t>
  </si>
  <si>
    <t>HP ProBook 4 G2a 14 inch Notebook PC AI Edition​</t>
  </si>
  <si>
    <t>HP ProBook 4 G2a 16 inch Notebook PC AI Edition​</t>
  </si>
  <si>
    <t>HP EliteDesk 8 Mini G2a Desktop Next Gen AI PC</t>
  </si>
  <si>
    <t>HP Poly Studio 5 G1 AI PC with Microsoft Teams Rooms​
HP Poly Studio 7 G1 AI PC with Microsoft Teams Rooms​
HP Poly Studio 5 G1 AI PC with Zoom Rooms​
HP Poly Studio 7 G1 AI PC with Zoom Rooms</t>
  </si>
  <si>
    <t>HP Engage One G2 AiO​</t>
  </si>
  <si>
    <t>HP EliteBook 6 G2q 14 inch Notebook Next Gen AI PC​</t>
  </si>
  <si>
    <t>HP EliteDesk 8 SFF G2a Desktop Next Gen AI PC</t>
  </si>
  <si>
    <t>HP ProDesk 2 Mini G2i Desktop AI PC</t>
  </si>
  <si>
    <t>HP EliteBook 6 G2i 14 inch Notebook PC AI Edition​</t>
  </si>
  <si>
    <t>HP ProBook 4 G2i 13 inch Notebook PC AI Edition​</t>
  </si>
  <si>
    <t>HP ProBook 4 G2i 14 inch Notebook PC AI Edition​</t>
  </si>
  <si>
    <t>HP ProBook 4 G2i 16 inch Notebook PC AI Edition​</t>
  </si>
  <si>
    <t>HP ProBook 4 Flip G2i 13 inch Notebook PC AI Edition​</t>
  </si>
  <si>
    <t>N/A</t>
  </si>
  <si>
    <t>HP ElitePad G2i 13 inch Notebook Next Gen AI PC​</t>
  </si>
  <si>
    <t>Ultra HP ZBook Ultra G1a 16 inch Mobile Workstation PC</t>
  </si>
  <si>
    <t>-</t>
  </si>
  <si>
    <t>2024 400 Series</t>
  </si>
  <si>
    <t>2024 800 Series</t>
  </si>
  <si>
    <t>2024 Leverage</t>
  </si>
  <si>
    <t>MaldiveR6U 2.0</t>
  </si>
  <si>
    <t xml:space="preserve">HP 250R 15.6 inch G9 Notebook PC </t>
  </si>
  <si>
    <t>2023 600 Series</t>
  </si>
  <si>
    <t>2023 400 Series</t>
  </si>
  <si>
    <t>2022 Education</t>
  </si>
  <si>
    <t>Anole 2.0</t>
  </si>
  <si>
    <t>HP Pro x360 Fortis 11 inch G10 Notebook PC</t>
  </si>
  <si>
    <t>Rebrand - 9A RC4</t>
  </si>
  <si>
    <t>49.52537.7800.0.A.2
P019CR-B2Z</t>
  </si>
  <si>
    <t>Stripes</t>
  </si>
  <si>
    <t>2022 800 Series</t>
  </si>
  <si>
    <t xml:space="preserve">Solitaire </t>
  </si>
  <si>
    <t xml:space="preserve">SolitaireZ </t>
  </si>
  <si>
    <t xml:space="preserve">Sudoku </t>
  </si>
  <si>
    <t>2022 400 Series</t>
  </si>
  <si>
    <t xml:space="preserve">Jenga </t>
  </si>
  <si>
    <t xml:space="preserve">Mahjong </t>
  </si>
  <si>
    <t xml:space="preserve">Splendor </t>
  </si>
  <si>
    <t xml:space="preserve">Splendor27 </t>
  </si>
  <si>
    <t xml:space="preserve">Boggle24 </t>
  </si>
  <si>
    <t xml:space="preserve">Pacman </t>
  </si>
  <si>
    <t xml:space="preserve">Asteroids </t>
  </si>
  <si>
    <t>2022 200 Series</t>
  </si>
  <si>
    <t xml:space="preserve">DigDug </t>
  </si>
  <si>
    <t>2021 RPOS</t>
  </si>
  <si>
    <t xml:space="preserve">Coppola </t>
  </si>
  <si>
    <t>2020 RPOS</t>
  </si>
  <si>
    <t xml:space="preserve">Tasmania </t>
  </si>
  <si>
    <t>2023 RPOS</t>
  </si>
  <si>
    <t xml:space="preserve">Valour </t>
  </si>
  <si>
    <t xml:space="preserve"> </t>
  </si>
  <si>
    <t>myHP branch build (for PLD)</t>
  </si>
  <si>
    <t>`</t>
  </si>
  <si>
    <t>Production Build (for PLD)</t>
  </si>
  <si>
    <t>NPI/Refresh/Softroll</t>
  </si>
  <si>
    <t>SI Test</t>
  </si>
  <si>
    <t>PV Test</t>
  </si>
  <si>
    <t>PLD</t>
  </si>
  <si>
    <t>CFZ</t>
  </si>
  <si>
    <t>FCS</t>
  </si>
  <si>
    <t>Start</t>
  </si>
  <si>
    <t>Refresh</t>
  </si>
  <si>
    <t>SnowWhite(Elitebook(SBSO)) / Intel / 24C2</t>
  </si>
  <si>
    <t>41.52505.410.0</t>
  </si>
  <si>
    <t>42.52507.561.0</t>
  </si>
  <si>
    <t>43.52511.1102.0</t>
  </si>
  <si>
    <t>43.52513.1706.0</t>
  </si>
  <si>
    <t>45.52519.3041.0</t>
  </si>
  <si>
    <t>2024 DEC</t>
  </si>
  <si>
    <t>2025 JAN</t>
  </si>
  <si>
    <t>2025 FEB</t>
  </si>
  <si>
    <t>2025 MAR</t>
  </si>
  <si>
    <t>2025 APR</t>
  </si>
  <si>
    <t>2025 MAY</t>
  </si>
  <si>
    <t>Eviee -S</t>
  </si>
  <si>
    <t>Rebrand - 3A RC5</t>
  </si>
  <si>
    <t>43.52511.1102.0.A.1
P018K9-B2C</t>
  </si>
  <si>
    <t>Eviee-KRK</t>
  </si>
  <si>
    <t>Rebrand - 3A Hotfix1</t>
  </si>
  <si>
    <t>43.52513.1706.0.A.1
P018K9-B2E</t>
  </si>
  <si>
    <t>TBD</t>
  </si>
  <si>
    <t>Rebrand - 6A RC4</t>
  </si>
  <si>
    <t>46.52523.4052.0.A.1
P018K9-B2Q</t>
  </si>
  <si>
    <t> </t>
  </si>
  <si>
    <t>Rebrand - 6A Hotfix1</t>
  </si>
  <si>
    <t>46.52524.4209.0.A.1
P018K9-B2R</t>
  </si>
  <si>
    <t>Rebrand - 7A Hotfix 1</t>
  </si>
  <si>
    <t>47.52530.5546.0.A.1
P018K9-B2Z</t>
  </si>
  <si>
    <t>2025/5/7 (TBC)</t>
  </si>
  <si>
    <t>2025/6/4 (TBC)</t>
  </si>
  <si>
    <t>2025/6/25 (TBC)</t>
  </si>
  <si>
    <t>2025/7/16 (TBC)</t>
  </si>
  <si>
    <t>on hold</t>
  </si>
  <si>
    <t>OOC1: 2025/3/31
OOC2:2025/4/7</t>
  </si>
  <si>
    <t>OOC1: 2025/4/16
OOC2:2025/5/8</t>
  </si>
  <si>
    <t>OOC1: 2025/4/23
OOC2:2025/5/21</t>
  </si>
  <si>
    <t>OOC1: 2025/4/28
OOC2:2025/5/28</t>
  </si>
  <si>
    <t>Classic HPX:</t>
  </si>
  <si>
    <t>Rebrand HPX:</t>
  </si>
  <si>
    <t>41.52505.410.0.A.1
42.52506.506.0.A.2</t>
  </si>
  <si>
    <t>34.52424.589.0</t>
  </si>
  <si>
    <t>35.52428.730.0</t>
  </si>
  <si>
    <t>35.52430.841.0</t>
  </si>
  <si>
    <t>36.52434.951.0</t>
  </si>
  <si>
    <t>37.52435.995.0</t>
  </si>
  <si>
    <t>39.52446.140.0</t>
  </si>
  <si>
    <t>41.52505.347.0</t>
  </si>
  <si>
    <t>2024 MAY</t>
  </si>
  <si>
    <t>2024 JUN</t>
  </si>
  <si>
    <t>2024 JUL</t>
  </si>
  <si>
    <t>2024 AUG</t>
  </si>
  <si>
    <t>2024 SEP</t>
  </si>
  <si>
    <t>2024 OCT</t>
  </si>
  <si>
    <t>2024 NOV</t>
  </si>
  <si>
    <t>35.52430.841.0.A.1
P017JU-B2A</t>
  </si>
  <si>
    <t>38.52440.1105.0.A.1
P017JU-B2Z</t>
  </si>
  <si>
    <t>11A RC2</t>
  </si>
  <si>
    <t>39.52446.140.0.A.1
P017YZ-B2Q</t>
  </si>
  <si>
    <t>12A RC5</t>
  </si>
  <si>
    <t>40.52451.275.0.A.1
P01886-B2F</t>
  </si>
  <si>
    <t>Rebrand - RC9</t>
  </si>
  <si>
    <t>41.52505.347.0.A.1
P01886-B2S</t>
  </si>
  <si>
    <t>Rebrand - 1A Hotfix2</t>
  </si>
  <si>
    <t>41.52505.410.0.A.1
P01886-B2U</t>
  </si>
  <si>
    <t>Rebrand - 2A RC4</t>
  </si>
  <si>
    <t>42.52507.561.0.A.1
P01886-B2X</t>
  </si>
  <si>
    <t>TBC</t>
  </si>
  <si>
    <t xml:space="preserve">Freddo </t>
  </si>
  <si>
    <t>2022 600 Series</t>
  </si>
  <si>
    <t xml:space="preserve">Checkers </t>
  </si>
  <si>
    <t xml:space="preserve">Chess </t>
  </si>
  <si>
    <t xml:space="preserve">PacmanM0 </t>
  </si>
  <si>
    <t xml:space="preserve">Galaxian </t>
  </si>
  <si>
    <t>Notebook</t>
  </si>
  <si>
    <t>Rebrand - 2A RC2</t>
  </si>
  <si>
    <t>42.52506.506.0.A.2
P01886-B2W</t>
  </si>
  <si>
    <t>Anole 1.0</t>
  </si>
  <si>
    <t>HP Pro x360 Fortis 11 inch G9 Notebook PC</t>
  </si>
  <si>
    <t>Arclight 1.0</t>
  </si>
  <si>
    <t>HP ProBook Fortis 14 inch G9 Notebook PC</t>
  </si>
  <si>
    <t>Arclight 2.0</t>
  </si>
  <si>
    <t>HP ProBook Fortis 14 inch G10 Notebook PC</t>
  </si>
  <si>
    <t>2023 Education</t>
  </si>
  <si>
    <t>2024 Education</t>
  </si>
  <si>
    <t>Paradigm</t>
  </si>
  <si>
    <t xml:space="preserve">HP Engage Go Mobile </t>
  </si>
  <si>
    <t>2022 RPOS</t>
  </si>
  <si>
    <t>Cannonball 2.0</t>
  </si>
  <si>
    <t>HP Engage Go 13.5 inch Mobile System</t>
  </si>
  <si>
    <t>2023 Dragonfly</t>
  </si>
  <si>
    <t>2023 800 Series</t>
  </si>
  <si>
    <t>2023 1000 Series</t>
  </si>
  <si>
    <t>2023 Workstation</t>
  </si>
  <si>
    <t>33.52421.535.0</t>
  </si>
  <si>
    <t>Notes</t>
  </si>
  <si>
    <t>35.52428.730.0.A.1
P016VA-B2S</t>
  </si>
  <si>
    <t>32.52414.341.0</t>
  </si>
  <si>
    <t>2024 JAN</t>
  </si>
  <si>
    <t>2024 FEB</t>
  </si>
  <si>
    <t>2024 MAR</t>
  </si>
  <si>
    <t>2024 APR</t>
  </si>
  <si>
    <t>32.52414.341.0.A.1
P016B6-B2H</t>
  </si>
  <si>
    <t>33.52421.535.0.A.1
P016VA-B2D</t>
  </si>
  <si>
    <t>34.52424.589.0.A.1
P016VA-B2K</t>
  </si>
  <si>
    <t>2024 1000 Series</t>
  </si>
  <si>
    <t>HP Elite Tower 800/880 G9 Desktop PC</t>
  </si>
  <si>
    <t>Pacman**</t>
  </si>
  <si>
    <t>PacmanM0**</t>
  </si>
  <si>
    <t>HP Mini Conferencing PC with Zoom Rooms</t>
  </si>
  <si>
    <t>HP EliteOne 870 27 G9 All-in-One Desktop PC</t>
  </si>
  <si>
    <t>HP Elite Tower 600/680 G9 Desktop PC</t>
  </si>
  <si>
    <t>Splendor24M0</t>
  </si>
  <si>
    <t>HP Presence 24 All-in-One with Zoom Rooms</t>
  </si>
  <si>
    <t>Splendor27M0</t>
  </si>
  <si>
    <t>HP Presence 27 All-in-One with Zoom Rooms</t>
  </si>
  <si>
    <t>HP Pro Tower 400/480 G9 Desktop PC</t>
  </si>
  <si>
    <t>2022 ZHAN Series</t>
  </si>
  <si>
    <t>BoggleZHN</t>
  </si>
  <si>
    <t>HP ZHAN 99 Pro 23.8 inch All-in-One Desktop PC</t>
  </si>
  <si>
    <t>Coppola</t>
  </si>
  <si>
    <t>HP Engage Flex Mini Retail System</t>
  </si>
  <si>
    <t>HP Engage One Pro AIO System</t>
  </si>
  <si>
    <t>2021 800 Series</t>
  </si>
  <si>
    <t>Prima14</t>
  </si>
  <si>
    <t>HP ProBook 445 G9 Notebook PC</t>
  </si>
  <si>
    <t>Prima15</t>
  </si>
  <si>
    <t>HP ProBook 455 G9 Notebook PC</t>
  </si>
  <si>
    <t xml:space="preserve">Thundra14 </t>
  </si>
  <si>
    <t>HP EliteBook 645 14 inch G9 Notebook PC</t>
  </si>
  <si>
    <t xml:space="preserve">Lockheed14 </t>
  </si>
  <si>
    <t>HP EliteBook 845 14 inch G9 Notebook PC</t>
  </si>
  <si>
    <t>HP ZBook Firefly 14 inch G10A Mobile Workstation PC</t>
  </si>
  <si>
    <t xml:space="preserve">Warpath13 </t>
  </si>
  <si>
    <t>HP EliteBook 830 13 inch G9 Notebook PC</t>
  </si>
  <si>
    <t xml:space="preserve">Warpath14 </t>
  </si>
  <si>
    <t>HP EliteBook 840 14 inch G9 Notebook PC</t>
  </si>
  <si>
    <t>Thanos 13</t>
  </si>
  <si>
    <t>HP EliteBook 630 14 inch G9 Notebook PC</t>
  </si>
  <si>
    <t>Thanos 14</t>
  </si>
  <si>
    <t>HP EliteBook 640 14 inch G9 Notebook PC</t>
  </si>
  <si>
    <t>Thanos 15</t>
  </si>
  <si>
    <t>HP EliteBook 650 15.6 inch G9 Notebook PC</t>
  </si>
  <si>
    <t>Ronin 14</t>
  </si>
  <si>
    <t>HP ProBook 440 14 inch G9 Notebook PC</t>
  </si>
  <si>
    <t>Ronin 15</t>
  </si>
  <si>
    <t>HP ProBook 450 15.6 inch G9 Notebook PC</t>
  </si>
  <si>
    <t>11.52247.86.0.A.1</t>
  </si>
  <si>
    <t>11.52250.34.0.A.1</t>
  </si>
  <si>
    <t>11.52250.34.0.A.2</t>
  </si>
  <si>
    <t>11.52247.86.0.A.2</t>
  </si>
  <si>
    <t>25.52312.97.0.A.1
25.52313.104.0.A.1</t>
  </si>
  <si>
    <t>25.52341.876.0.A.1</t>
  </si>
  <si>
    <t>25.52307.21.0</t>
  </si>
  <si>
    <t>25.52309.50.0</t>
  </si>
  <si>
    <t>25.52312.97.0</t>
  </si>
  <si>
    <t>25.52313.106.0</t>
  </si>
  <si>
    <t>25.52315.134.0</t>
  </si>
  <si>
    <t xml:space="preserve">25.52316.154.0 </t>
  </si>
  <si>
    <t>25.52319.223.0</t>
  </si>
  <si>
    <t>25.52325.345.0</t>
  </si>
  <si>
    <t>25.52328.396.0</t>
  </si>
  <si>
    <t>25.52330.450.0</t>
  </si>
  <si>
    <t>25.52339.829.0</t>
  </si>
  <si>
    <t>25.52341.876.0</t>
  </si>
  <si>
    <t>26.52341.909.0</t>
  </si>
  <si>
    <t>26.52343.948.0</t>
  </si>
  <si>
    <t>28.52349.1300.0</t>
  </si>
  <si>
    <t>29.52403.100.0</t>
  </si>
  <si>
    <t>30.52407.200.0</t>
  </si>
  <si>
    <t>31.52412.288.0</t>
  </si>
  <si>
    <t>Should</t>
  </si>
  <si>
    <t>2022 NOV</t>
  </si>
  <si>
    <t>2022 DEC</t>
  </si>
  <si>
    <t>2023 JAN</t>
  </si>
  <si>
    <t>2023 FEB</t>
  </si>
  <si>
    <t>2023 MAR</t>
  </si>
  <si>
    <t>2023 APR</t>
  </si>
  <si>
    <t>2023 MAY</t>
  </si>
  <si>
    <t>2023 JUN</t>
  </si>
  <si>
    <t>2023 JUL</t>
  </si>
  <si>
    <t>2023 AUG</t>
  </si>
  <si>
    <t>2023 SEP</t>
  </si>
  <si>
    <t>2023 OCT</t>
  </si>
  <si>
    <t>2023 NOV</t>
  </si>
  <si>
    <t>2023 DEC</t>
  </si>
  <si>
    <t>Target</t>
  </si>
  <si>
    <t>7B Production RC2</t>
  </si>
  <si>
    <t>25.52330.450.0.A.1
P0151E-B2M</t>
  </si>
  <si>
    <t>30.52407.200.0.A.1
P016B6-B2B</t>
  </si>
  <si>
    <t>28.52349.1300.0.A.1
P015S9-B2L</t>
  </si>
  <si>
    <t>NA</t>
  </si>
  <si>
    <t>31.52412.288.0.A.1
P016B6-B2F</t>
  </si>
  <si>
    <t>HP Elite SFF 805 G9 Desktop PC</t>
  </si>
  <si>
    <t>2022 G9 - Pro series</t>
  </si>
  <si>
    <t>DT RPOS-2021</t>
  </si>
  <si>
    <t>2022 G9 - Elite series</t>
  </si>
  <si>
    <t>2022 G9 - AIO</t>
  </si>
  <si>
    <t>DT RPOS-2020</t>
  </si>
  <si>
    <t>DT RPOS-2018</t>
  </si>
  <si>
    <t xml:space="preserve">Tobago </t>
  </si>
  <si>
    <t>HP Engage Flex Pro-C Retail System</t>
  </si>
  <si>
    <t xml:space="preserve">Trinidad </t>
  </si>
  <si>
    <t>HP Engage Flex Pro Retail System</t>
  </si>
  <si>
    <t>DT RPOS-2023</t>
  </si>
  <si>
    <t>29.52403.100.0.A.1
P015S9-B2X</t>
  </si>
  <si>
    <t>2023 Mobile Workstation</t>
  </si>
  <si>
    <t>2021 NB</t>
  </si>
  <si>
    <t>McLaren</t>
  </si>
  <si>
    <t>HP Elite x2 G8 Tablet</t>
  </si>
  <si>
    <t>Warpath13</t>
  </si>
  <si>
    <t>Warpath14</t>
  </si>
  <si>
    <t>2023/07/06</t>
  </si>
  <si>
    <t>2023/07/20</t>
  </si>
  <si>
    <t>Production Build</t>
  </si>
  <si>
    <t>25.52329.430.0.A.1
P0151E-B2L</t>
  </si>
  <si>
    <t>DT RPOS-2017</t>
  </si>
  <si>
    <t>Nantucket</t>
  </si>
  <si>
    <t>HP Engage One All-in-One System</t>
  </si>
  <si>
    <t>2020 600 series</t>
  </si>
  <si>
    <t>Grizzly2</t>
  </si>
  <si>
    <t>635 G8 Aero</t>
  </si>
  <si>
    <t>2023/07/27</t>
  </si>
  <si>
    <t>2023/08/10</t>
  </si>
  <si>
    <t>Warpath14L</t>
  </si>
  <si>
    <t>HP EliteBook 1040 14  inch G9 Notebook PC</t>
  </si>
  <si>
    <t>Warpath14LX</t>
  </si>
  <si>
    <t>HP Elite x360 1040 14 inch G9  2-in-1Notebook PC</t>
  </si>
  <si>
    <t>Warpath16</t>
  </si>
  <si>
    <t>HP EliteBook 860 16 inch G9 Notebook PC</t>
  </si>
  <si>
    <t>Powderkeg</t>
  </si>
  <si>
    <t>HP Elite x360 830 13 inch G9  2-in-1Notebook PC</t>
  </si>
  <si>
    <t>2022 1000 Series</t>
  </si>
  <si>
    <t>Ultron</t>
  </si>
  <si>
    <t>HP Elite Dragonfly Folio 13.5 inch G3 2-in-1 Notebook PC</t>
  </si>
  <si>
    <t>2022 Mobile Workstation</t>
  </si>
  <si>
    <t>WarpathW14</t>
  </si>
  <si>
    <t>HP ZBook Firefly 14 inch G9 Mobile Workstation PC</t>
  </si>
  <si>
    <t>WarpathW16</t>
  </si>
  <si>
    <t>HP ZBook Firefly 16 inch G9 Mobile Workstation PC</t>
  </si>
  <si>
    <t>Vision16</t>
  </si>
  <si>
    <t>HP ZBook Fury 16 inch G9 Mobile Workstation PC</t>
  </si>
  <si>
    <t>Magneta</t>
  </si>
  <si>
    <t>HP ZBook Studio 16.0 inch G9 Mobile Workstation PC</t>
  </si>
  <si>
    <t>Ronin14</t>
  </si>
  <si>
    <t>HP ProBook 440 G9</t>
  </si>
  <si>
    <t>Ronin15</t>
  </si>
  <si>
    <t xml:space="preserve">HP ProBook 450 G9 </t>
  </si>
  <si>
    <t>2026 400 Series</t>
  </si>
  <si>
    <t>2027 400 Series</t>
  </si>
  <si>
    <t>2026 600 Series</t>
  </si>
  <si>
    <t>2027 600 Series</t>
  </si>
  <si>
    <t>2026 800 Series</t>
  </si>
  <si>
    <t>2027 800 Series</t>
  </si>
  <si>
    <t>2028 800 Series</t>
  </si>
  <si>
    <t>Doop14</t>
  </si>
  <si>
    <t>Zhan66 PRO 14 G5</t>
  </si>
  <si>
    <t>2023/08/24</t>
  </si>
  <si>
    <t>2022/10/28</t>
  </si>
  <si>
    <t>2022/11/25</t>
  </si>
  <si>
    <t>11.52247.86.0.A.1
P013QW-B2Q</t>
  </si>
  <si>
    <t>2022/12/05</t>
  </si>
  <si>
    <t>2022/12/26</t>
  </si>
  <si>
    <t>22.09.4 - Special</t>
  </si>
  <si>
    <t>11.52250.34.0.A.2
P013QW-B2T</t>
  </si>
  <si>
    <t>Roc14</t>
    <phoneticPr fontId="29" type="noConversion"/>
  </si>
  <si>
    <t>2023/01/10</t>
  </si>
  <si>
    <t>2023/02/07</t>
  </si>
  <si>
    <t>Kraken14</t>
    <phoneticPr fontId="29" type="noConversion"/>
  </si>
  <si>
    <t>2023/01/30</t>
  </si>
  <si>
    <t>2023/02/20</t>
  </si>
  <si>
    <t>2023/02/09</t>
  </si>
  <si>
    <t>2023/03/02</t>
  </si>
  <si>
    <t>2023/02/28</t>
  </si>
  <si>
    <t>2023/02/17</t>
  </si>
  <si>
    <t>2023/03/10</t>
  </si>
  <si>
    <t>25.52309.54.0.A.1
P014C9-B2Q</t>
  </si>
  <si>
    <t>2023/02/22</t>
  </si>
  <si>
    <t>2023/03/15</t>
  </si>
  <si>
    <t>2023/03/03</t>
  </si>
  <si>
    <t>2023/03/24</t>
  </si>
  <si>
    <t>25.52312.97.0.A.1
P014C9-B2U</t>
  </si>
  <si>
    <t>2023/05/10</t>
  </si>
  <si>
    <t>2023/05/08</t>
  </si>
  <si>
    <t>2023/05/29</t>
  </si>
  <si>
    <t>25.52316.154.0.A.1
P014C9-B2Y</t>
  </si>
  <si>
    <t>2023/09/22</t>
  </si>
  <si>
    <t>2023/10/19</t>
  </si>
  <si>
    <t>25.52334.593.0.A.1
P0151E-B2P</t>
  </si>
  <si>
    <t>HPX Dev build</t>
  </si>
  <si>
    <t xml:space="preserve">Build </t>
  </si>
  <si>
    <t>2022/12/19</t>
  </si>
  <si>
    <t>22.09.4</t>
  </si>
  <si>
    <t>11.52247.86.0.A.2
P013QW-B2R</t>
  </si>
  <si>
    <t>DT - 2020</t>
  </si>
  <si>
    <t>AryaStark</t>
  </si>
  <si>
    <t>HP EliteOne 800 G6 All-in-One PC</t>
  </si>
  <si>
    <t xml:space="preserve">Daario </t>
  </si>
  <si>
    <t>HP ProDesk 600 G6 Desktop Mini PC</t>
  </si>
  <si>
    <t>Drogo</t>
  </si>
  <si>
    <t>HP EliteDesk 800 G6 Desktop Mini PC</t>
  </si>
  <si>
    <t>Genna</t>
  </si>
  <si>
    <t>HP EliteDesk 800 G6 Small Form Factor PC</t>
  </si>
  <si>
    <t>Jamie</t>
  </si>
  <si>
    <t>HP ProDesk 600 G6 Microtower PC</t>
  </si>
  <si>
    <t>Jamie-L</t>
  </si>
  <si>
    <t>HP ProDesk 600 G6 PCI Microtower PC</t>
  </si>
  <si>
    <t>Sansa</t>
  </si>
  <si>
    <t>HP ProOne 600 G6 All-in-One PC</t>
  </si>
  <si>
    <t>Tyrion</t>
  </si>
  <si>
    <t>HP ProDesk 600 G6 Small Form Factor PC</t>
  </si>
  <si>
    <t>Tytos</t>
  </si>
  <si>
    <t>HP EliteDesk 800 G6 Tower PC</t>
  </si>
  <si>
    <t>Joffrey</t>
  </si>
  <si>
    <t>HP ProDesk 400 G7 Microtower PC</t>
  </si>
  <si>
    <t>Joffrey-L</t>
  </si>
  <si>
    <t>HP ProDesk 480 G7 PCI Microtower PC</t>
  </si>
  <si>
    <t xml:space="preserve">Missandei </t>
  </si>
  <si>
    <t>HP ProDesk 400 G6 Desktop Mini PC</t>
  </si>
  <si>
    <t>Tommen</t>
  </si>
  <si>
    <t>HP ProDesk 400 G7 Small Form Factor PC</t>
  </si>
  <si>
    <t>Bran</t>
  </si>
  <si>
    <t>HP ProOne 400 G6 All-in-One PC</t>
  </si>
  <si>
    <t>2021 1000 series</t>
  </si>
  <si>
    <t>X2 Tablet G8</t>
  </si>
  <si>
    <t>2023/01/03</t>
  </si>
  <si>
    <t>2023/01/31</t>
  </si>
  <si>
    <t>2021 600 series</t>
  </si>
  <si>
    <t>2021 800 series</t>
  </si>
  <si>
    <t>Cadillac15 1.0</t>
  </si>
  <si>
    <t>850 G8</t>
  </si>
  <si>
    <t>Corvette13 1.0</t>
  </si>
  <si>
    <t>830 G8</t>
  </si>
  <si>
    <t>Corvette14 1.0</t>
  </si>
  <si>
    <t>840 G8</t>
  </si>
  <si>
    <t>Corvette14L</t>
  </si>
  <si>
    <t>840 Aero G8</t>
  </si>
  <si>
    <t>Opel 1.0</t>
  </si>
  <si>
    <t>HP EliteBook x360 830 G8 Notebook PC</t>
  </si>
  <si>
    <t>Spyker13</t>
  </si>
  <si>
    <t>X360 1030 G8</t>
  </si>
  <si>
    <t>Spyker14</t>
  </si>
  <si>
    <t>X360 1040 G8</t>
  </si>
  <si>
    <t>Sylva</t>
  </si>
  <si>
    <t>Dragonfly G2</t>
  </si>
  <si>
    <t>2021 Mobile Workstation</t>
  </si>
  <si>
    <t>AustinHealey</t>
  </si>
  <si>
    <t>Zoobk Fury 17 G8</t>
  </si>
  <si>
    <t>Vector</t>
  </si>
  <si>
    <t>Zbook Fury 15 G8</t>
  </si>
  <si>
    <t>Cadillac W15</t>
  </si>
  <si>
    <t>Zbook Firefly 15 G8</t>
  </si>
  <si>
    <t>Corvette W14</t>
  </si>
  <si>
    <t>Zbook Firefly 14 G8</t>
  </si>
  <si>
    <t>Ronin 13</t>
  </si>
  <si>
    <t>HP ProBook 430 G9 Notebook PC</t>
  </si>
  <si>
    <t>HP ZHAN 66 Pro 14 G5 Notebook PC</t>
  </si>
  <si>
    <t>Pixie</t>
  </si>
  <si>
    <t>HP Pro x360 435 13.3 inch G9 Notebook PC</t>
  </si>
  <si>
    <t>Prima 14</t>
  </si>
  <si>
    <t>HP ProBook 445 14 inch G9 Notebook PC</t>
  </si>
  <si>
    <t>Prima 15</t>
  </si>
  <si>
    <t>HP ProBook 455 15.6 inch G9 Notebook PC</t>
  </si>
  <si>
    <t>Darkstar 01</t>
  </si>
  <si>
    <t>HP ZHAN 66 Pro A 14 G5 Notebook PC</t>
  </si>
  <si>
    <t>Thundra14</t>
  </si>
  <si>
    <t>Thundra15</t>
  </si>
  <si>
    <t>HP EliteBook 655 15.6 inch G9 Notebook PC</t>
  </si>
  <si>
    <t xml:space="preserve">Lockheed13 </t>
  </si>
  <si>
    <t>HP EliteBook 835 13 inch G9 Notebook PC</t>
  </si>
  <si>
    <t>Lockheed14</t>
  </si>
  <si>
    <t>Lockheed16</t>
  </si>
  <si>
    <t>HP EliteBook 865 16 inch G9 Notebook PC</t>
  </si>
  <si>
    <t>2023/01/19</t>
  </si>
  <si>
    <t>Starfox</t>
  </si>
  <si>
    <t>HP Elite Dragonfly 13.5 inch G3 Notebook PC</t>
  </si>
  <si>
    <t>Vision15</t>
  </si>
  <si>
    <t>HP ZBook Fury 15.6 inch G9 Mobile Workstation PC</t>
  </si>
  <si>
    <t>Inertia</t>
  </si>
  <si>
    <t>HP ZBook Power 15.6 inch G9 Mobile Workstation PC</t>
  </si>
  <si>
    <t>2021 400 series</t>
  </si>
  <si>
    <t>Reeds</t>
  </si>
  <si>
    <t>HP ProBook 430 G8</t>
  </si>
  <si>
    <t>2023/03/29</t>
  </si>
  <si>
    <t>2023/04/07</t>
  </si>
  <si>
    <t>2023/03/31</t>
  </si>
  <si>
    <t>2023/04/21</t>
  </si>
  <si>
    <t>2023/05/05</t>
  </si>
  <si>
    <t>2023/05/19</t>
  </si>
  <si>
    <t>2023/07/28</t>
  </si>
  <si>
    <t>2023/08/14</t>
  </si>
  <si>
    <t>2023/09/15</t>
  </si>
  <si>
    <t>2023/10/07</t>
  </si>
  <si>
    <t>P013QW-B2R</t>
  </si>
  <si>
    <r>
      <t xml:space="preserve">For:
2023 NPI platforms
2023 CQ1 platforms
</t>
    </r>
    <r>
      <rPr>
        <sz val="11"/>
        <rFont val="Calibri"/>
        <family val="2"/>
      </rPr>
      <t xml:space="preserve">
Changes:
-  Bug 1043766: SIO2139466 - [SplendorR][SI] Headphones cannot be selected when plugged in with myhp is launched
-  Bug 1006045: Customers reporting "Windows cannot find C:\Program Files\...\DesktopExtension.exe" on Windows 11 10.0.22000.xxx Sun Valley 1
-  Bug 1059729: SIO2143995 - [Knucker] MyHp show in Traditional Chinese instead of SC in AB5(HK) image when choose Simplify Chinese during OOBE.
-  Bug 1061952: SIO2145741 - [Zonin] "HP Immersive Audio" option in "Equalizer" page will not be shown when selected "Movie" mode.
-  Bug 1062469: [SFT_MPH][Equalizer] Equalizer module is disable in myHP v.11.52242.71.0 build.
-  User Story 1057485: [IC] Disable VBG feature in IC</t>
    </r>
  </si>
  <si>
    <t>Programmable Key
SmartCam2
SmartCam3 (3.3.33.0)
IC1.0
Smart Experiences
Featured Applications
Settings</t>
  </si>
  <si>
    <t>P013QW-B2S</t>
  </si>
  <si>
    <r>
      <t xml:space="preserve">For:
Pan, Pax, Knuckers
</t>
    </r>
    <r>
      <rPr>
        <sz val="11"/>
        <rFont val="Calibri"/>
        <family val="2"/>
      </rPr>
      <t xml:space="preserve">
Changes:
- A special build that removes SmartCam for Pan, Pax and Knuckers</t>
    </r>
  </si>
  <si>
    <t>Programmable Key
IC1.0
Smart Experiences
Featured Applications
Settings</t>
  </si>
  <si>
    <t>P013QW-B2T</t>
  </si>
  <si>
    <r>
      <t xml:space="preserve">For:
Pan, Pax, Knuckers (2/10 Add Roc/Kraken/Warg)
</t>
    </r>
    <r>
      <rPr>
        <sz val="11"/>
        <rFont val="Calibri"/>
        <family val="2"/>
      </rPr>
      <t xml:space="preserve">
Changes:
- Add Detailed File Info for DRDVD</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</si>
</sst>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5">
    <font>
      <sz val="11"/>
      <color theme="1"/>
      <name val="Calibri"/>
      <family val="2"/>
      <scheme val="minor"/>
    </font>
    <font>
      <b/>
      <sz val="11"/>
      <color theme="0"/>
      <name val="Calibri"/>
      <family val="2"/>
    </font>
    <font>
      <sz val="11"/>
      <name val="Calibri"/>
      <family val="2"/>
    </font>
    <font>
      <sz val="11"/>
      <color rgb="FFFF0000"/>
      <name val="Calibri"/>
      <family val="2"/>
    </font>
    <font>
      <sz val="11"/>
      <color rgb="FF000000"/>
      <name val="Calibri"/>
      <family val="2"/>
    </font>
    <font>
      <sz val="11"/>
      <color theme="1"/>
      <name val="Calibri"/>
      <family val="2"/>
    </font>
    <font>
      <sz val="11"/>
      <color indexed="9"/>
      <name val="Calibri"/>
      <family val="2"/>
    </font>
    <font>
      <sz val="11"/>
      <color rgb="FF000000"/>
      <name val="Calibri"/>
      <family val="2"/>
      <scheme val="minor"/>
    </font>
    <font>
      <sz val="32"/>
      <color theme="1" tint="0.249977111117893"/>
      <name val="Verdana"/>
      <family val="2"/>
    </font>
    <font>
      <sz val="11"/>
      <color theme="1" tint="0.14999847407452621"/>
      <name val="Verdana"/>
      <family val="2"/>
    </font>
    <font>
      <sz val="12"/>
      <color theme="1" tint="0.14999847407452621"/>
      <name val="Verdana"/>
      <family val="2"/>
    </font>
    <font>
      <b/>
      <sz val="16"/>
      <color theme="1" tint="0.14999847407452621"/>
      <name val="Verdana"/>
      <family val="2"/>
    </font>
    <font>
      <sz val="14"/>
      <color theme="1" tint="0.14999847407452621"/>
      <name val="Verdana"/>
      <family val="2"/>
    </font>
    <font>
      <sz val="11"/>
      <color theme="1"/>
      <name val="Verdana"/>
      <family val="2"/>
    </font>
    <font>
      <b/>
      <sz val="12"/>
      <color theme="1" tint="0.249977111117893"/>
      <name val="Verdana"/>
      <family val="2"/>
    </font>
    <font>
      <sz val="12"/>
      <color theme="1" tint="0.249977111117893"/>
      <name val="Verdana"/>
      <family val="2"/>
    </font>
    <font>
      <sz val="14"/>
      <color theme="1"/>
      <name val="Verdana"/>
      <family val="2"/>
    </font>
    <font>
      <b/>
      <sz val="12"/>
      <color theme="1"/>
      <name val="Verdana"/>
      <family val="2"/>
    </font>
    <font>
      <b/>
      <sz val="14"/>
      <color theme="1" tint="0.249977111117893"/>
      <name val="Verdana"/>
      <family val="2"/>
    </font>
    <font>
      <b/>
      <sz val="14"/>
      <color theme="0"/>
      <name val="Verdana"/>
      <family val="2"/>
    </font>
    <font>
      <b/>
      <sz val="14"/>
      <color theme="9" tint="-0.249977111117893"/>
      <name val="Verdana"/>
      <family val="2"/>
    </font>
    <font>
      <b/>
      <sz val="14"/>
      <color theme="7" tint="-0.249977111117893"/>
      <name val="Verdana"/>
      <family val="2"/>
    </font>
    <font>
      <b/>
      <sz val="14"/>
      <color theme="4" tint="-0.249977111117893"/>
      <name val="Verdana"/>
      <family val="2"/>
    </font>
    <font>
      <b/>
      <sz val="14"/>
      <color theme="8" tint="-0.249977111117893"/>
      <name val="Verdana"/>
      <family val="2"/>
    </font>
    <font>
      <b/>
      <sz val="14"/>
      <color theme="5"/>
      <name val="Verdana"/>
      <family val="2"/>
    </font>
    <font>
      <sz val="10"/>
      <color theme="1" tint="0.14999847407452621"/>
      <name val="Verdana"/>
      <family val="2"/>
    </font>
    <font>
      <sz val="12"/>
      <color theme="0"/>
      <name val="Verdana"/>
      <family val="2"/>
    </font>
    <font>
      <sz val="10"/>
      <color theme="1" tint="0.249977111117893"/>
      <name val="Verdana"/>
      <family val="2"/>
    </font>
    <font>
      <sz val="11"/>
      <name val="Calibri"/>
      <family val="2"/>
      <scheme val="minor"/>
    </font>
    <font>
      <sz val="9"/>
      <name val="Calibri"/>
      <family val="3"/>
      <charset val="136"/>
      <scheme val="minor"/>
    </font>
    <font>
      <sz val="11"/>
      <color theme="0"/>
      <name val="Calibri"/>
      <family val="2"/>
      <scheme val="minor"/>
    </font>
    <font>
      <b/>
      <sz val="11"/>
      <color theme="1" tint="0.249977111117893"/>
      <name val="Verdana"/>
      <family val="2"/>
    </font>
    <font>
      <sz val="8"/>
      <name val="Calibri"/>
      <family val="2"/>
      <scheme val="minor"/>
    </font>
    <font>
      <sz val="12"/>
      <name val="Verdana"/>
      <family val="2"/>
    </font>
    <font>
      <sz val="11"/>
      <name val="Calibri"/>
      <family val="1"/>
      <scheme val="minor"/>
    </font>
  </fonts>
  <fills count="62">
    <fill>
      <patternFill patternType="none"/>
    </fill>
    <fill>
      <patternFill patternType="gray125"/>
    </fill>
    <fill>
      <patternFill patternType="solid">
        <fgColor theme="0" tint="-4.9989318521683403E-2"/>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theme="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rgb="FF4F81BD"/>
        <bgColor indexed="64"/>
      </patternFill>
    </fill>
    <fill>
      <patternFill patternType="solid">
        <fgColor indexed="10"/>
      </patternFill>
    </fill>
    <fill>
      <patternFill patternType="solid">
        <fgColor rgb="FF92D050"/>
        <bgColor indexed="64"/>
      </patternFill>
    </fill>
    <fill>
      <patternFill patternType="solid">
        <fgColor theme="8" tint="0.39997558519241921"/>
        <bgColor rgb="FF000000"/>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FF0000"/>
        <bgColor rgb="FF000000"/>
      </patternFill>
    </fill>
    <fill>
      <patternFill patternType="solid">
        <fgColor theme="7"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7030A0"/>
        <bgColor indexed="64"/>
      </patternFill>
    </fill>
    <fill>
      <patternFill patternType="solid">
        <fgColor rgb="FF00B0F0"/>
        <bgColor indexed="64"/>
      </patternFill>
    </fill>
    <fill>
      <patternFill patternType="solid">
        <fgColor rgb="FF00B050"/>
        <bgColor rgb="FF000000"/>
      </patternFill>
    </fill>
    <fill>
      <patternFill patternType="solid">
        <fgColor theme="7" tint="0.39997558519241921"/>
        <bgColor indexed="64"/>
      </patternFill>
    </fill>
    <fill>
      <patternFill patternType="solid">
        <fgColor theme="2" tint="-0.499984740745262"/>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7" tint="-0.249977111117893"/>
        <bgColor rgb="FF000000"/>
      </patternFill>
    </fill>
    <fill>
      <patternFill patternType="solid">
        <fgColor theme="0" tint="-0.14999847407452621"/>
        <bgColor rgb="FF000000"/>
      </patternFill>
    </fill>
    <fill>
      <patternFill patternType="solid">
        <fgColor theme="0" tint="-0.34998626667073579"/>
        <bgColor rgb="FF000000"/>
      </patternFill>
    </fill>
    <fill>
      <patternFill patternType="solid">
        <fgColor rgb="FF7030A0"/>
        <bgColor rgb="FF000000"/>
      </patternFill>
    </fill>
    <fill>
      <patternFill patternType="solid">
        <fgColor rgb="FF00B0F0"/>
        <bgColor rgb="FF000000"/>
      </patternFill>
    </fill>
    <fill>
      <patternFill patternType="solid">
        <fgColor rgb="FF00B050"/>
        <bgColor indexed="64"/>
      </patternFill>
    </fill>
    <fill>
      <patternFill patternType="solid">
        <fgColor theme="5" tint="-0.249977111117893"/>
        <bgColor rgb="FF000000"/>
      </patternFill>
    </fill>
    <fill>
      <patternFill patternType="solid">
        <fgColor rgb="FF92D050"/>
        <bgColor rgb="FF000000"/>
      </patternFill>
    </fill>
    <fill>
      <patternFill patternType="solid">
        <fgColor theme="5" tint="0.59999389629810485"/>
        <bgColor rgb="FF000000"/>
      </patternFill>
    </fill>
    <fill>
      <patternFill patternType="solid">
        <fgColor theme="3" tint="0.79998168889431442"/>
        <bgColor rgb="FF000000"/>
      </patternFill>
    </fill>
    <fill>
      <patternFill patternType="solid">
        <fgColor theme="0"/>
        <bgColor rgb="FF000000"/>
      </patternFill>
    </fill>
    <fill>
      <patternFill patternType="solid">
        <fgColor rgb="FFFFC000"/>
        <bgColor rgb="FF000000"/>
      </patternFill>
    </fill>
    <fill>
      <patternFill patternType="solid">
        <fgColor theme="8"/>
        <bgColor rgb="FF000000"/>
      </patternFill>
    </fill>
    <fill>
      <patternFill patternType="solid">
        <fgColor rgb="FFFFFF00"/>
        <bgColor rgb="FF000000"/>
      </patternFill>
    </fill>
    <fill>
      <patternFill patternType="solid">
        <fgColor theme="5" tint="0.39997558519241921"/>
        <bgColor indexed="64"/>
      </patternFill>
    </fill>
    <fill>
      <patternFill patternType="solid">
        <fgColor theme="5" tint="0.39997558519241921"/>
        <bgColor rgb="FF000000"/>
      </patternFill>
    </fill>
    <fill>
      <patternFill patternType="solid">
        <fgColor theme="9" tint="0.39997558519241921"/>
        <bgColor rgb="FF000000"/>
      </patternFill>
    </fill>
    <fill>
      <patternFill patternType="solid">
        <fgColor theme="4" tint="0.39997558519241921"/>
        <bgColor indexed="64"/>
      </patternFill>
    </fill>
    <fill>
      <patternFill patternType="solid">
        <fgColor theme="4" tint="0.39997558519241921"/>
        <bgColor rgb="FF000000"/>
      </patternFill>
    </fill>
    <fill>
      <patternFill patternType="solid">
        <fgColor theme="6" tint="0.39997558519241921"/>
        <bgColor indexed="64"/>
      </patternFill>
    </fill>
    <fill>
      <patternFill patternType="solid">
        <fgColor theme="6" tint="0.39997558519241921"/>
        <bgColor rgb="FF000000"/>
      </patternFill>
    </fill>
    <fill>
      <patternFill patternType="solid">
        <fgColor theme="8" tint="0.59999389629810485"/>
        <bgColor indexed="64"/>
      </patternFill>
    </fill>
    <fill>
      <patternFill patternType="solid">
        <fgColor theme="8" tint="0.39997558519241921"/>
        <bgColor indexed="64"/>
      </patternFill>
    </fill>
    <fill>
      <patternFill patternType="solid">
        <fgColor theme="7" tint="0.79998168889431442"/>
        <bgColor rgb="FF000000"/>
      </patternFill>
    </fill>
    <fill>
      <patternFill patternType="solid">
        <fgColor rgb="FF8EA9DB"/>
        <bgColor indexed="64"/>
      </patternFill>
    </fill>
    <fill>
      <patternFill patternType="solid">
        <fgColor theme="6"/>
        <bgColor indexed="64"/>
      </patternFill>
    </fill>
    <fill>
      <patternFill patternType="solid">
        <fgColor theme="6"/>
        <bgColor rgb="FF000000"/>
      </patternFill>
    </fill>
  </fills>
  <borders count="108">
    <border>
      <left/>
      <right/>
      <top/>
      <bottom/>
      <diagonal/>
    </border>
    <border>
      <left/>
      <right style="thin">
        <color theme="0" tint="-0.14996795556505021"/>
      </right>
      <top/>
      <bottom/>
      <diagonal/>
    </border>
    <border>
      <left/>
      <right/>
      <top/>
      <bottom style="thin">
        <color theme="0" tint="-0.14993743705557422"/>
      </bottom>
      <diagonal/>
    </border>
    <border>
      <left style="thin">
        <color theme="0" tint="-0.14996795556505021"/>
      </left>
      <right style="thin">
        <color theme="0" tint="-0.14996795556505021"/>
      </right>
      <top style="thin">
        <color theme="0" tint="-0.14996795556505021"/>
      </top>
      <bottom/>
      <diagonal/>
    </border>
    <border>
      <left/>
      <right/>
      <top/>
      <bottom style="thin">
        <color theme="7" tint="0.39997558519241921"/>
      </bottom>
      <diagonal/>
    </border>
    <border>
      <left/>
      <right style="thin">
        <color theme="7"/>
      </right>
      <top/>
      <bottom style="thin">
        <color theme="7" tint="0.39997558519241921"/>
      </bottom>
      <diagonal/>
    </border>
    <border>
      <left/>
      <right/>
      <top style="thin">
        <color theme="4" tint="0.59999389629810485"/>
      </top>
      <bottom/>
      <diagonal/>
    </border>
    <border>
      <left/>
      <right style="thin">
        <color theme="4"/>
      </right>
      <top style="thin">
        <color theme="4" tint="0.59999389629810485"/>
      </top>
      <bottom/>
      <diagonal/>
    </border>
    <border>
      <left/>
      <right/>
      <top/>
      <bottom style="thin">
        <color theme="8" tint="0.39997558519241921"/>
      </bottom>
      <diagonal/>
    </border>
    <border>
      <left/>
      <right style="thin">
        <color theme="8"/>
      </right>
      <top/>
      <bottom style="thin">
        <color theme="8" tint="0.39997558519241921"/>
      </bottom>
      <diagonal/>
    </border>
    <border>
      <left style="thin">
        <color theme="8"/>
      </left>
      <right/>
      <top/>
      <bottom/>
      <diagonal/>
    </border>
    <border>
      <left/>
      <right style="thin">
        <color theme="5"/>
      </right>
      <top/>
      <bottom/>
      <diagonal/>
    </border>
    <border>
      <left style="thin">
        <color theme="7"/>
      </left>
      <right style="thin">
        <color theme="0" tint="-0.14999847407452621"/>
      </right>
      <top style="thin">
        <color theme="0" tint="-0.149998474074526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5"/>
      </left>
      <right style="thin">
        <color theme="9"/>
      </right>
      <top style="thin">
        <color theme="9" tint="0.39997558519241921"/>
      </top>
      <bottom/>
      <diagonal/>
    </border>
    <border>
      <left style="thin">
        <color theme="9"/>
      </left>
      <right style="thin">
        <color theme="9"/>
      </right>
      <top style="thin">
        <color theme="9" tint="0.39997558519241921"/>
      </top>
      <bottom/>
      <diagonal/>
    </border>
    <border>
      <left style="thin">
        <color theme="9"/>
      </left>
      <right style="thin">
        <color theme="7"/>
      </right>
      <top style="thin">
        <color theme="7" tint="0.39997558519241921"/>
      </top>
      <bottom/>
      <diagonal/>
    </border>
    <border>
      <left style="thin">
        <color theme="7"/>
      </left>
      <right style="thin">
        <color theme="7"/>
      </right>
      <top style="thin">
        <color theme="7" tint="0.39997558519241921"/>
      </top>
      <bottom/>
      <diagonal/>
    </border>
    <border>
      <left style="thin">
        <color theme="4"/>
      </left>
      <right style="thin">
        <color theme="4"/>
      </right>
      <top/>
      <bottom style="thin">
        <color theme="4" tint="0.59999389629810485"/>
      </bottom>
      <diagonal/>
    </border>
    <border>
      <left/>
      <right style="thin">
        <color theme="4"/>
      </right>
      <top/>
      <bottom style="thin">
        <color theme="4" tint="0.59999389629810485"/>
      </bottom>
      <diagonal/>
    </border>
    <border>
      <left style="thin">
        <color theme="4"/>
      </left>
      <right style="thin">
        <color theme="8"/>
      </right>
      <top style="thin">
        <color theme="8" tint="0.39997558519241921"/>
      </top>
      <bottom/>
      <diagonal/>
    </border>
    <border>
      <left style="thin">
        <color theme="8"/>
      </left>
      <right style="thin">
        <color theme="8"/>
      </right>
      <top style="thin">
        <color theme="8" tint="0.39997558519241921"/>
      </top>
      <bottom/>
      <diagonal/>
    </border>
    <border>
      <left style="thin">
        <color theme="8"/>
      </left>
      <right style="thin">
        <color theme="5"/>
      </right>
      <top style="thin">
        <color theme="5" tint="0.59999389629810485"/>
      </top>
      <bottom/>
      <diagonal/>
    </border>
    <border>
      <left style="thin">
        <color theme="5"/>
      </left>
      <right style="thin">
        <color theme="5"/>
      </right>
      <top style="thin">
        <color theme="5" tint="0.39997558519241921"/>
      </top>
      <bottom/>
      <diagonal/>
    </border>
    <border>
      <left style="thin">
        <color theme="8"/>
      </left>
      <right style="thin">
        <color theme="5"/>
      </right>
      <top style="thin">
        <color theme="5" tint="0.59999389629810485"/>
      </top>
      <bottom style="thin">
        <color theme="5" tint="0.59999389629810485"/>
      </bottom>
      <diagonal/>
    </border>
    <border>
      <left style="thin">
        <color theme="5"/>
      </left>
      <right style="thin">
        <color theme="5"/>
      </right>
      <top style="thin">
        <color theme="5" tint="0.39997558519241921"/>
      </top>
      <bottom style="thin">
        <color theme="5" tint="0.59999389629810485"/>
      </bottom>
      <diagonal/>
    </border>
    <border>
      <left style="thin">
        <color theme="7"/>
      </left>
      <right style="thin">
        <color theme="0" tint="-0.14999847407452621"/>
      </right>
      <top style="thin">
        <color theme="0" tint="-0.14996795556505021"/>
      </top>
      <bottom style="thin">
        <color theme="2"/>
      </bottom>
      <diagonal/>
    </border>
    <border>
      <left style="thin">
        <color theme="0" tint="-0.14996795556505021"/>
      </left>
      <right style="thin">
        <color theme="0" tint="-0.14993743705557422"/>
      </right>
      <top style="thin">
        <color theme="0" tint="-0.14996795556505021"/>
      </top>
      <bottom style="thin">
        <color theme="0" tint="-0.14999847407452621"/>
      </bottom>
      <diagonal/>
    </border>
    <border>
      <left style="thin">
        <color theme="0" tint="-0.14993743705557422"/>
      </left>
      <right style="thin">
        <color theme="0" tint="-0.14996795556505021"/>
      </right>
      <top style="thin">
        <color theme="0" tint="-0.14996795556505021"/>
      </top>
      <bottom style="thin">
        <color theme="0" tint="-0.14999847407452621"/>
      </bottom>
      <diagonal/>
    </border>
    <border>
      <left/>
      <right style="thin">
        <color theme="4"/>
      </right>
      <top/>
      <bottom style="thin">
        <color theme="0" tint="-0.14999847407452621"/>
      </bottom>
      <diagonal/>
    </border>
    <border>
      <left style="thin">
        <color theme="5"/>
      </left>
      <right style="thin">
        <color theme="9"/>
      </right>
      <top style="thin">
        <color theme="2"/>
      </top>
      <bottom style="thin">
        <color theme="0" tint="-0.14999847407452621"/>
      </bottom>
      <diagonal/>
    </border>
    <border>
      <left style="thin">
        <color theme="9"/>
      </left>
      <right style="thin">
        <color theme="9"/>
      </right>
      <top style="thin">
        <color theme="2"/>
      </top>
      <bottom style="thin">
        <color theme="0" tint="-0.14999847407452621"/>
      </bottom>
      <diagonal/>
    </border>
    <border>
      <left style="thin">
        <color theme="9"/>
      </left>
      <right style="thin">
        <color theme="7"/>
      </right>
      <top/>
      <bottom style="thin">
        <color theme="0" tint="-0.14999847407452621"/>
      </bottom>
      <diagonal/>
    </border>
    <border>
      <left style="thin">
        <color theme="7"/>
      </left>
      <right style="thin">
        <color theme="7"/>
      </right>
      <top/>
      <bottom style="thin">
        <color theme="0" tint="-0.14999847407452621"/>
      </bottom>
      <diagonal/>
    </border>
    <border>
      <left style="thin">
        <color theme="4"/>
      </left>
      <right style="thin">
        <color theme="4"/>
      </right>
      <top/>
      <bottom style="thin">
        <color theme="0" tint="-0.14999847407452621"/>
      </bottom>
      <diagonal/>
    </border>
    <border>
      <left style="thin">
        <color theme="4"/>
      </left>
      <right style="thin">
        <color theme="4"/>
      </right>
      <top style="thin">
        <color theme="4" tint="0.59999389629810485"/>
      </top>
      <bottom style="thin">
        <color theme="0" tint="-0.14999847407452621"/>
      </bottom>
      <diagonal/>
    </border>
    <border>
      <left style="thin">
        <color theme="4"/>
      </left>
      <right style="thin">
        <color theme="8"/>
      </right>
      <top/>
      <bottom style="thin">
        <color theme="0" tint="-0.14999847407452621"/>
      </bottom>
      <diagonal/>
    </border>
    <border>
      <left style="thin">
        <color theme="8"/>
      </left>
      <right style="thin">
        <color theme="8"/>
      </right>
      <top/>
      <bottom style="thin">
        <color theme="0" tint="-0.14999847407452621"/>
      </bottom>
      <diagonal/>
    </border>
    <border>
      <left style="thin">
        <color theme="8"/>
      </left>
      <right/>
      <top/>
      <bottom style="thin">
        <color theme="0" tint="-0.14999847407452621"/>
      </bottom>
      <diagonal/>
    </border>
    <border>
      <left/>
      <right style="thin">
        <color theme="5"/>
      </right>
      <top/>
      <bottom style="thin">
        <color theme="0" tint="-0.14999847407452621"/>
      </bottom>
      <diagonal/>
    </border>
    <border>
      <left style="thin">
        <color theme="5"/>
      </left>
      <right style="thin">
        <color theme="5"/>
      </right>
      <top/>
      <bottom style="thin">
        <color theme="0" tint="-0.14999847407452621"/>
      </bottom>
      <diagonal/>
    </border>
    <border>
      <left style="thin">
        <color theme="8"/>
      </left>
      <right style="thin">
        <color theme="5"/>
      </right>
      <top style="thin">
        <color theme="5" tint="0.59999389629810485"/>
      </top>
      <bottom style="thin">
        <color theme="0" tint="-0.14999847407452621"/>
      </bottom>
      <diagonal/>
    </border>
    <border>
      <left style="thin">
        <color theme="5"/>
      </left>
      <right style="thin">
        <color theme="5"/>
      </right>
      <top style="thin">
        <color theme="5" tint="0.59999389629810485"/>
      </top>
      <bottom style="thin">
        <color theme="0" tint="-0.14999847407452621"/>
      </bottom>
      <diagonal/>
    </border>
    <border>
      <left style="thin">
        <color theme="7"/>
      </left>
      <right style="thin">
        <color theme="0" tint="-0.14999847407452621"/>
      </right>
      <top style="thin">
        <color theme="2"/>
      </top>
      <bottom style="thin">
        <color theme="0" tint="-0.14999847407452621"/>
      </bottom>
      <diagonal/>
    </border>
    <border>
      <left style="thin">
        <color theme="5"/>
      </left>
      <right style="thin">
        <color theme="9"/>
      </right>
      <top/>
      <bottom style="thin">
        <color theme="0" tint="-0.14999847407452621"/>
      </bottom>
      <diagonal/>
    </border>
    <border>
      <left style="thin">
        <color theme="9"/>
      </left>
      <right style="thin">
        <color theme="9"/>
      </right>
      <top/>
      <bottom style="thin">
        <color theme="0" tint="-0.14999847407452621"/>
      </bottom>
      <diagonal/>
    </border>
    <border>
      <left style="thin">
        <color theme="8"/>
      </left>
      <right style="thin">
        <color theme="5"/>
      </right>
      <top/>
      <bottom style="thin">
        <color theme="0" tint="-0.14999847407452621"/>
      </bottom>
      <diagonal/>
    </border>
    <border>
      <left style="thin">
        <color theme="7"/>
      </left>
      <right style="thin">
        <color theme="0" tint="-0.14999847407452621"/>
      </right>
      <top/>
      <bottom style="thin">
        <color theme="0" tint="-0.14999847407452621"/>
      </bottom>
      <diagonal/>
    </border>
    <border>
      <left/>
      <right/>
      <top/>
      <bottom style="thin">
        <color theme="0" tint="-0.14999847407452621"/>
      </bottom>
      <diagonal/>
    </border>
    <border>
      <left style="thin">
        <color theme="4"/>
      </left>
      <right/>
      <top/>
      <bottom style="thin">
        <color theme="0" tint="-0.14999847407452621"/>
      </bottom>
      <diagonal/>
    </border>
    <border>
      <left style="thin">
        <color theme="5"/>
      </left>
      <right style="thin">
        <color theme="9"/>
      </right>
      <top style="thin">
        <color theme="0" tint="-0.14999847407452621"/>
      </top>
      <bottom style="thin">
        <color theme="0" tint="-0.14999847407452621"/>
      </bottom>
      <diagonal/>
    </border>
    <border>
      <left style="thin">
        <color theme="9"/>
      </left>
      <right style="thin">
        <color theme="9"/>
      </right>
      <top style="thin">
        <color theme="0" tint="-0.14999847407452621"/>
      </top>
      <bottom style="thin">
        <color theme="0" tint="-0.14999847407452621"/>
      </bottom>
      <diagonal/>
    </border>
    <border>
      <left style="thin">
        <color theme="9"/>
      </left>
      <right style="thin">
        <color theme="7"/>
      </right>
      <top style="thin">
        <color theme="0" tint="-0.14999847407452621"/>
      </top>
      <bottom style="thin">
        <color theme="0" tint="-0.14999847407452621"/>
      </bottom>
      <diagonal/>
    </border>
    <border>
      <left style="thin">
        <color theme="7"/>
      </left>
      <right style="thin">
        <color theme="7"/>
      </right>
      <top style="thin">
        <color theme="0" tint="-0.14999847407452621"/>
      </top>
      <bottom style="thin">
        <color theme="0" tint="-0.14999847407452621"/>
      </bottom>
      <diagonal/>
    </border>
    <border>
      <left style="thin">
        <color theme="4"/>
      </left>
      <right/>
      <top style="thin">
        <color theme="0" tint="-0.14999847407452621"/>
      </top>
      <bottom style="thin">
        <color theme="0" tint="-0.14999847407452621"/>
      </bottom>
      <diagonal/>
    </border>
    <border>
      <left style="thin">
        <color theme="4"/>
      </left>
      <right style="thin">
        <color theme="4"/>
      </right>
      <top style="thin">
        <color theme="0" tint="-0.14999847407452621"/>
      </top>
      <bottom style="thin">
        <color theme="0" tint="-0.14999847407452621"/>
      </bottom>
      <diagonal/>
    </border>
    <border>
      <left style="thin">
        <color theme="4"/>
      </left>
      <right style="thin">
        <color theme="8"/>
      </right>
      <top style="thin">
        <color theme="0" tint="-0.14999847407452621"/>
      </top>
      <bottom style="thin">
        <color theme="0" tint="-0.14999847407452621"/>
      </bottom>
      <diagonal/>
    </border>
    <border>
      <left style="thin">
        <color theme="8"/>
      </left>
      <right style="thin">
        <color theme="8"/>
      </right>
      <top style="thin">
        <color theme="0" tint="-0.14999847407452621"/>
      </top>
      <bottom style="thin">
        <color theme="0" tint="-0.14999847407452621"/>
      </bottom>
      <diagonal/>
    </border>
    <border>
      <left style="thin">
        <color theme="8"/>
      </left>
      <right style="thin">
        <color theme="5"/>
      </right>
      <top style="thin">
        <color theme="0" tint="-0.14999847407452621"/>
      </top>
      <bottom style="thin">
        <color theme="0" tint="-0.14999847407452621"/>
      </bottom>
      <diagonal/>
    </border>
    <border>
      <left style="thin">
        <color theme="5"/>
      </left>
      <right style="thin">
        <color theme="5"/>
      </right>
      <top style="thin">
        <color theme="0" tint="-0.14999847407452621"/>
      </top>
      <bottom style="thin">
        <color theme="0" tint="-0.14999847407452621"/>
      </bottom>
      <diagonal/>
    </border>
    <border>
      <left style="thin">
        <color theme="7"/>
      </left>
      <right style="thin">
        <color theme="0" tint="-0.14999847407452621"/>
      </right>
      <top style="thin">
        <color theme="0" tint="-0.14999847407452621"/>
      </top>
      <bottom style="thin">
        <color theme="0" tint="-0.14999847407452621"/>
      </bottom>
      <diagonal/>
    </border>
    <border>
      <left style="thin">
        <color theme="5"/>
      </left>
      <right style="thin">
        <color theme="9"/>
      </right>
      <top/>
      <bottom style="thin">
        <color theme="9"/>
      </bottom>
      <diagonal/>
    </border>
    <border>
      <left style="thin">
        <color theme="9"/>
      </left>
      <right style="thin">
        <color theme="9"/>
      </right>
      <top/>
      <bottom style="thin">
        <color theme="9"/>
      </bottom>
      <diagonal/>
    </border>
    <border>
      <left style="thin">
        <color theme="9"/>
      </left>
      <right style="thin">
        <color theme="7"/>
      </right>
      <top/>
      <bottom style="thin">
        <color theme="7"/>
      </bottom>
      <diagonal/>
    </border>
    <border>
      <left style="thin">
        <color theme="7"/>
      </left>
      <right style="thin">
        <color theme="7"/>
      </right>
      <top/>
      <bottom style="thin">
        <color theme="7"/>
      </bottom>
      <diagonal/>
    </border>
    <border>
      <left style="thin">
        <color theme="4"/>
      </left>
      <right style="thin">
        <color theme="4"/>
      </right>
      <top/>
      <bottom style="thin">
        <color theme="4"/>
      </bottom>
      <diagonal/>
    </border>
    <border>
      <left/>
      <right style="thin">
        <color theme="4"/>
      </right>
      <top/>
      <bottom style="thin">
        <color theme="4"/>
      </bottom>
      <diagonal/>
    </border>
    <border>
      <left/>
      <right/>
      <top/>
      <bottom style="thin">
        <color theme="4"/>
      </bottom>
      <diagonal/>
    </border>
    <border>
      <left style="thin">
        <color theme="4"/>
      </left>
      <right style="thin">
        <color theme="8"/>
      </right>
      <top/>
      <bottom style="thin">
        <color theme="8"/>
      </bottom>
      <diagonal/>
    </border>
    <border>
      <left style="thin">
        <color theme="8"/>
      </left>
      <right style="thin">
        <color theme="8"/>
      </right>
      <top/>
      <bottom style="thin">
        <color theme="8"/>
      </bottom>
      <diagonal/>
    </border>
    <border>
      <left style="thin">
        <color theme="8"/>
      </left>
      <right style="thin">
        <color theme="5"/>
      </right>
      <top/>
      <bottom style="thin">
        <color theme="5"/>
      </bottom>
      <diagonal/>
    </border>
    <border>
      <left style="thin">
        <color theme="5"/>
      </left>
      <right style="thin">
        <color theme="5"/>
      </right>
      <top/>
      <bottom style="thin">
        <color theme="5"/>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theme="0" tint="-0.14999847407452621"/>
      </top>
      <bottom style="thin">
        <color theme="0" tint="-0.14999847407452621"/>
      </bottom>
      <diagonal/>
    </border>
    <border>
      <left style="thin">
        <color theme="0" tint="-0.14996795556505021"/>
      </left>
      <right style="thin">
        <color theme="0" tint="-0.14993743705557422"/>
      </right>
      <top style="thin">
        <color theme="0" tint="-0.14993743705557422"/>
      </top>
      <bottom style="thin">
        <color theme="0" tint="-0.14999847407452621"/>
      </bottom>
      <diagonal/>
    </border>
    <border>
      <left style="thin">
        <color theme="0" tint="-0.14993743705557422"/>
      </left>
      <right style="thin">
        <color theme="0" tint="-0.14993743705557422"/>
      </right>
      <top style="thin">
        <color theme="0" tint="-0.14993743705557422"/>
      </top>
      <bottom style="thin">
        <color theme="0" tint="-0.14999847407452621"/>
      </bottom>
      <diagonal/>
    </border>
    <border>
      <left style="thin">
        <color theme="0" tint="-0.14996795556505021"/>
      </left>
      <right style="thin">
        <color theme="0" tint="-0.14993743705557422"/>
      </right>
      <top/>
      <bottom style="thin">
        <color theme="0" tint="-0.14999847407452621"/>
      </bottom>
      <diagonal/>
    </border>
    <border>
      <left style="thin">
        <color theme="0" tint="-0.14993743705557422"/>
      </left>
      <right style="thin">
        <color theme="0" tint="-0.14993743705557422"/>
      </right>
      <top/>
      <bottom style="thin">
        <color theme="0" tint="-0.14999847407452621"/>
      </bottom>
      <diagonal/>
    </border>
    <border>
      <left style="thin">
        <color theme="0" tint="-0.14996795556505021"/>
      </left>
      <right style="thin">
        <color theme="0" tint="-0.14993743705557422"/>
      </right>
      <top style="thin">
        <color theme="0" tint="-0.14999847407452621"/>
      </top>
      <bottom style="thin">
        <color theme="0" tint="-0.14999847407452621"/>
      </bottom>
      <diagonal/>
    </border>
    <border>
      <left style="thin">
        <color theme="0" tint="-0.14993743705557422"/>
      </left>
      <right style="thin">
        <color theme="0" tint="-0.14993743705557422"/>
      </right>
      <top style="thin">
        <color theme="0" tint="-0.14999847407452621"/>
      </top>
      <bottom style="thin">
        <color theme="0" tint="-0.14999847407452621"/>
      </bottom>
      <diagonal/>
    </border>
    <border>
      <left style="thin">
        <color theme="0" tint="-0.14993743705557422"/>
      </left>
      <right style="thin">
        <color theme="0" tint="-0.14993743705557422"/>
      </right>
      <top/>
      <bottom/>
      <diagonal/>
    </border>
    <border>
      <left style="thin">
        <color theme="0" tint="-0.14996795556505021"/>
      </left>
      <right style="thin">
        <color theme="0" tint="-0.14993743705557422"/>
      </right>
      <top style="thin">
        <color theme="0" tint="-0.14999847407452621"/>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679555650502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6795556505021"/>
      </left>
      <right style="thin">
        <color theme="0" tint="-0.14993743705557422"/>
      </right>
      <top/>
      <bottom style="thin">
        <color theme="0" tint="-0.14996795556505021"/>
      </bottom>
      <diagonal/>
    </border>
    <border>
      <left style="thin">
        <color theme="4"/>
      </left>
      <right/>
      <top/>
      <bottom style="thin">
        <color theme="8" tint="0.39997558519241921"/>
      </bottom>
      <diagonal/>
    </border>
    <border>
      <left style="thin">
        <color theme="7"/>
      </left>
      <right/>
      <top style="thin">
        <color theme="4" tint="0.59999389629810485"/>
      </top>
      <bottom/>
      <diagonal/>
    </border>
    <border>
      <left style="thin">
        <color theme="5"/>
      </left>
      <right/>
      <top/>
      <bottom style="thin">
        <color theme="9" tint="0.39997558519241921"/>
      </bottom>
      <diagonal/>
    </border>
    <border>
      <left/>
      <right/>
      <top/>
      <bottom style="thin">
        <color theme="9" tint="0.39997558519241921"/>
      </bottom>
      <diagonal/>
    </border>
    <border>
      <left/>
      <right style="thin">
        <color theme="0" tint="-0.14993743705557422"/>
      </right>
      <top style="thin">
        <color theme="0" tint="-0.14993743705557422"/>
      </top>
      <bottom/>
      <diagonal/>
    </border>
    <border>
      <left/>
      <right style="thin">
        <color theme="0" tint="-0.14993743705557422"/>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top style="thin">
        <color theme="0" tint="-0.14993743705557422"/>
      </top>
      <bottom style="thin">
        <color indexed="64"/>
      </bottom>
      <diagonal/>
    </border>
  </borders>
  <cellStyleXfs count="2">
    <xf numFmtId="0" fontId="0" fillId="0" borderId="0"/>
    <xf numFmtId="0" fontId="6" fillId="16" borderId="0" applyNumberFormat="0" applyBorder="0" applyAlignment="0" applyProtection="0"/>
  </cellStyleXfs>
  <cellXfs count="378">
    <xf numFmtId="0" fontId="0" fillId="0" borderId="0" xfId="0"/>
    <xf numFmtId="0" fontId="1" fillId="15" borderId="72" xfId="0" applyFont="1" applyFill="1" applyBorder="1" applyAlignment="1">
      <alignment horizontal="left" wrapText="1"/>
    </xf>
    <xf numFmtId="0" fontId="4" fillId="0" borderId="0" xfId="0" applyFont="1" applyAlignment="1">
      <alignment vertical="center"/>
    </xf>
    <xf numFmtId="0" fontId="5" fillId="0" borderId="0" xfId="0" applyFont="1" applyAlignment="1">
      <alignment vertical="center"/>
    </xf>
    <xf numFmtId="0" fontId="5" fillId="0" borderId="0" xfId="0" applyFont="1"/>
    <xf numFmtId="0" fontId="5" fillId="0" borderId="72" xfId="0" applyFont="1" applyBorder="1" applyAlignment="1">
      <alignment vertical="top" wrapText="1"/>
    </xf>
    <xf numFmtId="0" fontId="8" fillId="0" borderId="0" xfId="0" applyFont="1" applyAlignment="1">
      <alignmen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left" vertical="center" wrapText="1" indent="1"/>
    </xf>
    <xf numFmtId="0" fontId="9" fillId="0" borderId="0" xfId="0" applyFont="1" applyAlignment="1">
      <alignment horizontal="left" vertical="center" wrapText="1"/>
    </xf>
    <xf numFmtId="0" fontId="9"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13" fillId="0" borderId="0" xfId="0" applyFont="1"/>
    <xf numFmtId="0" fontId="8" fillId="0" borderId="1" xfId="0" applyFont="1" applyBorder="1" applyAlignment="1">
      <alignment vertical="center" wrapText="1"/>
    </xf>
    <xf numFmtId="0" fontId="8" fillId="0" borderId="0" xfId="0" applyFont="1" applyAlignment="1">
      <alignment vertical="center" wrapText="1"/>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horizontal="center"/>
    </xf>
    <xf numFmtId="0" fontId="17" fillId="0" borderId="0" xfId="0" applyFont="1"/>
    <xf numFmtId="0" fontId="14" fillId="0" borderId="0" xfId="0" applyFont="1" applyAlignment="1">
      <alignment horizontal="left" vertical="center" indent="1"/>
    </xf>
    <xf numFmtId="0" fontId="12" fillId="0" borderId="0" xfId="0" applyFont="1" applyAlignment="1">
      <alignment horizontal="center" vertical="center" wrapText="1"/>
    </xf>
    <xf numFmtId="0" fontId="10" fillId="0" borderId="1" xfId="0" applyFont="1" applyBorder="1" applyAlignment="1">
      <alignment horizontal="left" wrapText="1"/>
    </xf>
    <xf numFmtId="0" fontId="10" fillId="0" borderId="0" xfId="0" applyFont="1" applyAlignment="1">
      <alignment horizontal="left" wrapText="1"/>
    </xf>
    <xf numFmtId="0" fontId="14" fillId="0" borderId="0" xfId="0" applyFont="1" applyAlignment="1">
      <alignment horizontal="left" vertical="center" wrapText="1" indent="1"/>
    </xf>
    <xf numFmtId="0" fontId="18" fillId="2" borderId="3" xfId="0" applyFont="1" applyFill="1" applyBorder="1" applyAlignment="1">
      <alignment horizontal="center" vertical="center" wrapText="1"/>
    </xf>
    <xf numFmtId="0" fontId="18" fillId="2" borderId="84" xfId="0" applyFont="1" applyFill="1" applyBorder="1" applyAlignment="1">
      <alignment horizontal="center" vertical="center" wrapText="1"/>
    </xf>
    <xf numFmtId="0" fontId="18" fillId="2" borderId="91" xfId="0" applyFont="1" applyFill="1" applyBorder="1" applyAlignment="1">
      <alignment horizontal="center" vertical="center" wrapText="1"/>
    </xf>
    <xf numFmtId="0" fontId="18" fillId="2" borderId="85"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13" xfId="0" applyFont="1" applyFill="1" applyBorder="1" applyAlignment="1">
      <alignment vertical="center" wrapText="1"/>
    </xf>
    <xf numFmtId="0" fontId="18" fillId="2" borderId="86" xfId="0" applyFont="1" applyFill="1" applyBorder="1" applyAlignment="1">
      <alignment vertical="center" wrapText="1"/>
    </xf>
    <xf numFmtId="0" fontId="18" fillId="2" borderId="92" xfId="0" applyFont="1" applyFill="1" applyBorder="1" applyAlignment="1">
      <alignment vertical="center" wrapText="1"/>
    </xf>
    <xf numFmtId="0" fontId="18" fillId="2" borderId="81" xfId="0" applyFont="1" applyFill="1" applyBorder="1" applyAlignment="1">
      <alignment vertical="center" wrapText="1"/>
    </xf>
    <xf numFmtId="0" fontId="18" fillId="2" borderId="0" xfId="0" applyFont="1" applyFill="1" applyAlignment="1">
      <alignment vertical="center" wrapText="1"/>
    </xf>
    <xf numFmtId="0" fontId="20" fillId="8" borderId="14" xfId="0" applyFont="1" applyFill="1" applyBorder="1" applyAlignment="1">
      <alignment horizontal="center" vertical="center" wrapText="1"/>
    </xf>
    <xf numFmtId="0" fontId="20" fillId="8" borderId="15" xfId="0" applyFont="1" applyFill="1" applyBorder="1" applyAlignment="1">
      <alignment horizontal="center" vertical="center" wrapText="1"/>
    </xf>
    <xf numFmtId="0" fontId="21" fillId="9" borderId="16" xfId="0" applyFont="1" applyFill="1" applyBorder="1" applyAlignment="1">
      <alignment horizontal="center" vertical="center" wrapText="1"/>
    </xf>
    <xf numFmtId="0" fontId="21" fillId="9" borderId="17" xfId="0" applyFont="1" applyFill="1" applyBorder="1" applyAlignment="1">
      <alignment horizontal="center" vertical="center" wrapText="1"/>
    </xf>
    <xf numFmtId="0" fontId="22" fillId="10" borderId="18" xfId="0" applyFont="1" applyFill="1" applyBorder="1" applyAlignment="1">
      <alignment horizontal="center" vertical="center" wrapText="1"/>
    </xf>
    <xf numFmtId="0" fontId="22" fillId="10" borderId="19" xfId="0" applyFont="1" applyFill="1" applyBorder="1" applyAlignment="1">
      <alignment horizontal="center" vertical="center" wrapText="1"/>
    </xf>
    <xf numFmtId="0" fontId="23" fillId="11" borderId="20" xfId="0" applyFont="1" applyFill="1" applyBorder="1" applyAlignment="1">
      <alignment horizontal="center" vertical="center" wrapText="1"/>
    </xf>
    <xf numFmtId="0" fontId="23" fillId="11" borderId="21" xfId="0" applyFont="1" applyFill="1" applyBorder="1" applyAlignment="1">
      <alignment horizontal="center" vertical="center" wrapText="1"/>
    </xf>
    <xf numFmtId="0" fontId="24" fillId="12" borderId="22" xfId="0" applyFont="1" applyFill="1" applyBorder="1" applyAlignment="1">
      <alignment horizontal="center" vertical="center" wrapText="1"/>
    </xf>
    <xf numFmtId="0" fontId="24" fillId="12" borderId="23" xfId="0" applyFont="1" applyFill="1" applyBorder="1" applyAlignment="1">
      <alignment horizontal="center" vertical="center" wrapText="1"/>
    </xf>
    <xf numFmtId="0" fontId="24" fillId="12" borderId="24" xfId="0" applyFont="1" applyFill="1" applyBorder="1" applyAlignment="1">
      <alignment horizontal="center" vertical="center" wrapText="1"/>
    </xf>
    <xf numFmtId="0" fontId="24" fillId="12" borderId="25"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48" xfId="0" applyFont="1" applyBorder="1" applyAlignment="1">
      <alignment horizontal="center" vertical="center" wrapText="1"/>
    </xf>
    <xf numFmtId="0" fontId="15" fillId="0" borderId="75" xfId="0" applyFont="1" applyBorder="1" applyAlignment="1">
      <alignment horizontal="left" vertical="center" wrapText="1" indent="1"/>
    </xf>
    <xf numFmtId="0" fontId="15" fillId="0" borderId="76" xfId="0" applyFont="1" applyBorder="1" applyAlignment="1">
      <alignment horizontal="left" vertical="center" wrapText="1" indent="1"/>
    </xf>
    <xf numFmtId="0" fontId="15" fillId="0" borderId="48" xfId="0" applyFont="1" applyBorder="1" applyAlignment="1">
      <alignment horizontal="left" vertical="center" wrapText="1" inden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26" fillId="14" borderId="0" xfId="0" applyFont="1" applyFill="1" applyAlignment="1">
      <alignment horizontal="center" vertical="center" wrapText="1"/>
    </xf>
    <xf numFmtId="0" fontId="25" fillId="0" borderId="33" xfId="0" applyFont="1" applyBorder="1" applyAlignment="1">
      <alignment horizontal="center" vertical="center" wrapText="1"/>
    </xf>
    <xf numFmtId="0" fontId="25" fillId="0" borderId="34" xfId="0" applyFont="1" applyBorder="1" applyAlignment="1">
      <alignment horizontal="center" vertical="center" wrapText="1"/>
    </xf>
    <xf numFmtId="0" fontId="25" fillId="0" borderId="29" xfId="0" applyFont="1" applyBorder="1" applyAlignment="1">
      <alignment horizontal="center" vertical="center" wrapText="1"/>
    </xf>
    <xf numFmtId="0" fontId="25" fillId="0" borderId="35"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46" xfId="0" applyFont="1" applyBorder="1" applyAlignment="1">
      <alignment horizontal="center" vertical="center" wrapText="1"/>
    </xf>
    <xf numFmtId="0" fontId="25" fillId="0" borderId="40"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41" xfId="0" applyFont="1" applyBorder="1" applyAlignment="1">
      <alignment horizontal="center" vertical="center" wrapText="1"/>
    </xf>
    <xf numFmtId="0" fontId="25" fillId="0" borderId="42" xfId="0" applyFont="1" applyBorder="1" applyAlignment="1">
      <alignment horizontal="center" vertical="center" wrapText="1"/>
    </xf>
    <xf numFmtId="0" fontId="27" fillId="0" borderId="43" xfId="0" applyFont="1" applyBorder="1" applyAlignment="1">
      <alignment horizontal="left" vertical="center" wrapText="1" indent="1"/>
    </xf>
    <xf numFmtId="0" fontId="15" fillId="0" borderId="77" xfId="0" applyFont="1" applyBorder="1" applyAlignment="1">
      <alignment horizontal="left" vertical="center" wrapText="1" indent="1"/>
    </xf>
    <xf numFmtId="0" fontId="15" fillId="0" borderId="78" xfId="0" applyFont="1" applyBorder="1" applyAlignment="1">
      <alignment horizontal="left" vertical="center" wrapText="1" indent="1"/>
    </xf>
    <xf numFmtId="0" fontId="25" fillId="0" borderId="44" xfId="0" applyFont="1" applyBorder="1" applyAlignment="1">
      <alignment horizontal="center" vertical="center" wrapText="1"/>
    </xf>
    <xf numFmtId="0" fontId="25" fillId="0" borderId="45" xfId="0" applyFont="1" applyBorder="1" applyAlignment="1">
      <alignment horizontal="center" vertical="center" wrapText="1"/>
    </xf>
    <xf numFmtId="0" fontId="27" fillId="0" borderId="47" xfId="0" applyFont="1" applyBorder="1" applyAlignment="1">
      <alignment horizontal="left" vertical="center" wrapText="1" indent="1"/>
    </xf>
    <xf numFmtId="0" fontId="26" fillId="13" borderId="31" xfId="0" applyFont="1" applyFill="1" applyBorder="1" applyAlignment="1">
      <alignment horizontal="center" vertical="center" wrapText="1"/>
    </xf>
    <xf numFmtId="0" fontId="25" fillId="0" borderId="48" xfId="0" applyFont="1" applyBorder="1" applyAlignment="1">
      <alignment horizontal="center" vertical="center" wrapText="1"/>
    </xf>
    <xf numFmtId="0" fontId="25" fillId="0" borderId="49" xfId="0" applyFont="1" applyBorder="1" applyAlignment="1">
      <alignment horizontal="center" vertical="center" wrapText="1"/>
    </xf>
    <xf numFmtId="0" fontId="26" fillId="13" borderId="33" xfId="0" applyFont="1" applyFill="1" applyBorder="1" applyAlignment="1">
      <alignment horizontal="center" vertical="center" wrapText="1"/>
    </xf>
    <xf numFmtId="0" fontId="26" fillId="14" borderId="33" xfId="0" applyFont="1" applyFill="1" applyBorder="1" applyAlignment="1">
      <alignment horizontal="center" vertical="center" wrapText="1"/>
    </xf>
    <xf numFmtId="0" fontId="25" fillId="0" borderId="0" xfId="0" applyFont="1" applyAlignment="1">
      <alignment horizontal="center" vertical="center" wrapText="1"/>
    </xf>
    <xf numFmtId="0" fontId="15" fillId="0" borderId="79" xfId="0" applyFont="1" applyBorder="1" applyAlignment="1">
      <alignment horizontal="left" vertical="center" wrapText="1" indent="1"/>
    </xf>
    <xf numFmtId="0" fontId="15" fillId="0" borderId="80" xfId="0" applyFont="1" applyBorder="1" applyAlignment="1">
      <alignment horizontal="left" vertical="center" wrapText="1" indent="1"/>
    </xf>
    <xf numFmtId="0" fontId="15" fillId="0" borderId="74" xfId="0" applyFont="1" applyBorder="1" applyAlignment="1">
      <alignment horizontal="left" vertical="center" wrapText="1" inden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53" xfId="0" applyFont="1" applyBorder="1" applyAlignment="1">
      <alignment horizontal="center" vertical="center" wrapText="1"/>
    </xf>
    <xf numFmtId="0" fontId="25" fillId="0" borderId="54" xfId="0" applyFont="1" applyBorder="1" applyAlignment="1">
      <alignment horizontal="center" vertical="center" wrapText="1"/>
    </xf>
    <xf numFmtId="0" fontId="25" fillId="0" borderId="56"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52" xfId="0" applyFont="1" applyBorder="1" applyAlignment="1">
      <alignment horizontal="center" vertical="center" wrapText="1"/>
    </xf>
    <xf numFmtId="0" fontId="25" fillId="0" borderId="55" xfId="0" applyFont="1" applyBorder="1" applyAlignment="1">
      <alignment horizontal="center" vertical="center" wrapText="1"/>
    </xf>
    <xf numFmtId="0" fontId="27" fillId="0" borderId="60" xfId="0" applyFont="1" applyBorder="1" applyAlignment="1">
      <alignment horizontal="left" vertical="center" wrapText="1" indent="1"/>
    </xf>
    <xf numFmtId="0" fontId="26" fillId="14" borderId="40" xfId="0" applyFont="1" applyFill="1" applyBorder="1" applyAlignment="1">
      <alignment horizontal="center" vertical="center" wrapText="1"/>
    </xf>
    <xf numFmtId="0" fontId="9" fillId="0" borderId="49" xfId="0" applyFont="1" applyBorder="1" applyAlignment="1">
      <alignment horizontal="center" vertical="center" wrapText="1"/>
    </xf>
    <xf numFmtId="0" fontId="15" fillId="0" borderId="81" xfId="0" applyFont="1" applyBorder="1" applyAlignment="1">
      <alignment horizontal="left" vertical="center" wrapText="1" indent="1"/>
    </xf>
    <xf numFmtId="0" fontId="15" fillId="0" borderId="0" xfId="0" applyFont="1" applyAlignment="1">
      <alignment horizontal="left" vertical="center" wrapText="1" indent="1"/>
    </xf>
    <xf numFmtId="0" fontId="25" fillId="0" borderId="61" xfId="0" applyFont="1" applyBorder="1" applyAlignment="1">
      <alignment horizontal="center" vertical="center" wrapText="1"/>
    </xf>
    <xf numFmtId="0" fontId="25" fillId="0" borderId="62" xfId="0" applyFont="1" applyBorder="1" applyAlignment="1">
      <alignment horizontal="center" vertical="center" wrapText="1"/>
    </xf>
    <xf numFmtId="0" fontId="25" fillId="0" borderId="63" xfId="0" applyFont="1" applyBorder="1" applyAlignment="1">
      <alignment horizontal="center" vertical="center" wrapText="1"/>
    </xf>
    <xf numFmtId="0" fontId="25" fillId="0" borderId="64" xfId="0" applyFont="1" applyBorder="1" applyAlignment="1">
      <alignment horizontal="center" vertical="center" wrapText="1"/>
    </xf>
    <xf numFmtId="0" fontId="25" fillId="0" borderId="65" xfId="0" applyFont="1" applyBorder="1" applyAlignment="1">
      <alignment horizontal="center" vertical="center" wrapText="1"/>
    </xf>
    <xf numFmtId="0" fontId="25" fillId="0" borderId="66" xfId="0" applyFont="1" applyBorder="1" applyAlignment="1">
      <alignment horizontal="center" vertical="center" wrapText="1"/>
    </xf>
    <xf numFmtId="0" fontId="25" fillId="0" borderId="67" xfId="0" applyFont="1" applyBorder="1" applyAlignment="1">
      <alignment horizontal="center" vertical="center" wrapText="1"/>
    </xf>
    <xf numFmtId="0" fontId="25" fillId="0" borderId="68" xfId="0" applyFont="1" applyBorder="1" applyAlignment="1">
      <alignment horizontal="center" vertical="center" wrapText="1"/>
    </xf>
    <xf numFmtId="0" fontId="25" fillId="0" borderId="69" xfId="0" applyFont="1" applyBorder="1" applyAlignment="1">
      <alignment horizontal="center" vertical="center" wrapText="1"/>
    </xf>
    <xf numFmtId="0" fontId="25" fillId="0" borderId="71" xfId="0" applyFont="1" applyBorder="1" applyAlignment="1">
      <alignment horizontal="center" vertical="center" wrapText="1"/>
    </xf>
    <xf numFmtId="0" fontId="25" fillId="0" borderId="70"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48" xfId="0" applyFont="1" applyBorder="1" applyAlignment="1">
      <alignment horizontal="center" vertical="center" wrapText="1"/>
    </xf>
    <xf numFmtId="0" fontId="10" fillId="0" borderId="79" xfId="0" applyFont="1" applyBorder="1" applyAlignment="1">
      <alignment horizontal="center" vertical="center" wrapText="1"/>
    </xf>
    <xf numFmtId="0" fontId="10" fillId="0" borderId="81" xfId="0" applyFont="1" applyBorder="1" applyAlignment="1">
      <alignment horizontal="center" vertical="center" wrapText="1"/>
    </xf>
    <xf numFmtId="0" fontId="9" fillId="0" borderId="67" xfId="0" applyFont="1" applyBorder="1" applyAlignment="1">
      <alignment horizontal="center" vertical="center" wrapText="1"/>
    </xf>
    <xf numFmtId="0" fontId="15" fillId="0" borderId="0" xfId="0" applyFont="1" applyAlignment="1">
      <alignment horizontal="center" vertical="center" wrapText="1"/>
    </xf>
    <xf numFmtId="0" fontId="15" fillId="0" borderId="82" xfId="0" applyFont="1" applyBorder="1" applyAlignment="1">
      <alignment horizontal="left" vertical="center" wrapText="1" indent="1"/>
    </xf>
    <xf numFmtId="0" fontId="15" fillId="0" borderId="83" xfId="0" applyFont="1" applyBorder="1" applyAlignment="1">
      <alignment horizontal="left" vertical="center" wrapText="1" indent="1"/>
    </xf>
    <xf numFmtId="0" fontId="11" fillId="0" borderId="94" xfId="0" applyFont="1" applyBorder="1" applyAlignment="1">
      <alignment horizontal="center" vertical="center" wrapText="1"/>
    </xf>
    <xf numFmtId="0" fontId="9" fillId="0" borderId="94" xfId="0" applyFont="1" applyBorder="1" applyAlignment="1">
      <alignment horizontal="center" vertical="center" wrapText="1"/>
    </xf>
    <xf numFmtId="0" fontId="9" fillId="0" borderId="94" xfId="0" applyFont="1" applyBorder="1" applyAlignment="1">
      <alignment horizontal="left" vertical="center" wrapText="1" indent="1"/>
    </xf>
    <xf numFmtId="0" fontId="9" fillId="0" borderId="95" xfId="0" applyFont="1" applyBorder="1" applyAlignment="1">
      <alignment horizontal="center" vertical="center" wrapText="1"/>
    </xf>
    <xf numFmtId="0" fontId="9" fillId="0" borderId="95" xfId="0" applyFont="1" applyBorder="1" applyAlignment="1">
      <alignment horizontal="left" vertical="center" wrapText="1" indent="1"/>
    </xf>
    <xf numFmtId="14" fontId="5" fillId="0" borderId="72" xfId="0" applyNumberFormat="1" applyFont="1" applyBorder="1"/>
    <xf numFmtId="0" fontId="2" fillId="0" borderId="72" xfId="0" applyFont="1" applyBorder="1" applyAlignment="1">
      <alignment horizontal="left"/>
    </xf>
    <xf numFmtId="0" fontId="2" fillId="0" borderId="72" xfId="0" applyFont="1" applyBorder="1" applyAlignment="1">
      <alignment horizontal="left" vertical="top" wrapText="1"/>
    </xf>
    <xf numFmtId="0" fontId="0" fillId="0" borderId="72" xfId="0" applyBorder="1" applyAlignment="1">
      <alignment horizontal="center" vertical="center"/>
    </xf>
    <xf numFmtId="0" fontId="0" fillId="0" borderId="72" xfId="0" applyBorder="1"/>
    <xf numFmtId="0" fontId="9" fillId="17" borderId="0" xfId="0" applyFont="1" applyFill="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48" xfId="0" applyFont="1" applyBorder="1" applyAlignment="1">
      <alignment horizontal="center" vertical="center" wrapText="1"/>
    </xf>
    <xf numFmtId="14" fontId="0" fillId="0" borderId="72" xfId="0" applyNumberFormat="1" applyBorder="1"/>
    <xf numFmtId="0" fontId="3" fillId="0" borderId="72" xfId="0" applyFont="1" applyBorder="1" applyAlignment="1">
      <alignment horizontal="left" vertical="top" wrapText="1"/>
    </xf>
    <xf numFmtId="0" fontId="15" fillId="19" borderId="48" xfId="0" applyFont="1" applyFill="1" applyBorder="1" applyAlignment="1">
      <alignment horizontal="center" vertical="center" wrapText="1"/>
    </xf>
    <xf numFmtId="0" fontId="9" fillId="20" borderId="0" xfId="0" applyFont="1" applyFill="1" applyAlignment="1">
      <alignment horizontal="center" vertical="center" wrapText="1"/>
    </xf>
    <xf numFmtId="0" fontId="26" fillId="13" borderId="0" xfId="0" applyFont="1" applyFill="1" applyAlignment="1">
      <alignment horizontal="center" vertical="center" wrapText="1"/>
    </xf>
    <xf numFmtId="0" fontId="26" fillId="13" borderId="37" xfId="0" applyFont="1" applyFill="1" applyBorder="1" applyAlignment="1">
      <alignment horizontal="center" vertical="center" wrapText="1"/>
    </xf>
    <xf numFmtId="0" fontId="26" fillId="14" borderId="37" xfId="0" applyFont="1" applyFill="1" applyBorder="1" applyAlignment="1">
      <alignment horizontal="center" vertical="center" wrapText="1"/>
    </xf>
    <xf numFmtId="0" fontId="26" fillId="14" borderId="46" xfId="0" applyFont="1" applyFill="1" applyBorder="1" applyAlignment="1">
      <alignment horizontal="center" vertical="center" wrapText="1"/>
    </xf>
    <xf numFmtId="0" fontId="26" fillId="13" borderId="40" xfId="0" applyFont="1" applyFill="1" applyBorder="1" applyAlignment="1">
      <alignment horizontal="center" vertical="center" wrapText="1"/>
    </xf>
    <xf numFmtId="0" fontId="26" fillId="14" borderId="71" xfId="0" applyFont="1" applyFill="1" applyBorder="1" applyAlignment="1">
      <alignment horizontal="center" vertical="center" wrapText="1"/>
    </xf>
    <xf numFmtId="0" fontId="10" fillId="0" borderId="77" xfId="0" applyFont="1" applyBorder="1" applyAlignment="1">
      <alignment horizontal="center" vertical="center" wrapText="1"/>
    </xf>
    <xf numFmtId="0" fontId="10" fillId="0" borderId="78" xfId="0" applyFont="1" applyBorder="1" applyAlignment="1">
      <alignment horizontal="center" vertical="center" wrapText="1"/>
    </xf>
    <xf numFmtId="0" fontId="26" fillId="13" borderId="49" xfId="0" applyFont="1" applyFill="1" applyBorder="1" applyAlignment="1">
      <alignment horizontal="center" vertical="center" wrapText="1"/>
    </xf>
    <xf numFmtId="0" fontId="26" fillId="14" borderId="49" xfId="0" applyFont="1" applyFill="1" applyBorder="1" applyAlignment="1">
      <alignment horizontal="center" vertical="center" wrapText="1"/>
    </xf>
    <xf numFmtId="49" fontId="15" fillId="0" borderId="48" xfId="0" applyNumberFormat="1" applyFont="1" applyBorder="1" applyAlignment="1">
      <alignment horizontal="left" vertical="center" wrapText="1" indent="1"/>
    </xf>
    <xf numFmtId="49" fontId="10" fillId="0" borderId="0" xfId="0" applyNumberFormat="1" applyFont="1" applyAlignment="1">
      <alignment horizontal="center" vertical="center" wrapText="1"/>
    </xf>
    <xf numFmtId="0" fontId="15" fillId="21" borderId="48" xfId="0" applyFont="1" applyFill="1" applyBorder="1" applyAlignment="1">
      <alignment horizontal="center" vertical="center" wrapText="1"/>
    </xf>
    <xf numFmtId="0" fontId="26" fillId="13" borderId="64" xfId="0" applyFont="1" applyFill="1" applyBorder="1" applyAlignment="1">
      <alignment horizontal="center" vertical="center" wrapText="1"/>
    </xf>
    <xf numFmtId="0" fontId="26" fillId="14" borderId="64" xfId="0" applyFont="1" applyFill="1" applyBorder="1" applyAlignment="1">
      <alignment horizontal="center" vertical="center" wrapText="1"/>
    </xf>
    <xf numFmtId="0" fontId="0" fillId="0" borderId="0" xfId="0" applyAlignment="1">
      <alignment wrapText="1"/>
    </xf>
    <xf numFmtId="0" fontId="0" fillId="23" borderId="95" xfId="0" applyFill="1" applyBorder="1"/>
    <xf numFmtId="0" fontId="28" fillId="24" borderId="93" xfId="0" applyFont="1" applyFill="1" applyBorder="1" applyAlignment="1">
      <alignment horizontal="left" vertical="top" wrapText="1"/>
    </xf>
    <xf numFmtId="0" fontId="0" fillId="25" borderId="93" xfId="0" applyFill="1" applyBorder="1" applyAlignment="1">
      <alignment vertical="top"/>
    </xf>
    <xf numFmtId="0" fontId="0" fillId="26" borderId="93" xfId="0" applyFill="1" applyBorder="1" applyAlignment="1">
      <alignment vertical="top" wrapText="1"/>
    </xf>
    <xf numFmtId="0" fontId="0" fillId="27" borderId="93" xfId="0" applyFill="1" applyBorder="1" applyAlignment="1">
      <alignment horizontal="left" vertical="top"/>
    </xf>
    <xf numFmtId="0" fontId="30" fillId="28" borderId="93" xfId="0" applyFont="1" applyFill="1" applyBorder="1" applyAlignment="1">
      <alignment horizontal="left" vertical="top"/>
    </xf>
    <xf numFmtId="0" fontId="0" fillId="29" borderId="93" xfId="0" applyFill="1" applyBorder="1" applyAlignment="1">
      <alignment horizontal="left" vertical="top"/>
    </xf>
    <xf numFmtId="0" fontId="0" fillId="29" borderId="97" xfId="0" applyFill="1" applyBorder="1"/>
    <xf numFmtId="0" fontId="7" fillId="18" borderId="0" xfId="0" applyFont="1" applyFill="1" applyAlignment="1">
      <alignment horizontal="left" vertical="top"/>
    </xf>
    <xf numFmtId="0" fontId="7" fillId="18" borderId="0" xfId="0" applyFont="1" applyFill="1" applyAlignment="1">
      <alignment horizontal="left" vertical="top" wrapText="1"/>
    </xf>
    <xf numFmtId="0" fontId="7" fillId="30" borderId="93" xfId="0" applyFont="1" applyFill="1" applyBorder="1" applyAlignment="1">
      <alignment horizontal="left" vertical="top"/>
    </xf>
    <xf numFmtId="0" fontId="7" fillId="30" borderId="97" xfId="0" applyFont="1" applyFill="1" applyBorder="1" applyAlignment="1">
      <alignment horizontal="left" vertical="top" wrapText="1"/>
    </xf>
    <xf numFmtId="0" fontId="7" fillId="30" borderId="98" xfId="0" applyFont="1" applyFill="1" applyBorder="1" applyAlignment="1">
      <alignment horizontal="left" vertical="top" wrapText="1"/>
    </xf>
    <xf numFmtId="0" fontId="0" fillId="31" borderId="93" xfId="0" applyFill="1" applyBorder="1" applyAlignment="1">
      <alignment vertical="top"/>
    </xf>
    <xf numFmtId="0" fontId="30" fillId="32" borderId="93" xfId="0" applyFont="1" applyFill="1" applyBorder="1" applyAlignment="1">
      <alignment horizontal="left" vertical="top" wrapText="1"/>
    </xf>
    <xf numFmtId="0" fontId="30" fillId="33" borderId="93" xfId="0" applyFont="1" applyFill="1" applyBorder="1" applyAlignment="1">
      <alignment horizontal="left" vertical="top"/>
    </xf>
    <xf numFmtId="0" fontId="0" fillId="33" borderId="97" xfId="0" applyFill="1" applyBorder="1"/>
    <xf numFmtId="0" fontId="0" fillId="17" borderId="93" xfId="0" applyFill="1" applyBorder="1" applyAlignment="1">
      <alignment horizontal="left" vertical="top"/>
    </xf>
    <xf numFmtId="0" fontId="0" fillId="17" borderId="97" xfId="0" applyFill="1" applyBorder="1"/>
    <xf numFmtId="0" fontId="0" fillId="21" borderId="93" xfId="0" applyFill="1" applyBorder="1" applyAlignment="1">
      <alignment horizontal="left" vertical="top"/>
    </xf>
    <xf numFmtId="0" fontId="18" fillId="23" borderId="0" xfId="0" applyFont="1" applyFill="1" applyAlignment="1">
      <alignment horizontal="center" vertical="center" wrapText="1"/>
    </xf>
    <xf numFmtId="0" fontId="28" fillId="24" borderId="100" xfId="0" applyFont="1" applyFill="1" applyBorder="1" applyAlignment="1">
      <alignment horizontal="left" vertical="top" wrapText="1"/>
    </xf>
    <xf numFmtId="0" fontId="28" fillId="35" borderId="100" xfId="0" applyFont="1" applyFill="1" applyBorder="1" applyAlignment="1">
      <alignment horizontal="left" vertical="top" wrapText="1"/>
    </xf>
    <xf numFmtId="0" fontId="28" fillId="36" borderId="100" xfId="0" applyFont="1" applyFill="1" applyBorder="1" applyAlignment="1">
      <alignment horizontal="left" vertical="top" wrapText="1"/>
    </xf>
    <xf numFmtId="0" fontId="28" fillId="37" borderId="101" xfId="0" applyFont="1" applyFill="1" applyBorder="1" applyAlignment="1">
      <alignment horizontal="left" vertical="top" wrapText="1"/>
    </xf>
    <xf numFmtId="0" fontId="28" fillId="38" borderId="101" xfId="0" applyFont="1" applyFill="1" applyBorder="1" applyAlignment="1">
      <alignment horizontal="left" vertical="top" wrapText="1"/>
    </xf>
    <xf numFmtId="0" fontId="28" fillId="39" borderId="0" xfId="0" applyFont="1" applyFill="1" applyAlignment="1">
      <alignment horizontal="left" vertical="center" wrapText="1"/>
    </xf>
    <xf numFmtId="0" fontId="7" fillId="0" borderId="101" xfId="0" applyFont="1" applyBorder="1" applyAlignment="1">
      <alignment horizontal="left" vertical="top" wrapText="1"/>
    </xf>
    <xf numFmtId="0" fontId="7" fillId="18" borderId="0" xfId="0" applyFont="1" applyFill="1" applyAlignment="1">
      <alignment horizontal="left" vertical="center" wrapText="1"/>
    </xf>
    <xf numFmtId="0" fontId="7" fillId="0" borderId="73" xfId="0" applyFont="1" applyBorder="1" applyAlignment="1">
      <alignment vertical="top" wrapText="1"/>
    </xf>
    <xf numFmtId="0" fontId="7" fillId="0" borderId="93" xfId="0" applyFont="1" applyBorder="1" applyAlignment="1">
      <alignment vertical="top" wrapText="1"/>
    </xf>
    <xf numFmtId="0" fontId="7" fillId="40" borderId="101" xfId="0" applyFont="1" applyFill="1" applyBorder="1" applyAlignment="1">
      <alignment vertical="top" wrapText="1"/>
    </xf>
    <xf numFmtId="0" fontId="7" fillId="0" borderId="101" xfId="0" applyFont="1" applyBorder="1" applyAlignment="1">
      <alignment vertical="top" wrapText="1"/>
    </xf>
    <xf numFmtId="0" fontId="7" fillId="41" borderId="101" xfId="0" applyFont="1" applyFill="1" applyBorder="1" applyAlignment="1">
      <alignment wrapText="1"/>
    </xf>
    <xf numFmtId="0" fontId="7" fillId="0" borderId="73" xfId="0" applyFont="1" applyBorder="1" applyAlignment="1">
      <alignment horizontal="left" vertical="top" wrapText="1"/>
    </xf>
    <xf numFmtId="0" fontId="7" fillId="42" borderId="101" xfId="0" applyFont="1" applyFill="1" applyBorder="1" applyAlignment="1">
      <alignment wrapText="1"/>
    </xf>
    <xf numFmtId="0" fontId="7" fillId="0" borderId="0" xfId="0" applyFont="1" applyAlignment="1">
      <alignment horizontal="left" vertical="top" wrapText="1"/>
    </xf>
    <xf numFmtId="0" fontId="7" fillId="43" borderId="101" xfId="0" applyFont="1" applyFill="1" applyBorder="1" applyAlignment="1">
      <alignment wrapText="1"/>
    </xf>
    <xf numFmtId="0" fontId="7" fillId="44" borderId="101" xfId="0" applyFont="1" applyFill="1" applyBorder="1" applyAlignment="1">
      <alignment wrapText="1"/>
    </xf>
    <xf numFmtId="0" fontId="0" fillId="23" borderId="0" xfId="0" applyFill="1"/>
    <xf numFmtId="0" fontId="0" fillId="23" borderId="96" xfId="0" applyFill="1" applyBorder="1" applyAlignment="1">
      <alignment horizontal="right" vertical="center"/>
    </xf>
    <xf numFmtId="0" fontId="0" fillId="23" borderId="99" xfId="0" applyFill="1" applyBorder="1" applyAlignment="1">
      <alignment horizontal="right" vertical="center"/>
    </xf>
    <xf numFmtId="0" fontId="0" fillId="23" borderId="97" xfId="0" applyFill="1" applyBorder="1"/>
    <xf numFmtId="0" fontId="15" fillId="0" borderId="72" xfId="0" applyFont="1" applyBorder="1" applyAlignment="1">
      <alignment horizontal="center" vertical="center" wrapText="1"/>
    </xf>
    <xf numFmtId="0" fontId="0" fillId="0" borderId="72" xfId="0" applyBorder="1" applyAlignment="1">
      <alignment horizontal="center"/>
    </xf>
    <xf numFmtId="0" fontId="15" fillId="0" borderId="72" xfId="0" applyFont="1" applyBorder="1" applyAlignment="1">
      <alignment horizontal="left" vertical="center" wrapText="1" indent="1"/>
    </xf>
    <xf numFmtId="0" fontId="9" fillId="0" borderId="72" xfId="0" applyFont="1" applyBorder="1" applyAlignment="1">
      <alignment horizontal="center" vertical="center" wrapText="1"/>
    </xf>
    <xf numFmtId="0" fontId="10" fillId="0" borderId="72" xfId="0" applyFont="1" applyBorder="1" applyAlignment="1">
      <alignment horizontal="center" vertical="center" wrapText="1"/>
    </xf>
    <xf numFmtId="0" fontId="5" fillId="23" borderId="0" xfId="0" applyFont="1" applyFill="1"/>
    <xf numFmtId="0" fontId="1" fillId="15" borderId="102" xfId="0" applyFont="1" applyFill="1" applyBorder="1" applyAlignment="1">
      <alignment horizontal="left" wrapText="1"/>
    </xf>
    <xf numFmtId="0" fontId="0" fillId="0" borderId="103" xfId="0" applyBorder="1" applyAlignment="1">
      <alignment horizontal="center" vertical="center"/>
    </xf>
    <xf numFmtId="0" fontId="0" fillId="0" borderId="103" xfId="0" applyBorder="1"/>
    <xf numFmtId="0" fontId="28" fillId="45" borderId="97" xfId="0" applyFont="1" applyFill="1" applyBorder="1" applyAlignment="1">
      <alignment horizontal="left" vertical="top" wrapText="1"/>
    </xf>
    <xf numFmtId="0" fontId="28" fillId="45" borderId="97" xfId="0" applyFont="1" applyFill="1" applyBorder="1" applyAlignment="1">
      <alignment horizontal="left" vertical="center" wrapText="1"/>
    </xf>
    <xf numFmtId="0" fontId="7" fillId="45" borderId="97" xfId="0" applyFont="1" applyFill="1" applyBorder="1" applyAlignment="1">
      <alignment horizontal="left" vertical="center" wrapText="1"/>
    </xf>
    <xf numFmtId="0" fontId="7" fillId="45" borderId="97" xfId="0" applyFont="1" applyFill="1" applyBorder="1" applyAlignment="1">
      <alignment wrapText="1"/>
    </xf>
    <xf numFmtId="0" fontId="5" fillId="0" borderId="102" xfId="0" applyFont="1" applyBorder="1" applyAlignment="1">
      <alignment wrapText="1"/>
    </xf>
    <xf numFmtId="0" fontId="0" fillId="0" borderId="96" xfId="0" applyBorder="1" applyAlignment="1">
      <alignment horizontal="center" vertical="center"/>
    </xf>
    <xf numFmtId="0" fontId="28" fillId="45" borderId="94" xfId="0" applyFont="1" applyFill="1" applyBorder="1" applyAlignment="1">
      <alignment horizontal="left" vertical="top" wrapText="1"/>
    </xf>
    <xf numFmtId="0" fontId="0" fillId="23" borderId="101" xfId="0" applyFill="1" applyBorder="1" applyAlignment="1">
      <alignment horizontal="center" vertical="center"/>
    </xf>
    <xf numFmtId="0" fontId="26" fillId="0" borderId="40"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37" xfId="0" applyFont="1" applyBorder="1" applyAlignment="1">
      <alignment horizontal="center" vertical="center" wrapText="1"/>
    </xf>
    <xf numFmtId="0" fontId="9" fillId="17" borderId="95" xfId="0" applyFont="1" applyFill="1" applyBorder="1" applyAlignment="1">
      <alignment horizontal="center" vertical="center" wrapText="1"/>
    </xf>
    <xf numFmtId="0" fontId="26" fillId="0" borderId="63" xfId="0" applyFont="1" applyBorder="1" applyAlignment="1">
      <alignment horizontal="center" vertical="center" wrapText="1"/>
    </xf>
    <xf numFmtId="0" fontId="26" fillId="0" borderId="64" xfId="0" applyFont="1" applyBorder="1" applyAlignment="1">
      <alignment horizontal="center" vertical="center" wrapText="1"/>
    </xf>
    <xf numFmtId="0" fontId="26" fillId="0" borderId="0" xfId="0" applyFont="1" applyAlignment="1">
      <alignment horizontal="center" vertical="center" wrapText="1"/>
    </xf>
    <xf numFmtId="0" fontId="26" fillId="0" borderId="62" xfId="0" applyFont="1" applyBorder="1" applyAlignment="1">
      <alignment horizontal="center" vertical="center" wrapText="1"/>
    </xf>
    <xf numFmtId="0" fontId="9" fillId="0" borderId="29" xfId="0" applyFont="1" applyBorder="1" applyAlignment="1">
      <alignment horizontal="center" vertical="center" wrapText="1"/>
    </xf>
    <xf numFmtId="0" fontId="26" fillId="13" borderId="67" xfId="0" applyFont="1" applyFill="1" applyBorder="1" applyAlignment="1">
      <alignment horizontal="center" vertical="center" wrapText="1"/>
    </xf>
    <xf numFmtId="0" fontId="26" fillId="13" borderId="69" xfId="0" applyFont="1" applyFill="1" applyBorder="1" applyAlignment="1">
      <alignment horizontal="center" vertical="center" wrapText="1"/>
    </xf>
    <xf numFmtId="0" fontId="26" fillId="14" borderId="31" xfId="0" applyFont="1" applyFill="1" applyBorder="1" applyAlignment="1">
      <alignment horizontal="center" vertical="center" wrapText="1"/>
    </xf>
    <xf numFmtId="0" fontId="26" fillId="14" borderId="68" xfId="0" applyFont="1" applyFill="1" applyBorder="1" applyAlignment="1">
      <alignment horizontal="center" vertical="center" wrapText="1"/>
    </xf>
    <xf numFmtId="0" fontId="0" fillId="13" borderId="73" xfId="0" applyFill="1" applyBorder="1" applyAlignment="1">
      <alignment horizontal="left" vertical="top"/>
    </xf>
    <xf numFmtId="0" fontId="28" fillId="46" borderId="103" xfId="0" applyFont="1" applyFill="1" applyBorder="1" applyAlignment="1">
      <alignment horizontal="left" vertical="center" wrapText="1"/>
    </xf>
    <xf numFmtId="0" fontId="26" fillId="13" borderId="71" xfId="0" applyFont="1" applyFill="1" applyBorder="1" applyAlignment="1">
      <alignment horizontal="center" vertical="center" wrapText="1"/>
    </xf>
    <xf numFmtId="0" fontId="31" fillId="17" borderId="72" xfId="0" applyFont="1" applyFill="1" applyBorder="1" applyAlignment="1">
      <alignment horizontal="center" vertical="center" wrapText="1"/>
    </xf>
    <xf numFmtId="0" fontId="15" fillId="0" borderId="103" xfId="0" applyFont="1" applyBorder="1" applyAlignment="1">
      <alignment horizontal="center" vertical="center" wrapText="1"/>
    </xf>
    <xf numFmtId="0" fontId="15" fillId="0" borderId="103" xfId="0" applyFont="1" applyBorder="1" applyAlignment="1">
      <alignment horizontal="left" vertical="center" wrapText="1" indent="1"/>
    </xf>
    <xf numFmtId="0" fontId="15" fillId="0" borderId="104" xfId="0" applyFont="1" applyBorder="1" applyAlignment="1">
      <alignment horizontal="center" vertical="center" wrapText="1"/>
    </xf>
    <xf numFmtId="0" fontId="15" fillId="0" borderId="104" xfId="0" applyFont="1" applyBorder="1" applyAlignment="1">
      <alignment horizontal="left" vertical="center" wrapText="1" indent="1"/>
    </xf>
    <xf numFmtId="0" fontId="15" fillId="0" borderId="105" xfId="0" applyFont="1" applyBorder="1" applyAlignment="1">
      <alignment horizontal="left" vertical="center" wrapText="1" indent="1"/>
    </xf>
    <xf numFmtId="49" fontId="15" fillId="0" borderId="72" xfId="0" applyNumberFormat="1" applyFont="1" applyBorder="1" applyAlignment="1">
      <alignment horizontal="left" vertical="center" wrapText="1" indent="1"/>
    </xf>
    <xf numFmtId="49" fontId="10" fillId="0" borderId="72" xfId="0" applyNumberFormat="1"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9" fillId="0" borderId="63" xfId="0" applyFont="1" applyBorder="1" applyAlignment="1">
      <alignment horizontal="center" vertical="center" wrapText="1"/>
    </xf>
    <xf numFmtId="0" fontId="9" fillId="0" borderId="64" xfId="0" applyFont="1" applyBorder="1" applyAlignment="1">
      <alignment horizontal="center" vertical="center" wrapText="1"/>
    </xf>
    <xf numFmtId="0" fontId="9" fillId="0" borderId="65" xfId="0" applyFont="1" applyBorder="1" applyAlignment="1">
      <alignment horizontal="center" vertical="center" wrapText="1"/>
    </xf>
    <xf numFmtId="0" fontId="9" fillId="0" borderId="66" xfId="0" applyFont="1" applyBorder="1" applyAlignment="1">
      <alignment horizontal="center" vertical="center" wrapText="1"/>
    </xf>
    <xf numFmtId="0" fontId="9" fillId="0" borderId="68" xfId="0" applyFont="1" applyBorder="1" applyAlignment="1">
      <alignment horizontal="center" vertical="center" wrapText="1"/>
    </xf>
    <xf numFmtId="0" fontId="9" fillId="0" borderId="69"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71" xfId="0" applyFont="1" applyBorder="1" applyAlignment="1">
      <alignment horizontal="center" vertical="center" wrapText="1"/>
    </xf>
    <xf numFmtId="0" fontId="9" fillId="0" borderId="70" xfId="0" applyFont="1" applyBorder="1" applyAlignment="1">
      <alignment horizontal="center" vertical="center" wrapText="1"/>
    </xf>
    <xf numFmtId="0" fontId="9" fillId="0" borderId="65" xfId="0" applyFont="1" applyBorder="1" applyAlignment="1">
      <alignment horizontal="left" vertical="center" wrapText="1" indent="1"/>
    </xf>
    <xf numFmtId="49" fontId="15" fillId="0" borderId="103" xfId="0" applyNumberFormat="1" applyFont="1" applyBorder="1" applyAlignment="1">
      <alignment horizontal="left" vertical="center" wrapText="1" indent="1"/>
    </xf>
    <xf numFmtId="0" fontId="7" fillId="0" borderId="103" xfId="0" applyFont="1" applyBorder="1" applyAlignment="1">
      <alignment horizontal="left" vertical="top" wrapText="1"/>
    </xf>
    <xf numFmtId="0" fontId="5" fillId="0" borderId="72" xfId="0" applyFont="1" applyBorder="1"/>
    <xf numFmtId="0" fontId="33" fillId="0" borderId="72" xfId="0" applyFont="1" applyBorder="1" applyAlignment="1">
      <alignment horizontal="center" vertical="center" wrapText="1"/>
    </xf>
    <xf numFmtId="0" fontId="28" fillId="0" borderId="72" xfId="0" applyFont="1" applyBorder="1" applyAlignment="1">
      <alignment horizontal="center" vertical="center"/>
    </xf>
    <xf numFmtId="0" fontId="34" fillId="0" borderId="72" xfId="0" applyFont="1" applyBorder="1" applyAlignment="1">
      <alignment horizontal="center" vertical="center"/>
    </xf>
    <xf numFmtId="0" fontId="0" fillId="6" borderId="73" xfId="0" applyFill="1" applyBorder="1" applyAlignment="1">
      <alignment horizontal="left" vertical="top"/>
    </xf>
    <xf numFmtId="0" fontId="28" fillId="47" borderId="103" xfId="0" applyFont="1" applyFill="1" applyBorder="1" applyAlignment="1">
      <alignment horizontal="left" vertical="center" wrapText="1"/>
    </xf>
    <xf numFmtId="0" fontId="9" fillId="17" borderId="2" xfId="0" applyFont="1" applyFill="1" applyBorder="1" applyAlignment="1">
      <alignment horizontal="center" vertical="center" wrapText="1"/>
    </xf>
    <xf numFmtId="0" fontId="26" fillId="0" borderId="33" xfId="0" applyFont="1" applyBorder="1" applyAlignment="1">
      <alignment horizontal="center" vertical="center" wrapText="1"/>
    </xf>
    <xf numFmtId="0" fontId="26" fillId="0" borderId="49" xfId="0" applyFont="1" applyBorder="1" applyAlignment="1">
      <alignment horizontal="center" vertical="center" wrapText="1"/>
    </xf>
    <xf numFmtId="0" fontId="26" fillId="0" borderId="31"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26" fillId="0" borderId="45" xfId="0" applyFont="1" applyBorder="1" applyAlignment="1">
      <alignment horizontal="center" vertical="center" wrapText="1"/>
    </xf>
    <xf numFmtId="0" fontId="9" fillId="0" borderId="40" xfId="0" applyFont="1" applyBorder="1" applyAlignment="1">
      <alignment horizontal="left" vertical="center" wrapText="1" indent="1"/>
    </xf>
    <xf numFmtId="0" fontId="26" fillId="0" borderId="29"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6" xfId="0" applyFont="1" applyBorder="1" applyAlignment="1">
      <alignment horizontal="center" vertical="center" wrapText="1"/>
    </xf>
    <xf numFmtId="0" fontId="26" fillId="14" borderId="29" xfId="0" applyFont="1" applyFill="1" applyBorder="1" applyAlignment="1">
      <alignment horizontal="center" vertical="center" wrapText="1"/>
    </xf>
    <xf numFmtId="0" fontId="26" fillId="14" borderId="69" xfId="0" applyFont="1" applyFill="1" applyBorder="1" applyAlignment="1">
      <alignment horizontal="center" vertical="center" wrapText="1"/>
    </xf>
    <xf numFmtId="164" fontId="15" fillId="0" borderId="78" xfId="0" applyNumberFormat="1" applyFont="1" applyBorder="1" applyAlignment="1">
      <alignment horizontal="left" vertical="center" wrapText="1" indent="1"/>
    </xf>
    <xf numFmtId="164" fontId="15" fillId="0" borderId="48" xfId="0" applyNumberFormat="1" applyFont="1" applyBorder="1" applyAlignment="1">
      <alignment horizontal="left" vertical="center" wrapText="1" indent="1"/>
    </xf>
    <xf numFmtId="164" fontId="15" fillId="0" borderId="81" xfId="0" applyNumberFormat="1" applyFont="1" applyBorder="1" applyAlignment="1">
      <alignment horizontal="left" vertical="center" wrapText="1" indent="1"/>
    </xf>
    <xf numFmtId="164" fontId="15" fillId="0" borderId="0" xfId="0" applyNumberFormat="1" applyFont="1" applyAlignment="1">
      <alignment horizontal="left" vertical="center" wrapText="1" indent="1"/>
    </xf>
    <xf numFmtId="164" fontId="10" fillId="0" borderId="81" xfId="0" applyNumberFormat="1" applyFont="1" applyBorder="1" applyAlignment="1">
      <alignment horizontal="center" vertical="center" wrapText="1"/>
    </xf>
    <xf numFmtId="164" fontId="10" fillId="0" borderId="0" xfId="0" applyNumberFormat="1" applyFont="1" applyAlignment="1">
      <alignment horizontal="center" vertical="center" wrapText="1"/>
    </xf>
    <xf numFmtId="0" fontId="26" fillId="13" borderId="65" xfId="0" applyFont="1" applyFill="1" applyBorder="1" applyAlignment="1">
      <alignment horizontal="center" vertical="center" wrapText="1"/>
    </xf>
    <xf numFmtId="0" fontId="26" fillId="14" borderId="36" xfId="0" applyFont="1" applyFill="1" applyBorder="1" applyAlignment="1">
      <alignment horizontal="center" vertical="center" wrapText="1"/>
    </xf>
    <xf numFmtId="0" fontId="26" fillId="13" borderId="68" xfId="0" applyFont="1" applyFill="1" applyBorder="1" applyAlignment="1">
      <alignment horizontal="center" vertical="center" wrapText="1"/>
    </xf>
    <xf numFmtId="164" fontId="10" fillId="0" borderId="78" xfId="0" applyNumberFormat="1" applyFont="1" applyBorder="1" applyAlignment="1">
      <alignment horizontal="center" vertical="center" wrapText="1"/>
    </xf>
    <xf numFmtId="164" fontId="10" fillId="0" borderId="48" xfId="0" applyNumberFormat="1" applyFont="1" applyBorder="1" applyAlignment="1">
      <alignment horizontal="center" vertical="center" wrapText="1"/>
    </xf>
    <xf numFmtId="164" fontId="15" fillId="0" borderId="103" xfId="0" applyNumberFormat="1" applyFont="1" applyBorder="1" applyAlignment="1">
      <alignment horizontal="left" vertical="center" wrapText="1" indent="1"/>
    </xf>
    <xf numFmtId="0" fontId="18" fillId="2" borderId="81" xfId="0" applyFont="1" applyFill="1" applyBorder="1" applyAlignment="1">
      <alignment horizontal="center" vertical="center" wrapText="1"/>
    </xf>
    <xf numFmtId="0" fontId="10" fillId="0" borderId="77" xfId="0" applyFont="1" applyBorder="1" applyAlignment="1">
      <alignment horizontal="left" vertical="center" wrapText="1"/>
    </xf>
    <xf numFmtId="0" fontId="0" fillId="19" borderId="73" xfId="0" applyFill="1" applyBorder="1" applyAlignment="1">
      <alignment horizontal="left" vertical="top"/>
    </xf>
    <xf numFmtId="0" fontId="28" fillId="48" borderId="103" xfId="0" applyFont="1" applyFill="1" applyBorder="1" applyAlignment="1">
      <alignment horizontal="left" vertical="center" wrapText="1"/>
    </xf>
    <xf numFmtId="0" fontId="0" fillId="49" borderId="73" xfId="0" applyFill="1" applyBorder="1" applyAlignment="1">
      <alignment horizontal="left" vertical="top"/>
    </xf>
    <xf numFmtId="0" fontId="28" fillId="50" borderId="103" xfId="0" applyFont="1" applyFill="1" applyBorder="1" applyAlignment="1">
      <alignment horizontal="left" vertical="center" wrapText="1"/>
    </xf>
    <xf numFmtId="0" fontId="0" fillId="20" borderId="73" xfId="0" applyFill="1" applyBorder="1" applyAlignment="1">
      <alignment horizontal="left" vertical="top"/>
    </xf>
    <xf numFmtId="0" fontId="28" fillId="51" borderId="103" xfId="0" applyFont="1" applyFill="1" applyBorder="1" applyAlignment="1">
      <alignment horizontal="left" vertical="center" wrapText="1"/>
    </xf>
    <xf numFmtId="0" fontId="0" fillId="52" borderId="73" xfId="0" applyFill="1" applyBorder="1" applyAlignment="1">
      <alignment horizontal="left" vertical="top"/>
    </xf>
    <xf numFmtId="0" fontId="28" fillId="53" borderId="103" xfId="0" applyFont="1" applyFill="1" applyBorder="1" applyAlignment="1">
      <alignment horizontal="left" vertical="center" wrapText="1"/>
    </xf>
    <xf numFmtId="0" fontId="0" fillId="54" borderId="73" xfId="0" applyFill="1" applyBorder="1" applyAlignment="1">
      <alignment horizontal="left" vertical="top"/>
    </xf>
    <xf numFmtId="0" fontId="28" fillId="55" borderId="103" xfId="0" applyFont="1" applyFill="1" applyBorder="1" applyAlignment="1">
      <alignment horizontal="left" vertical="center" wrapText="1"/>
    </xf>
    <xf numFmtId="0" fontId="26" fillId="13" borderId="29" xfId="0" applyFont="1" applyFill="1" applyBorder="1" applyAlignment="1">
      <alignment horizontal="center" vertical="center" wrapText="1"/>
    </xf>
    <xf numFmtId="0" fontId="26" fillId="14" borderId="34" xfId="0" applyFont="1" applyFill="1" applyBorder="1" applyAlignment="1">
      <alignment horizontal="center" vertical="center" wrapText="1"/>
    </xf>
    <xf numFmtId="0" fontId="2" fillId="22" borderId="72" xfId="0" applyFont="1" applyFill="1" applyBorder="1" applyAlignment="1">
      <alignment horizontal="left"/>
    </xf>
    <xf numFmtId="0" fontId="2" fillId="0" borderId="72" xfId="0" applyFont="1" applyBorder="1" applyAlignment="1">
      <alignment horizontal="left" wrapText="1"/>
    </xf>
    <xf numFmtId="14" fontId="5" fillId="22" borderId="72" xfId="0" applyNumberFormat="1" applyFont="1" applyFill="1" applyBorder="1"/>
    <xf numFmtId="0" fontId="2" fillId="22" borderId="72" xfId="0" applyFont="1" applyFill="1" applyBorder="1" applyAlignment="1">
      <alignment horizontal="left" wrapText="1"/>
    </xf>
    <xf numFmtId="0" fontId="7" fillId="41" borderId="0" xfId="0" applyFont="1" applyFill="1" applyAlignment="1">
      <alignment horizontal="left" vertical="top" wrapText="1"/>
    </xf>
    <xf numFmtId="0" fontId="7" fillId="33" borderId="100" xfId="0" applyFont="1" applyFill="1" applyBorder="1" applyAlignment="1">
      <alignment vertical="top" wrapText="1"/>
    </xf>
    <xf numFmtId="0" fontId="26" fillId="13" borderId="36" xfId="0" applyFont="1" applyFill="1" applyBorder="1" applyAlignment="1">
      <alignment horizontal="center" vertical="center" wrapText="1"/>
    </xf>
    <xf numFmtId="0" fontId="9" fillId="0" borderId="32"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46" xfId="0" applyFont="1" applyBorder="1" applyAlignment="1">
      <alignment horizontal="center" vertical="center" wrapText="1"/>
    </xf>
    <xf numFmtId="0" fontId="26" fillId="13" borderId="44" xfId="0" applyFont="1" applyFill="1" applyBorder="1" applyAlignment="1">
      <alignment horizontal="center" vertical="center" wrapText="1"/>
    </xf>
    <xf numFmtId="0" fontId="9" fillId="0" borderId="45" xfId="0" applyFont="1" applyBorder="1" applyAlignment="1">
      <alignment horizontal="center" vertical="center" wrapText="1"/>
    </xf>
    <xf numFmtId="0" fontId="26" fillId="13" borderId="45" xfId="0" applyFont="1" applyFill="1" applyBorder="1" applyAlignment="1">
      <alignment horizontal="center" vertical="center" wrapText="1"/>
    </xf>
    <xf numFmtId="0" fontId="26" fillId="13" borderId="34" xfId="0" applyFont="1" applyFill="1" applyBorder="1" applyAlignment="1">
      <alignment horizontal="center" vertical="center" wrapText="1"/>
    </xf>
    <xf numFmtId="0" fontId="9" fillId="0" borderId="36" xfId="0" applyFont="1" applyBorder="1" applyAlignment="1">
      <alignment horizontal="center" vertical="center" wrapText="1"/>
    </xf>
    <xf numFmtId="0" fontId="15" fillId="56" borderId="104" xfId="0" applyFont="1" applyFill="1" applyBorder="1" applyAlignment="1">
      <alignment horizontal="center" vertical="center" wrapText="1"/>
    </xf>
    <xf numFmtId="0" fontId="15" fillId="56" borderId="104" xfId="0" applyFont="1" applyFill="1" applyBorder="1" applyAlignment="1">
      <alignment horizontal="left" vertical="center" wrapText="1" indent="1"/>
    </xf>
    <xf numFmtId="164" fontId="15" fillId="56" borderId="104" xfId="0" applyNumberFormat="1" applyFont="1" applyFill="1" applyBorder="1" applyAlignment="1">
      <alignment horizontal="left" vertical="center" wrapText="1" indent="1"/>
    </xf>
    <xf numFmtId="0" fontId="0" fillId="56" borderId="104" xfId="0" applyFill="1" applyBorder="1"/>
    <xf numFmtId="0" fontId="0" fillId="29" borderId="98" xfId="0" applyFill="1" applyBorder="1"/>
    <xf numFmtId="0" fontId="7" fillId="0" borderId="72" xfId="0" applyFont="1" applyBorder="1" applyAlignment="1">
      <alignment horizontal="left" vertical="top" wrapText="1"/>
    </xf>
    <xf numFmtId="0" fontId="0" fillId="26" borderId="73" xfId="0" applyFill="1" applyBorder="1" applyAlignment="1">
      <alignment horizontal="left" vertical="top"/>
    </xf>
    <xf numFmtId="0" fontId="28" fillId="36" borderId="103" xfId="0" applyFont="1" applyFill="1" applyBorder="1" applyAlignment="1">
      <alignment horizontal="left" vertical="center" wrapText="1"/>
    </xf>
    <xf numFmtId="0" fontId="28" fillId="0" borderId="102" xfId="0" applyFont="1" applyBorder="1" applyAlignment="1">
      <alignment horizontal="center" vertical="center"/>
    </xf>
    <xf numFmtId="0" fontId="9" fillId="52" borderId="2" xfId="0" applyFont="1" applyFill="1" applyBorder="1" applyAlignment="1">
      <alignment horizontal="center" vertical="center" wrapText="1"/>
    </xf>
    <xf numFmtId="0" fontId="15" fillId="52" borderId="48" xfId="0" applyFont="1" applyFill="1" applyBorder="1" applyAlignment="1">
      <alignment horizontal="center" vertical="center" wrapText="1"/>
    </xf>
    <xf numFmtId="0" fontId="28" fillId="39" borderId="103" xfId="0" applyFont="1" applyFill="1" applyBorder="1" applyAlignment="1">
      <alignment horizontal="left" vertical="center" wrapText="1"/>
    </xf>
    <xf numFmtId="0" fontId="0" fillId="29" borderId="73" xfId="0" applyFill="1" applyBorder="1" applyAlignment="1">
      <alignment horizontal="left" vertical="top" wrapText="1"/>
    </xf>
    <xf numFmtId="0" fontId="0" fillId="57" borderId="93" xfId="0" applyFill="1" applyBorder="1" applyAlignment="1">
      <alignment vertical="top"/>
    </xf>
    <xf numFmtId="0" fontId="30" fillId="57" borderId="93" xfId="0" applyFont="1" applyFill="1" applyBorder="1" applyAlignment="1">
      <alignment horizontal="left" vertical="top" wrapText="1"/>
    </xf>
    <xf numFmtId="0" fontId="15" fillId="27" borderId="72" xfId="0" applyFont="1" applyFill="1" applyBorder="1" applyAlignment="1">
      <alignment horizontal="center" vertical="center" wrapText="1"/>
    </xf>
    <xf numFmtId="0" fontId="15" fillId="27" borderId="72" xfId="0" applyFont="1" applyFill="1" applyBorder="1" applyAlignment="1">
      <alignment horizontal="left" vertical="center" wrapText="1" indent="1"/>
    </xf>
    <xf numFmtId="0" fontId="15" fillId="27" borderId="0" xfId="0" applyFont="1" applyFill="1" applyAlignment="1">
      <alignment horizontal="left" vertical="center" wrapText="1" indent="1"/>
    </xf>
    <xf numFmtId="0" fontId="0" fillId="27" borderId="0" xfId="0" applyFill="1"/>
    <xf numFmtId="0" fontId="0" fillId="27" borderId="72" xfId="0" applyFill="1" applyBorder="1"/>
    <xf numFmtId="0" fontId="0" fillId="27" borderId="72" xfId="0" applyFill="1" applyBorder="1" applyAlignment="1">
      <alignment horizontal="center"/>
    </xf>
    <xf numFmtId="0" fontId="0" fillId="27" borderId="72" xfId="0" applyFill="1" applyBorder="1" applyAlignment="1">
      <alignment horizontal="center" vertical="center"/>
    </xf>
    <xf numFmtId="0" fontId="28" fillId="27" borderId="102" xfId="0" applyFont="1" applyFill="1" applyBorder="1" applyAlignment="1">
      <alignment horizontal="center" vertical="center"/>
    </xf>
    <xf numFmtId="0" fontId="0" fillId="17" borderId="73" xfId="0" applyFill="1" applyBorder="1" applyAlignment="1">
      <alignment horizontal="left" vertical="top" wrapText="1"/>
    </xf>
    <xf numFmtId="0" fontId="28" fillId="42" borderId="103" xfId="0" applyFont="1" applyFill="1" applyBorder="1" applyAlignment="1">
      <alignment horizontal="left" vertical="center" wrapText="1"/>
    </xf>
    <xf numFmtId="0" fontId="0" fillId="0" borderId="102" xfId="0" applyBorder="1"/>
    <xf numFmtId="0" fontId="0" fillId="9" borderId="73" xfId="0" applyFill="1" applyBorder="1" applyAlignment="1">
      <alignment horizontal="left" vertical="top"/>
    </xf>
    <xf numFmtId="0" fontId="28" fillId="58" borderId="103" xfId="0" applyFont="1" applyFill="1" applyBorder="1" applyAlignment="1">
      <alignment horizontal="left" vertical="center" wrapText="1"/>
    </xf>
    <xf numFmtId="0" fontId="28" fillId="27" borderId="72" xfId="0" applyFont="1" applyFill="1" applyBorder="1" applyAlignment="1">
      <alignment horizontal="center" vertical="center"/>
    </xf>
    <xf numFmtId="0" fontId="9" fillId="59" borderId="0" xfId="0" applyFont="1" applyFill="1" applyAlignment="1">
      <alignment horizontal="center" vertical="center" wrapText="1"/>
    </xf>
    <xf numFmtId="0" fontId="15" fillId="59" borderId="48" xfId="0" applyFont="1" applyFill="1" applyBorder="1" applyAlignment="1">
      <alignment horizontal="center" vertical="center" wrapText="1"/>
    </xf>
    <xf numFmtId="0" fontId="15" fillId="19" borderId="0" xfId="0" applyFont="1" applyFill="1" applyAlignment="1">
      <alignment horizontal="center" vertical="center" wrapText="1"/>
    </xf>
    <xf numFmtId="0" fontId="15" fillId="0" borderId="77" xfId="0" applyFont="1" applyBorder="1" applyAlignment="1">
      <alignment horizontal="left" vertical="center" wrapText="1"/>
    </xf>
    <xf numFmtId="0" fontId="15" fillId="0" borderId="0" xfId="0" applyFont="1" applyAlignment="1">
      <alignment horizontal="left" vertical="center" wrapText="1"/>
    </xf>
    <xf numFmtId="0" fontId="10" fillId="0" borderId="0" xfId="0" applyFont="1" applyAlignment="1">
      <alignment horizontal="left" vertical="center" wrapText="1"/>
    </xf>
    <xf numFmtId="0" fontId="0" fillId="34" borderId="106" xfId="0" applyFill="1" applyBorder="1" applyAlignment="1">
      <alignment horizontal="left" vertical="top"/>
    </xf>
    <xf numFmtId="0" fontId="0" fillId="21" borderId="106" xfId="0" applyFill="1" applyBorder="1" applyAlignment="1">
      <alignment horizontal="left" vertical="top"/>
    </xf>
    <xf numFmtId="0" fontId="7" fillId="0" borderId="72" xfId="0" applyFont="1" applyBorder="1" applyAlignment="1">
      <alignment vertical="top" wrapText="1"/>
    </xf>
    <xf numFmtId="164" fontId="15" fillId="0" borderId="104" xfId="0" applyNumberFormat="1" applyFont="1" applyBorder="1" applyAlignment="1">
      <alignment horizontal="left" vertical="center" wrapText="1" indent="1"/>
    </xf>
    <xf numFmtId="49" fontId="15" fillId="0" borderId="104" xfId="0" applyNumberFormat="1" applyFont="1" applyBorder="1" applyAlignment="1">
      <alignment horizontal="left" vertical="center" wrapText="1" indent="1"/>
    </xf>
    <xf numFmtId="0" fontId="0" fillId="21" borderId="98" xfId="0" applyFill="1" applyBorder="1" applyAlignment="1">
      <alignment horizontal="left" vertical="top"/>
    </xf>
    <xf numFmtId="0" fontId="0" fillId="57" borderId="93" xfId="0" applyFill="1" applyBorder="1" applyAlignment="1">
      <alignment vertical="top" wrapText="1"/>
    </xf>
    <xf numFmtId="0" fontId="0" fillId="52" borderId="73" xfId="0" applyFill="1" applyBorder="1" applyAlignment="1">
      <alignment horizontal="left" vertical="top" wrapText="1"/>
    </xf>
    <xf numFmtId="0" fontId="9" fillId="0" borderId="107" xfId="0" applyFont="1" applyBorder="1" applyAlignment="1">
      <alignment horizontal="center" vertical="center" wrapText="1"/>
    </xf>
    <xf numFmtId="0" fontId="0" fillId="60" borderId="73" xfId="0" applyFill="1" applyBorder="1" applyAlignment="1">
      <alignment horizontal="left" vertical="top" wrapText="1"/>
    </xf>
    <xf numFmtId="0" fontId="28" fillId="61" borderId="103" xfId="0" applyFont="1" applyFill="1" applyBorder="1" applyAlignment="1">
      <alignment horizontal="left" vertical="center" wrapText="1"/>
    </xf>
    <xf numFmtId="0" fontId="15" fillId="13" borderId="0" xfId="0" applyFont="1" applyFill="1" applyAlignment="1">
      <alignment horizontal="center" vertical="center" wrapText="1"/>
    </xf>
    <xf numFmtId="0" fontId="19" fillId="6" borderId="87"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19" fillId="6" borderId="9" xfId="0" applyFont="1" applyFill="1" applyBorder="1" applyAlignment="1">
      <alignment horizontal="center" vertical="center" wrapText="1"/>
    </xf>
    <xf numFmtId="0" fontId="19" fillId="5" borderId="88"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2" fillId="0" borderId="0" xfId="0" applyFont="1" applyAlignment="1">
      <alignment horizontal="right" vertical="center" wrapText="1"/>
    </xf>
    <xf numFmtId="0" fontId="11" fillId="0" borderId="94" xfId="0" applyFont="1" applyBorder="1" applyAlignment="1">
      <alignment horizontal="center" vertical="center" wrapText="1"/>
    </xf>
    <xf numFmtId="0" fontId="12" fillId="0" borderId="95" xfId="0" applyFont="1" applyBorder="1" applyAlignment="1">
      <alignment horizontal="right" vertical="center" wrapText="1"/>
    </xf>
    <xf numFmtId="0" fontId="19" fillId="4" borderId="4"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9" fillId="7" borderId="0" xfId="0" applyFont="1" applyFill="1" applyAlignment="1">
      <alignment horizontal="center" vertical="center" wrapText="1"/>
    </xf>
    <xf numFmtId="0" fontId="19" fillId="7" borderId="11" xfId="0" applyFont="1" applyFill="1" applyBorder="1" applyAlignment="1">
      <alignment horizontal="center" vertical="center" wrapText="1"/>
    </xf>
    <xf numFmtId="0" fontId="19" fillId="3" borderId="89" xfId="0" applyFont="1" applyFill="1" applyBorder="1" applyAlignment="1">
      <alignment horizontal="center" vertical="center" wrapText="1"/>
    </xf>
    <xf numFmtId="0" fontId="19" fillId="3" borderId="90" xfId="0" applyFont="1" applyFill="1" applyBorder="1" applyAlignment="1">
      <alignment horizontal="center" vertical="center" wrapText="1"/>
    </xf>
    <xf numFmtId="0" fontId="18" fillId="2" borderId="12" xfId="0" applyFont="1" applyFill="1" applyBorder="1" applyAlignment="1">
      <alignment horizontal="left" vertical="center" wrapText="1" indent="1"/>
    </xf>
    <xf numFmtId="0" fontId="18" fillId="2" borderId="26" xfId="0" applyFont="1" applyFill="1" applyBorder="1" applyAlignment="1">
      <alignment horizontal="left" vertical="center" wrapText="1" indent="1"/>
    </xf>
    <xf numFmtId="0" fontId="19" fillId="3" borderId="0" xfId="0" applyFont="1" applyFill="1" applyAlignment="1">
      <alignment horizontal="center" vertical="center" wrapText="1"/>
    </xf>
  </cellXfs>
  <cellStyles count="2">
    <cellStyle name="Accent2 2" xfId="1" xr:uid="{69C51F6F-FD05-4616-8F02-45D45562A977}"/>
    <cellStyle name="Normal" xfId="0" builtinId="0"/>
  </cellStyles>
  <dxfs count="921">
    <dxf>
      <font>
        <b/>
        <i val="0"/>
        <color rgb="FFFF0000"/>
      </font>
    </dxf>
    <dxf>
      <fill>
        <patternFill patternType="none">
          <bgColor auto="1"/>
        </patternFill>
      </fill>
    </dxf>
    <dxf>
      <font>
        <b/>
        <i val="0"/>
        <color rgb="FF3F752B"/>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FF0000"/>
      </font>
    </dxf>
    <dxf>
      <font>
        <b/>
        <i val="0"/>
        <color rgb="FF3F752B"/>
      </font>
    </dxf>
    <dxf>
      <font>
        <b/>
        <i val="0"/>
        <color rgb="FF3F752B"/>
      </font>
    </dxf>
    <dxf>
      <font>
        <b/>
        <i val="0"/>
        <color rgb="FFFF0000"/>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ont>
        <b/>
        <i val="0"/>
        <color rgb="FF3F752B"/>
      </font>
    </dxf>
    <dxf>
      <font>
        <b/>
        <i val="0"/>
        <color rgb="FFFF0000"/>
      </font>
    </dxf>
    <dxf>
      <font>
        <b/>
        <i val="0"/>
        <color rgb="FFFF0000"/>
      </font>
    </dxf>
    <dxf>
      <font>
        <b/>
        <i val="0"/>
        <color rgb="FF3F752B"/>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3F752B"/>
      </font>
    </dxf>
    <dxf>
      <fill>
        <patternFill patternType="none">
          <bgColor auto="1"/>
        </patternFill>
      </fill>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ont>
        <b/>
        <i val="0"/>
        <color rgb="FF3F752B"/>
      </font>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ill>
        <patternFill patternType="none">
          <bgColor auto="1"/>
        </patternFill>
      </fill>
    </dxf>
    <dxf>
      <fill>
        <patternFill patternType="none">
          <bgColor auto="1"/>
        </patternFill>
      </fill>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ont>
        <b/>
        <i val="0"/>
        <color rgb="FF3F752B"/>
      </font>
    </dxf>
    <dxf>
      <fill>
        <patternFill patternType="none">
          <bgColor auto="1"/>
        </patternFill>
      </fill>
    </dxf>
    <dxf>
      <fill>
        <patternFill patternType="none">
          <bgColor auto="1"/>
        </patternFill>
      </fill>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ont>
        <b/>
        <i val="0"/>
        <color rgb="FFFF0000"/>
      </font>
    </dxf>
    <dxf>
      <fill>
        <patternFill patternType="none">
          <bgColor auto="1"/>
        </patternFill>
      </fill>
    </dxf>
    <dxf>
      <fill>
        <patternFill patternType="none">
          <bgColor auto="1"/>
        </patternFill>
      </fill>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ill>
        <patternFill patternType="none">
          <bgColor auto="1"/>
        </patternFill>
      </fill>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ont>
        <b/>
        <i val="0"/>
        <color rgb="FFFF0000"/>
      </font>
    </dxf>
    <dxf>
      <font>
        <b/>
        <i val="0"/>
        <color rgb="FF3F752B"/>
      </font>
    </dxf>
    <dxf>
      <fill>
        <patternFill patternType="none">
          <bgColor auto="1"/>
        </patternFill>
      </fill>
    </dxf>
    <dxf>
      <fill>
        <patternFill patternType="none">
          <bgColor auto="1"/>
        </patternFill>
      </fill>
    </dxf>
    <dxf>
      <fill>
        <patternFill patternType="none">
          <bgColor auto="1"/>
        </patternFill>
      </fill>
    </dxf>
    <dxf>
      <font>
        <b/>
        <i val="0"/>
        <color rgb="FFFF0000"/>
      </font>
    </dxf>
    <dxf>
      <fill>
        <patternFill patternType="none">
          <bgColor auto="1"/>
        </patternFill>
      </fill>
    </dxf>
    <dxf>
      <font>
        <b/>
        <i val="0"/>
        <color rgb="FF3F752B"/>
      </font>
    </dxf>
    <dxf>
      <font>
        <b/>
        <i val="0"/>
        <color rgb="FF3F752B"/>
      </font>
    </dxf>
    <dxf>
      <font>
        <b/>
        <i val="0"/>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3F752B"/>
      </font>
    </dxf>
    <dxf>
      <font>
        <b/>
        <i val="0"/>
        <color rgb="FFFF0000"/>
      </font>
    </dxf>
    <dxf>
      <font>
        <b/>
        <i val="0"/>
        <color rgb="FFFF0000"/>
      </font>
    </dxf>
    <dxf>
      <font>
        <b/>
        <i val="0"/>
        <color rgb="FF3F752B"/>
      </font>
    </dxf>
    <dxf>
      <fill>
        <patternFill patternType="none">
          <bgColor auto="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4.9989318521683403E-2"/>
        </patternFill>
      </fill>
    </dxf>
    <dxf>
      <fill>
        <patternFill>
          <bgColor rgb="FF92D05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bgColor theme="0" tint="-0.14996795556505021"/>
        </patternFill>
      </fill>
    </dxf>
    <dxf>
      <fill>
        <patternFill>
          <bgColor rgb="FF92D050"/>
        </patternFill>
      </fill>
    </dxf>
    <dxf>
      <fill>
        <patternFill>
          <bgColor theme="0" tint="-4.9989318521683403E-2"/>
        </patternFill>
      </fill>
    </dxf>
    <dxf>
      <fill>
        <patternFill>
          <bgColor rgb="FF92D050"/>
        </patternFill>
      </fill>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s>
  <tableStyles count="0" defaultTableStyle="TableStyleMedium2" defaultPivotStyle="PivotStyleLight16"/>
  <colors>
    <mruColors>
      <color rgb="FF8EA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40</xdr:col>
      <xdr:colOff>7791</xdr:colOff>
      <xdr:row>0</xdr:row>
      <xdr:rowOff>502226</xdr:rowOff>
    </xdr:from>
    <xdr:to>
      <xdr:col>41</xdr:col>
      <xdr:colOff>-1</xdr:colOff>
      <xdr:row>13</xdr:row>
      <xdr:rowOff>467589</xdr:rowOff>
    </xdr:to>
    <xdr:sp macro="" textlink="">
      <xdr:nvSpPr>
        <xdr:cNvPr id="2" name="TextBox 1">
          <a:extLst>
            <a:ext uri="{FF2B5EF4-FFF2-40B4-BE49-F238E27FC236}">
              <a16:creationId xmlns:a16="http://schemas.microsoft.com/office/drawing/2014/main" id="{AF492B63-2E88-49F0-A203-607016CE6A65}"/>
            </a:ext>
          </a:extLst>
        </xdr:cNvPr>
        <xdr:cNvSpPr txBox="1"/>
      </xdr:nvSpPr>
      <xdr:spPr>
        <a:xfrm>
          <a:off x="64795109" y="502226"/>
          <a:ext cx="1845254" cy="3931227"/>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xdr:row>
      <xdr:rowOff>17315</xdr:rowOff>
    </xdr:from>
    <xdr:to>
      <xdr:col>31</xdr:col>
      <xdr:colOff>17318</xdr:colOff>
      <xdr:row>13</xdr:row>
      <xdr:rowOff>484905</xdr:rowOff>
    </xdr:to>
    <xdr:sp macro="" textlink="">
      <xdr:nvSpPr>
        <xdr:cNvPr id="2" name="TextBox 1">
          <a:extLst>
            <a:ext uri="{FF2B5EF4-FFF2-40B4-BE49-F238E27FC236}">
              <a16:creationId xmlns:a16="http://schemas.microsoft.com/office/drawing/2014/main" id="{763C69C7-9ADD-4FB7-95C9-802B603B8AFB}"/>
            </a:ext>
          </a:extLst>
        </xdr:cNvPr>
        <xdr:cNvSpPr txBox="1"/>
      </xdr:nvSpPr>
      <xdr:spPr>
        <a:xfrm>
          <a:off x="44992636" y="519542"/>
          <a:ext cx="1870364" cy="3775363"/>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1194949</xdr:colOff>
      <xdr:row>1</xdr:row>
      <xdr:rowOff>17320</xdr:rowOff>
    </xdr:from>
    <xdr:to>
      <xdr:col>24</xdr:col>
      <xdr:colOff>1749133</xdr:colOff>
      <xdr:row>13</xdr:row>
      <xdr:rowOff>484910</xdr:rowOff>
    </xdr:to>
    <xdr:sp macro="" textlink="">
      <xdr:nvSpPr>
        <xdr:cNvPr id="2" name="TextBox 1">
          <a:extLst>
            <a:ext uri="{FF2B5EF4-FFF2-40B4-BE49-F238E27FC236}">
              <a16:creationId xmlns:a16="http://schemas.microsoft.com/office/drawing/2014/main" id="{F5F855F3-B651-4FD0-B7F6-C7438DB4F6FD}"/>
            </a:ext>
          </a:extLst>
        </xdr:cNvPr>
        <xdr:cNvSpPr txBox="1"/>
      </xdr:nvSpPr>
      <xdr:spPr>
        <a:xfrm>
          <a:off x="37268722" y="519547"/>
          <a:ext cx="1749138" cy="3775363"/>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2142</xdr:colOff>
      <xdr:row>1</xdr:row>
      <xdr:rowOff>49065</xdr:rowOff>
    </xdr:from>
    <xdr:to>
      <xdr:col>19</xdr:col>
      <xdr:colOff>-1</xdr:colOff>
      <xdr:row>13</xdr:row>
      <xdr:rowOff>19577</xdr:rowOff>
    </xdr:to>
    <xdr:sp macro="" textlink="">
      <xdr:nvSpPr>
        <xdr:cNvPr id="2" name="TextBox 1">
          <a:extLst>
            <a:ext uri="{FF2B5EF4-FFF2-40B4-BE49-F238E27FC236}">
              <a16:creationId xmlns:a16="http://schemas.microsoft.com/office/drawing/2014/main" id="{42852523-65CC-4C1D-8F1E-5A8043137E3D}"/>
            </a:ext>
          </a:extLst>
        </xdr:cNvPr>
        <xdr:cNvSpPr txBox="1"/>
      </xdr:nvSpPr>
      <xdr:spPr>
        <a:xfrm>
          <a:off x="27191687" y="551292"/>
          <a:ext cx="1746994" cy="3607330"/>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51</xdr:col>
      <xdr:colOff>27417</xdr:colOff>
      <xdr:row>0</xdr:row>
      <xdr:rowOff>491681</xdr:rowOff>
    </xdr:from>
    <xdr:to>
      <xdr:col>52</xdr:col>
      <xdr:colOff>0</xdr:colOff>
      <xdr:row>13</xdr:row>
      <xdr:rowOff>484095</xdr:rowOff>
    </xdr:to>
    <xdr:sp macro="" textlink="">
      <xdr:nvSpPr>
        <xdr:cNvPr id="2" name="TextBox 1">
          <a:extLst>
            <a:ext uri="{FF2B5EF4-FFF2-40B4-BE49-F238E27FC236}">
              <a16:creationId xmlns:a16="http://schemas.microsoft.com/office/drawing/2014/main" id="{60CDBBF0-5A97-4EB7-8336-118A1FF57E28}"/>
            </a:ext>
          </a:extLst>
        </xdr:cNvPr>
        <xdr:cNvSpPr txBox="1"/>
      </xdr:nvSpPr>
      <xdr:spPr>
        <a:xfrm>
          <a:off x="78721235" y="491681"/>
          <a:ext cx="1565856" cy="3958278"/>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69</xdr:col>
      <xdr:colOff>449</xdr:colOff>
      <xdr:row>1</xdr:row>
      <xdr:rowOff>999</xdr:rowOff>
    </xdr:from>
    <xdr:to>
      <xdr:col>69</xdr:col>
      <xdr:colOff>1731817</xdr:colOff>
      <xdr:row>13</xdr:row>
      <xdr:rowOff>501414</xdr:rowOff>
    </xdr:to>
    <xdr:sp macro="" textlink="">
      <xdr:nvSpPr>
        <xdr:cNvPr id="2" name="TextBox 1">
          <a:extLst>
            <a:ext uri="{FF2B5EF4-FFF2-40B4-BE49-F238E27FC236}">
              <a16:creationId xmlns:a16="http://schemas.microsoft.com/office/drawing/2014/main" id="{92762698-5D32-4FFC-8C1A-AF83EAAAAFD8}"/>
            </a:ext>
          </a:extLst>
        </xdr:cNvPr>
        <xdr:cNvSpPr txBox="1"/>
      </xdr:nvSpPr>
      <xdr:spPr>
        <a:xfrm>
          <a:off x="104273222" y="503226"/>
          <a:ext cx="1731368" cy="4119915"/>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31</xdr:col>
      <xdr:colOff>451</xdr:colOff>
      <xdr:row>1</xdr:row>
      <xdr:rowOff>1000</xdr:rowOff>
    </xdr:from>
    <xdr:to>
      <xdr:col>31</xdr:col>
      <xdr:colOff>1177636</xdr:colOff>
      <xdr:row>13</xdr:row>
      <xdr:rowOff>501415</xdr:rowOff>
    </xdr:to>
    <xdr:sp macro="" textlink="">
      <xdr:nvSpPr>
        <xdr:cNvPr id="2" name="TextBox 1">
          <a:extLst>
            <a:ext uri="{FF2B5EF4-FFF2-40B4-BE49-F238E27FC236}">
              <a16:creationId xmlns:a16="http://schemas.microsoft.com/office/drawing/2014/main" id="{0EF67E32-2832-417F-97B4-4DDBAB5AF3D2}"/>
            </a:ext>
          </a:extLst>
        </xdr:cNvPr>
        <xdr:cNvSpPr txBox="1"/>
      </xdr:nvSpPr>
      <xdr:spPr>
        <a:xfrm>
          <a:off x="46482451" y="503227"/>
          <a:ext cx="1177185" cy="4119915"/>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23</xdr:col>
      <xdr:colOff>6224</xdr:colOff>
      <xdr:row>0</xdr:row>
      <xdr:rowOff>487351</xdr:rowOff>
    </xdr:from>
    <xdr:to>
      <xdr:col>23</xdr:col>
      <xdr:colOff>1587499</xdr:colOff>
      <xdr:row>13</xdr:row>
      <xdr:rowOff>488714</xdr:rowOff>
    </xdr:to>
    <xdr:sp macro="" textlink="">
      <xdr:nvSpPr>
        <xdr:cNvPr id="2" name="TextBox 1">
          <a:extLst>
            <a:ext uri="{FF2B5EF4-FFF2-40B4-BE49-F238E27FC236}">
              <a16:creationId xmlns:a16="http://schemas.microsoft.com/office/drawing/2014/main" id="{D5FE2180-63BB-46F2-A76D-473B18B75627}"/>
            </a:ext>
          </a:extLst>
        </xdr:cNvPr>
        <xdr:cNvSpPr txBox="1"/>
      </xdr:nvSpPr>
      <xdr:spPr>
        <a:xfrm>
          <a:off x="33581849" y="487351"/>
          <a:ext cx="1581275" cy="3938363"/>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15875</xdr:colOff>
      <xdr:row>1</xdr:row>
      <xdr:rowOff>11101</xdr:rowOff>
    </xdr:from>
    <xdr:to>
      <xdr:col>44</xdr:col>
      <xdr:colOff>0</xdr:colOff>
      <xdr:row>14</xdr:row>
      <xdr:rowOff>12464</xdr:rowOff>
    </xdr:to>
    <xdr:sp macro="" textlink="">
      <xdr:nvSpPr>
        <xdr:cNvPr id="2" name="TextBox 1">
          <a:extLst>
            <a:ext uri="{FF2B5EF4-FFF2-40B4-BE49-F238E27FC236}">
              <a16:creationId xmlns:a16="http://schemas.microsoft.com/office/drawing/2014/main" id="{D4FE5378-080F-49BE-8DB8-8216224A47DD}"/>
            </a:ext>
          </a:extLst>
        </xdr:cNvPr>
        <xdr:cNvSpPr txBox="1"/>
      </xdr:nvSpPr>
      <xdr:spPr>
        <a:xfrm>
          <a:off x="59182000" y="519101"/>
          <a:ext cx="1476375" cy="4081238"/>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6225</xdr:colOff>
      <xdr:row>0</xdr:row>
      <xdr:rowOff>496009</xdr:rowOff>
    </xdr:from>
    <xdr:to>
      <xdr:col>44</xdr:col>
      <xdr:colOff>17319</xdr:colOff>
      <xdr:row>13</xdr:row>
      <xdr:rowOff>497373</xdr:rowOff>
    </xdr:to>
    <xdr:sp macro="" textlink="">
      <xdr:nvSpPr>
        <xdr:cNvPr id="2" name="TextBox 1">
          <a:extLst>
            <a:ext uri="{FF2B5EF4-FFF2-40B4-BE49-F238E27FC236}">
              <a16:creationId xmlns:a16="http://schemas.microsoft.com/office/drawing/2014/main" id="{BF151926-9B57-4D88-9F6A-8D903C8AE8DD}"/>
            </a:ext>
          </a:extLst>
        </xdr:cNvPr>
        <xdr:cNvSpPr txBox="1"/>
      </xdr:nvSpPr>
      <xdr:spPr>
        <a:xfrm>
          <a:off x="59130498" y="496009"/>
          <a:ext cx="1604366" cy="3949909"/>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99</xdr:col>
      <xdr:colOff>10266</xdr:colOff>
      <xdr:row>1</xdr:row>
      <xdr:rowOff>6484</xdr:rowOff>
    </xdr:from>
    <xdr:to>
      <xdr:col>100</xdr:col>
      <xdr:colOff>-1</xdr:colOff>
      <xdr:row>13</xdr:row>
      <xdr:rowOff>484910</xdr:rowOff>
    </xdr:to>
    <xdr:sp macro="" textlink="">
      <xdr:nvSpPr>
        <xdr:cNvPr id="5" name="TextBox 1">
          <a:extLst>
            <a:ext uri="{FF2B5EF4-FFF2-40B4-BE49-F238E27FC236}">
              <a16:creationId xmlns:a16="http://schemas.microsoft.com/office/drawing/2014/main" id="{456C6158-4BD0-4FC9-A7E6-64E80B2CCB13}"/>
            </a:ext>
          </a:extLst>
        </xdr:cNvPr>
        <xdr:cNvSpPr txBox="1"/>
      </xdr:nvSpPr>
      <xdr:spPr>
        <a:xfrm>
          <a:off x="135282584" y="508711"/>
          <a:ext cx="1583006" cy="4063290"/>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85</xdr:col>
      <xdr:colOff>1177799</xdr:colOff>
      <xdr:row>0</xdr:row>
      <xdr:rowOff>503226</xdr:rowOff>
    </xdr:from>
    <xdr:to>
      <xdr:col>87</xdr:col>
      <xdr:colOff>31750</xdr:colOff>
      <xdr:row>13</xdr:row>
      <xdr:rowOff>504589</xdr:rowOff>
    </xdr:to>
    <xdr:sp macro="" textlink="">
      <xdr:nvSpPr>
        <xdr:cNvPr id="2" name="TextBox 1">
          <a:extLst>
            <a:ext uri="{FF2B5EF4-FFF2-40B4-BE49-F238E27FC236}">
              <a16:creationId xmlns:a16="http://schemas.microsoft.com/office/drawing/2014/main" id="{2DAD5C77-19A6-4C3B-B735-834EF982F15A}"/>
            </a:ext>
          </a:extLst>
        </xdr:cNvPr>
        <xdr:cNvSpPr txBox="1"/>
      </xdr:nvSpPr>
      <xdr:spPr>
        <a:xfrm>
          <a:off x="117081174" y="503226"/>
          <a:ext cx="1393951" cy="4081238"/>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54</xdr:col>
      <xdr:colOff>1482310</xdr:colOff>
      <xdr:row>1</xdr:row>
      <xdr:rowOff>23800</xdr:rowOff>
    </xdr:from>
    <xdr:to>
      <xdr:col>56</xdr:col>
      <xdr:colOff>17318</xdr:colOff>
      <xdr:row>14</xdr:row>
      <xdr:rowOff>25163</xdr:rowOff>
    </xdr:to>
    <xdr:sp macro="" textlink="">
      <xdr:nvSpPr>
        <xdr:cNvPr id="2" name="TextBox 1">
          <a:extLst>
            <a:ext uri="{FF2B5EF4-FFF2-40B4-BE49-F238E27FC236}">
              <a16:creationId xmlns:a16="http://schemas.microsoft.com/office/drawing/2014/main" id="{5C2E010A-1977-4D73-94CA-A2737EB7EF6D}"/>
            </a:ext>
          </a:extLst>
        </xdr:cNvPr>
        <xdr:cNvSpPr txBox="1"/>
      </xdr:nvSpPr>
      <xdr:spPr>
        <a:xfrm>
          <a:off x="75881219" y="526027"/>
          <a:ext cx="1479099" cy="4088454"/>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58</xdr:col>
      <xdr:colOff>1174751</xdr:colOff>
      <xdr:row>1</xdr:row>
      <xdr:rowOff>22354</xdr:rowOff>
    </xdr:from>
    <xdr:to>
      <xdr:col>60</xdr:col>
      <xdr:colOff>15875</xdr:colOff>
      <xdr:row>14</xdr:row>
      <xdr:rowOff>23717</xdr:rowOff>
    </xdr:to>
    <xdr:sp macro="" textlink="">
      <xdr:nvSpPr>
        <xdr:cNvPr id="2" name="TextBox 1">
          <a:extLst>
            <a:ext uri="{FF2B5EF4-FFF2-40B4-BE49-F238E27FC236}">
              <a16:creationId xmlns:a16="http://schemas.microsoft.com/office/drawing/2014/main" id="{631F4354-7386-490B-9536-1A9851ADF723}"/>
            </a:ext>
          </a:extLst>
        </xdr:cNvPr>
        <xdr:cNvSpPr txBox="1"/>
      </xdr:nvSpPr>
      <xdr:spPr>
        <a:xfrm>
          <a:off x="82232501" y="530354"/>
          <a:ext cx="1555749" cy="3906613"/>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67</xdr:col>
      <xdr:colOff>7792</xdr:colOff>
      <xdr:row>0</xdr:row>
      <xdr:rowOff>491391</xdr:rowOff>
    </xdr:from>
    <xdr:to>
      <xdr:col>67</xdr:col>
      <xdr:colOff>1177637</xdr:colOff>
      <xdr:row>13</xdr:row>
      <xdr:rowOff>492754</xdr:rowOff>
    </xdr:to>
    <xdr:sp macro="" textlink="">
      <xdr:nvSpPr>
        <xdr:cNvPr id="2" name="TextBox 1">
          <a:extLst>
            <a:ext uri="{FF2B5EF4-FFF2-40B4-BE49-F238E27FC236}">
              <a16:creationId xmlns:a16="http://schemas.microsoft.com/office/drawing/2014/main" id="{14D70DBD-B7CB-46A0-BD9A-4ACA206F0F11}"/>
            </a:ext>
          </a:extLst>
        </xdr:cNvPr>
        <xdr:cNvSpPr txBox="1"/>
      </xdr:nvSpPr>
      <xdr:spPr>
        <a:xfrm>
          <a:off x="90512610" y="491391"/>
          <a:ext cx="1169845" cy="4088454"/>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accent3">
                  <a:lumMod val="50000"/>
                </a:schemeClr>
              </a:solidFill>
            </a:rPr>
            <a:t>We are here</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D9D8819-5D87-4667-B866-BE84D9C77220}"/>
</namedSheetViews>
</file>

<file path=xl/persons/person.xml><?xml version="1.0" encoding="utf-8"?>
<personList xmlns="http://schemas.microsoft.com/office/spreadsheetml/2018/threadedcomments" xmlns:x="http://schemas.openxmlformats.org/spreadsheetml/2006/main">
  <person displayName="Cheng, Pease" id="{9152FD56-5808-4625-9128-B4E43BB726F8}" userId="S::pease.cheng1@hp.com::9052f5fa-f562-40db-ab40-463a1af7b62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4039A6-DE69-4F33-90E3-B27286C04EAD}" name="Table14" displayName="Table14" ref="A2:C13" totalsRowShown="0">
  <autoFilter ref="A2:C13" xr:uid="{964039A6-DE69-4F33-90E3-B27286C04EAD}"/>
  <tableColumns count="3">
    <tableColumn id="1" xr3:uid="{70C96583-FA7C-40C8-8CC5-0779CDED6889}" name="Module/Scope"/>
    <tableColumn id="2" xr3:uid="{741FD5D8-69B7-4E6F-BB59-2C6D99EF054B}" name="Assign to Component" dataDxfId="920"/>
    <tableColumn id="3" xr3:uid="{722E8D49-6AD2-4C24-BB11-A757FFA30688}" name="Owner"/>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65EB8D-F751-43BC-BA6E-2BC89E34E546}" name="Table135" displayName="Table135" ref="A16:C40" totalsRowShown="0">
  <autoFilter ref="A16:C40" xr:uid="{7765EB8D-F751-43BC-BA6E-2BC89E34E546}"/>
  <tableColumns count="3">
    <tableColumn id="1" xr3:uid="{71F41B06-409E-481D-BC08-D65758F21D1C}" name="Module/Scope"/>
    <tableColumn id="2" xr3:uid="{628BC7BA-F263-4495-B5DE-6B172E3AE877}" name="Assign to Component" dataDxfId="919"/>
    <tableColumn id="3" xr3:uid="{1A32BA18-4D2B-4BEB-AA71-330ECD352588}" name="Owner"/>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O99" dT="2024-11-20T05:33:23.41" personId="{9152FD56-5808-4625-9128-B4E43BB726F8}" id="{CF3B7E59-D958-47BF-B40F-54FEEFA1BF76}">
    <text>DCR-in, Add Himax support in OOC</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B8F8-02EB-46C2-90CA-BCF35B6F90F2}">
  <sheetPr codeName="Sheet3"/>
  <dimension ref="A1:C40"/>
  <sheetViews>
    <sheetView topLeftCell="A19" workbookViewId="0">
      <selection activeCell="A43" sqref="A43"/>
    </sheetView>
  </sheetViews>
  <sheetFormatPr defaultRowHeight="15"/>
  <cols>
    <col min="1" max="1" width="33" customWidth="1"/>
    <col min="2" max="2" width="31.85546875" bestFit="1" customWidth="1"/>
    <col min="3" max="3" width="132.85546875" bestFit="1" customWidth="1"/>
  </cols>
  <sheetData>
    <row r="1" spans="1:3">
      <c r="A1" t="s">
        <v>0</v>
      </c>
    </row>
    <row r="2" spans="1:3">
      <c r="A2" t="s">
        <v>1</v>
      </c>
      <c r="B2" t="s">
        <v>2</v>
      </c>
      <c r="C2" t="s">
        <v>3</v>
      </c>
    </row>
    <row r="3" spans="1:3">
      <c r="A3" t="s">
        <v>4</v>
      </c>
      <c r="B3" t="s">
        <v>0</v>
      </c>
      <c r="C3" t="s">
        <v>5</v>
      </c>
    </row>
    <row r="4" spans="1:3">
      <c r="A4" t="s">
        <v>6</v>
      </c>
      <c r="B4" t="s">
        <v>7</v>
      </c>
      <c r="C4" t="s">
        <v>5</v>
      </c>
    </row>
    <row r="5" spans="1:3">
      <c r="A5" t="s">
        <v>8</v>
      </c>
      <c r="B5" s="2" t="s">
        <v>9</v>
      </c>
      <c r="C5" t="s">
        <v>10</v>
      </c>
    </row>
    <row r="6" spans="1:3">
      <c r="A6" t="s">
        <v>11</v>
      </c>
      <c r="B6" s="3" t="s">
        <v>12</v>
      </c>
      <c r="C6" t="s">
        <v>10</v>
      </c>
    </row>
    <row r="7" spans="1:3">
      <c r="A7" s="3" t="s">
        <v>13</v>
      </c>
      <c r="B7" s="3" t="s">
        <v>14</v>
      </c>
      <c r="C7" t="s">
        <v>15</v>
      </c>
    </row>
    <row r="8" spans="1:3">
      <c r="A8" t="s">
        <v>16</v>
      </c>
      <c r="B8" s="2" t="s">
        <v>17</v>
      </c>
      <c r="C8" t="s">
        <v>18</v>
      </c>
    </row>
    <row r="9" spans="1:3">
      <c r="A9" t="s">
        <v>19</v>
      </c>
      <c r="B9" s="2" t="s">
        <v>20</v>
      </c>
      <c r="C9" t="s">
        <v>21</v>
      </c>
    </row>
    <row r="10" spans="1:3">
      <c r="A10" t="s">
        <v>22</v>
      </c>
      <c r="B10" s="2" t="s">
        <v>23</v>
      </c>
      <c r="C10" t="s">
        <v>21</v>
      </c>
    </row>
    <row r="11" spans="1:3">
      <c r="A11" t="s">
        <v>24</v>
      </c>
      <c r="B11" s="2" t="s">
        <v>25</v>
      </c>
      <c r="C11" t="s">
        <v>26</v>
      </c>
    </row>
    <row r="12" spans="1:3">
      <c r="A12" t="s">
        <v>27</v>
      </c>
      <c r="B12" s="2" t="s">
        <v>28</v>
      </c>
      <c r="C12" t="s">
        <v>29</v>
      </c>
    </row>
    <row r="13" spans="1:3">
      <c r="A13" t="s">
        <v>30</v>
      </c>
      <c r="B13" s="2" t="s">
        <v>31</v>
      </c>
      <c r="C13" t="s">
        <v>32</v>
      </c>
    </row>
    <row r="15" spans="1:3">
      <c r="A15" t="s">
        <v>33</v>
      </c>
    </row>
    <row r="16" spans="1:3">
      <c r="A16" t="s">
        <v>1</v>
      </c>
      <c r="B16" t="s">
        <v>2</v>
      </c>
      <c r="C16" t="s">
        <v>3</v>
      </c>
    </row>
    <row r="17" spans="1:3">
      <c r="A17" t="s">
        <v>4</v>
      </c>
      <c r="B17" t="s">
        <v>33</v>
      </c>
      <c r="C17" t="s">
        <v>5</v>
      </c>
    </row>
    <row r="18" spans="1:3">
      <c r="A18" t="s">
        <v>6</v>
      </c>
      <c r="B18" t="s">
        <v>34</v>
      </c>
      <c r="C18" t="s">
        <v>5</v>
      </c>
    </row>
    <row r="19" spans="1:3" ht="45">
      <c r="A19" t="s">
        <v>8</v>
      </c>
      <c r="B19" s="2" t="s">
        <v>35</v>
      </c>
      <c r="C19" s="152" t="s">
        <v>36</v>
      </c>
    </row>
    <row r="20" spans="1:3">
      <c r="A20" t="s">
        <v>11</v>
      </c>
      <c r="B20" s="3" t="s">
        <v>37</v>
      </c>
      <c r="C20" t="s">
        <v>10</v>
      </c>
    </row>
    <row r="21" spans="1:3" ht="30">
      <c r="A21" s="3" t="s">
        <v>13</v>
      </c>
      <c r="B21" s="3" t="s">
        <v>38</v>
      </c>
      <c r="C21" s="152" t="s">
        <v>39</v>
      </c>
    </row>
    <row r="22" spans="1:3">
      <c r="A22" t="s">
        <v>16</v>
      </c>
      <c r="B22" s="2" t="s">
        <v>40</v>
      </c>
      <c r="C22" t="s">
        <v>18</v>
      </c>
    </row>
    <row r="23" spans="1:3" ht="30">
      <c r="A23" t="s">
        <v>19</v>
      </c>
      <c r="B23" s="2" t="s">
        <v>41</v>
      </c>
      <c r="C23" s="152" t="s">
        <v>42</v>
      </c>
    </row>
    <row r="24" spans="1:3" ht="30">
      <c r="A24" t="s">
        <v>43</v>
      </c>
      <c r="B24" s="2" t="s">
        <v>44</v>
      </c>
      <c r="C24" s="152" t="s">
        <v>42</v>
      </c>
    </row>
    <row r="25" spans="1:3">
      <c r="A25" t="s">
        <v>27</v>
      </c>
      <c r="B25" s="2" t="s">
        <v>45</v>
      </c>
      <c r="C25" t="s">
        <v>46</v>
      </c>
    </row>
    <row r="26" spans="1:3" ht="30">
      <c r="A26" t="s">
        <v>47</v>
      </c>
      <c r="B26" s="2" t="s">
        <v>48</v>
      </c>
      <c r="C26" s="152" t="s">
        <v>49</v>
      </c>
    </row>
    <row r="27" spans="1:3">
      <c r="A27" t="s">
        <v>50</v>
      </c>
      <c r="B27" s="2" t="s">
        <v>51</v>
      </c>
      <c r="C27" t="s">
        <v>10</v>
      </c>
    </row>
    <row r="28" spans="1:3">
      <c r="A28" t="s">
        <v>52</v>
      </c>
      <c r="B28" s="2" t="s">
        <v>53</v>
      </c>
      <c r="C28" t="s">
        <v>10</v>
      </c>
    </row>
    <row r="29" spans="1:3">
      <c r="A29" t="s">
        <v>54</v>
      </c>
      <c r="B29" s="2" t="s">
        <v>55</v>
      </c>
      <c r="C29" t="s">
        <v>46</v>
      </c>
    </row>
    <row r="30" spans="1:3">
      <c r="A30" t="s">
        <v>56</v>
      </c>
      <c r="B30" s="2" t="s">
        <v>57</v>
      </c>
      <c r="C30" t="s">
        <v>58</v>
      </c>
    </row>
    <row r="31" spans="1:3" ht="30">
      <c r="A31" t="s">
        <v>59</v>
      </c>
      <c r="B31" s="2" t="s">
        <v>60</v>
      </c>
      <c r="C31" s="152" t="s">
        <v>61</v>
      </c>
    </row>
    <row r="32" spans="1:3" ht="30">
      <c r="A32" t="s">
        <v>62</v>
      </c>
      <c r="B32" s="2" t="s">
        <v>63</v>
      </c>
      <c r="C32" s="152" t="s">
        <v>61</v>
      </c>
    </row>
    <row r="33" spans="1:3">
      <c r="A33" t="s">
        <v>64</v>
      </c>
      <c r="B33" s="2" t="s">
        <v>65</v>
      </c>
      <c r="C33" t="s">
        <v>29</v>
      </c>
    </row>
    <row r="34" spans="1:3" ht="30">
      <c r="A34" t="s">
        <v>66</v>
      </c>
      <c r="B34" s="2" t="s">
        <v>67</v>
      </c>
      <c r="C34" s="152" t="s">
        <v>68</v>
      </c>
    </row>
    <row r="35" spans="1:3" ht="30">
      <c r="A35" t="s">
        <v>69</v>
      </c>
      <c r="B35" s="2" t="s">
        <v>70</v>
      </c>
      <c r="C35" s="152" t="s">
        <v>71</v>
      </c>
    </row>
    <row r="36" spans="1:3" ht="30">
      <c r="A36" t="s">
        <v>72</v>
      </c>
      <c r="B36" s="2" t="s">
        <v>73</v>
      </c>
      <c r="C36" s="152" t="s">
        <v>74</v>
      </c>
    </row>
    <row r="37" spans="1:3" ht="30">
      <c r="A37" t="s">
        <v>75</v>
      </c>
      <c r="B37" s="2" t="s">
        <v>60</v>
      </c>
      <c r="C37" s="152" t="s">
        <v>74</v>
      </c>
    </row>
    <row r="38" spans="1:3">
      <c r="A38" t="s">
        <v>76</v>
      </c>
      <c r="B38" s="2" t="s">
        <v>77</v>
      </c>
      <c r="C38" s="152"/>
    </row>
    <row r="39" spans="1:3">
      <c r="A39" t="s">
        <v>78</v>
      </c>
      <c r="B39" s="2" t="s">
        <v>79</v>
      </c>
      <c r="C39" s="152"/>
    </row>
    <row r="40" spans="1:3">
      <c r="A40" t="s">
        <v>80</v>
      </c>
      <c r="B40" s="2" t="s">
        <v>81</v>
      </c>
      <c r="C40" t="s">
        <v>82</v>
      </c>
    </row>
  </sheetData>
  <sheetProtection algorithmName="SHA-512" hashValue="b8bQ8168utgoLs2WD4R/hut3jfkKvK+JZs3pZE78FnIZWeOWiYo1wdYeRpZmJBaNqZKlOxrjnxMT8gw2I2o3KQ==" saltValue="eNqE+SX3EH+qCNyl+CYZ2A==" spinCount="100000" sheet="1" objects="1" scenarios="1" sort="0" autoFilter="0"/>
  <phoneticPr fontId="29" type="noConversion"/>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A306-F6AF-4427-AA7E-CF5043A9AA66}">
  <sheetPr codeName="Sheet2"/>
  <dimension ref="A1:BK195"/>
  <sheetViews>
    <sheetView zoomScale="70" zoomScaleNormal="70" workbookViewId="0">
      <pane ySplit="3" topLeftCell="A194" activePane="bottomLeft" state="frozen"/>
      <selection pane="bottomLeft" activeCell="F194" sqref="F194"/>
    </sheetView>
  </sheetViews>
  <sheetFormatPr defaultColWidth="9.140625" defaultRowHeight="15"/>
  <cols>
    <col min="1" max="1" width="13.140625" style="4" bestFit="1" customWidth="1"/>
    <col min="2" max="2" width="16.7109375" style="4" customWidth="1"/>
    <col min="3" max="3" width="19.5703125" style="4" bestFit="1" customWidth="1"/>
    <col min="4" max="4" width="23" style="4" customWidth="1"/>
    <col min="5" max="5" width="16.5703125" style="4" bestFit="1" customWidth="1"/>
    <col min="6" max="6" width="91" style="4" customWidth="1"/>
    <col min="7" max="7" width="91.85546875" style="4" bestFit="1" customWidth="1"/>
    <col min="8" max="8" width="2.7109375" style="4" customWidth="1"/>
    <col min="9" max="9" width="9.140625" style="4"/>
    <col min="10" max="10" width="13.5703125" style="4" bestFit="1" customWidth="1"/>
    <col min="11" max="11" width="15.7109375" style="4" bestFit="1" customWidth="1"/>
    <col min="12" max="14" width="9.140625" style="4"/>
    <col min="15" max="15" width="13.85546875" style="4" customWidth="1"/>
    <col min="16" max="16" width="11" style="4" bestFit="1" customWidth="1"/>
    <col min="17" max="17" width="15.7109375" style="4" bestFit="1" customWidth="1"/>
    <col min="18" max="18" width="16.42578125" style="4" customWidth="1"/>
    <col min="19" max="19" width="13.140625" style="4" bestFit="1" customWidth="1"/>
    <col min="20" max="20" width="15" style="4" customWidth="1"/>
    <col min="21" max="21" width="9.140625" style="4"/>
    <col min="22" max="22" width="10.140625" style="4" bestFit="1" customWidth="1"/>
    <col min="23" max="24" width="14.5703125" style="4" customWidth="1"/>
    <col min="25" max="25" width="11.42578125" style="4" bestFit="1" customWidth="1"/>
    <col min="26" max="26" width="11.140625" style="4" bestFit="1" customWidth="1"/>
    <col min="27" max="27" width="13.140625" style="4" bestFit="1" customWidth="1"/>
    <col min="28" max="28" width="10.5703125" style="4" bestFit="1" customWidth="1"/>
    <col min="29" max="29" width="12.85546875" style="4" bestFit="1" customWidth="1"/>
    <col min="30" max="30" width="13.5703125" style="4" bestFit="1" customWidth="1"/>
    <col min="31" max="31" width="14.42578125" style="4" customWidth="1"/>
    <col min="32" max="32" width="11.42578125" style="4" bestFit="1" customWidth="1"/>
    <col min="33" max="34" width="9.140625" style="4"/>
    <col min="35" max="35" width="11" style="4" bestFit="1" customWidth="1"/>
    <col min="36" max="36" width="9.140625" style="4"/>
    <col min="37" max="37" width="11.7109375" style="4" bestFit="1" customWidth="1"/>
    <col min="38" max="39" width="9.140625" style="4"/>
    <col min="40" max="40" width="21" style="4" bestFit="1" customWidth="1"/>
    <col min="41" max="42" width="21" style="4" customWidth="1"/>
    <col min="43" max="43" width="33.7109375" style="4" customWidth="1"/>
    <col min="44" max="44" width="11.7109375" style="4" bestFit="1" customWidth="1"/>
    <col min="45" max="45" width="14" style="4" bestFit="1" customWidth="1"/>
    <col min="46" max="46" width="15.85546875" style="4" bestFit="1" customWidth="1"/>
    <col min="47" max="47" width="19.5703125" style="4" customWidth="1"/>
    <col min="48" max="48" width="9.140625" style="4"/>
    <col min="49" max="49" width="14.85546875" style="4" customWidth="1"/>
    <col min="50" max="50" width="15.42578125" style="4" bestFit="1" customWidth="1"/>
    <col min="51" max="51" width="15.42578125" style="4" customWidth="1"/>
    <col min="52" max="52" width="9.140625" style="4"/>
    <col min="53" max="53" width="12.42578125" style="4" bestFit="1" customWidth="1"/>
    <col min="54" max="54" width="17.140625" style="4" bestFit="1" customWidth="1"/>
    <col min="55" max="55" width="14" style="4" bestFit="1" customWidth="1"/>
    <col min="56" max="56" width="18" style="4" bestFit="1" customWidth="1"/>
    <col min="57" max="57" width="9.140625" style="4"/>
    <col min="58" max="58" width="9.85546875" style="4" bestFit="1" customWidth="1"/>
    <col min="59" max="59" width="21.5703125" style="4" bestFit="1" customWidth="1"/>
    <col min="60" max="60" width="21.42578125" style="4" bestFit="1" customWidth="1"/>
    <col min="61" max="61" width="13.140625" style="4" customWidth="1"/>
    <col min="62" max="62" width="15" style="4" bestFit="1" customWidth="1"/>
    <col min="63" max="63" width="14.42578125" style="4" customWidth="1"/>
    <col min="64" max="16384" width="9.140625" style="4"/>
  </cols>
  <sheetData>
    <row r="1" spans="1:63" ht="45">
      <c r="A1" s="201"/>
      <c r="B1" s="201"/>
      <c r="C1" s="201"/>
      <c r="D1" s="201"/>
      <c r="E1" s="201"/>
      <c r="F1" s="201"/>
      <c r="G1" s="153"/>
      <c r="H1" s="193" t="s">
        <v>83</v>
      </c>
      <c r="I1" s="154" t="s">
        <v>84</v>
      </c>
      <c r="J1" s="155" t="s">
        <v>85</v>
      </c>
      <c r="K1" s="156" t="s">
        <v>86</v>
      </c>
      <c r="L1" s="157" t="s">
        <v>87</v>
      </c>
      <c r="M1" s="158" t="s">
        <v>56</v>
      </c>
      <c r="N1" s="159" t="s">
        <v>88</v>
      </c>
      <c r="O1" s="160"/>
      <c r="P1" s="160"/>
      <c r="Q1" s="160"/>
      <c r="R1" s="160"/>
      <c r="S1" s="160"/>
      <c r="T1" s="160"/>
      <c r="U1" s="160"/>
      <c r="V1" s="160"/>
      <c r="W1" s="160"/>
      <c r="X1" s="316"/>
      <c r="Y1" s="163" t="s">
        <v>89</v>
      </c>
      <c r="Z1" s="164"/>
      <c r="AA1" s="164"/>
      <c r="AB1" s="164"/>
      <c r="AC1" s="164"/>
      <c r="AD1" s="164"/>
      <c r="AE1" s="164"/>
      <c r="AF1" s="164"/>
      <c r="AG1" s="164"/>
      <c r="AH1" s="164"/>
      <c r="AI1" s="164"/>
      <c r="AJ1" s="164"/>
      <c r="AK1" s="164"/>
      <c r="AL1" s="164"/>
      <c r="AM1" s="164"/>
      <c r="AN1" s="164"/>
      <c r="AO1" s="164"/>
      <c r="AP1" s="164"/>
      <c r="AQ1" s="165"/>
      <c r="AR1" s="325" t="s">
        <v>90</v>
      </c>
      <c r="AS1" s="326"/>
      <c r="AT1" s="168" t="s">
        <v>62</v>
      </c>
      <c r="AU1" s="169"/>
      <c r="AV1" s="170" t="s">
        <v>91</v>
      </c>
      <c r="AW1" s="171"/>
      <c r="AX1" s="172" t="s">
        <v>92</v>
      </c>
      <c r="AY1" s="348"/>
      <c r="AZ1" s="347" t="s">
        <v>93</v>
      </c>
      <c r="BA1" s="226" t="s">
        <v>94</v>
      </c>
      <c r="BB1" s="256" t="s">
        <v>95</v>
      </c>
      <c r="BC1" s="285" t="s">
        <v>69</v>
      </c>
      <c r="BD1" s="287" t="s">
        <v>72</v>
      </c>
      <c r="BE1" s="289" t="s">
        <v>96</v>
      </c>
      <c r="BF1" s="291" t="s">
        <v>97</v>
      </c>
      <c r="BG1" s="293" t="s">
        <v>98</v>
      </c>
      <c r="BH1" s="324" t="s">
        <v>99</v>
      </c>
      <c r="BI1" s="335" t="s">
        <v>100</v>
      </c>
      <c r="BJ1" s="354" t="s">
        <v>101</v>
      </c>
      <c r="BK1" s="356" t="s">
        <v>102</v>
      </c>
    </row>
    <row r="2" spans="1:63" ht="75">
      <c r="A2" s="201"/>
      <c r="B2" s="201"/>
      <c r="C2" s="201"/>
      <c r="D2" s="201"/>
      <c r="E2" s="201"/>
      <c r="F2" s="201"/>
      <c r="G2" s="173"/>
      <c r="H2" s="194" t="s">
        <v>103</v>
      </c>
      <c r="I2" s="174"/>
      <c r="J2" s="175"/>
      <c r="K2" s="176"/>
      <c r="L2" s="177"/>
      <c r="M2" s="178"/>
      <c r="N2" s="179"/>
      <c r="O2" s="180" t="s">
        <v>104</v>
      </c>
      <c r="P2" s="180" t="s">
        <v>105</v>
      </c>
      <c r="Q2" s="180" t="s">
        <v>106</v>
      </c>
      <c r="R2" s="180" t="s">
        <v>107</v>
      </c>
      <c r="S2" s="180" t="s">
        <v>108</v>
      </c>
      <c r="T2" s="180" t="s">
        <v>109</v>
      </c>
      <c r="U2" s="180" t="s">
        <v>110</v>
      </c>
      <c r="V2" s="180" t="s">
        <v>111</v>
      </c>
      <c r="W2" s="251" t="s">
        <v>112</v>
      </c>
      <c r="X2" s="189" t="s">
        <v>113</v>
      </c>
      <c r="Y2" s="184"/>
      <c r="Z2" s="185" t="s">
        <v>114</v>
      </c>
      <c r="AA2" s="180" t="s">
        <v>115</v>
      </c>
      <c r="AB2" s="180" t="s">
        <v>116</v>
      </c>
      <c r="AC2" s="180" t="s">
        <v>117</v>
      </c>
      <c r="AD2" s="180" t="s">
        <v>118</v>
      </c>
      <c r="AE2" s="180" t="s">
        <v>119</v>
      </c>
      <c r="AF2" s="180" t="s">
        <v>120</v>
      </c>
      <c r="AG2" s="180" t="s">
        <v>121</v>
      </c>
      <c r="AH2" s="180" t="s">
        <v>122</v>
      </c>
      <c r="AI2" s="180" t="s">
        <v>123</v>
      </c>
      <c r="AJ2" s="180" t="s">
        <v>124</v>
      </c>
      <c r="AK2" s="180" t="s">
        <v>125</v>
      </c>
      <c r="AL2" s="180" t="s">
        <v>126</v>
      </c>
      <c r="AM2" s="180" t="s">
        <v>127</v>
      </c>
      <c r="AN2" s="180" t="s">
        <v>128</v>
      </c>
      <c r="AO2" s="180" t="s">
        <v>129</v>
      </c>
      <c r="AP2" s="180" t="s">
        <v>130</v>
      </c>
      <c r="AQ2" s="180" t="s">
        <v>131</v>
      </c>
      <c r="AR2" s="166" t="s">
        <v>132</v>
      </c>
      <c r="AS2" s="167" t="s">
        <v>133</v>
      </c>
      <c r="AT2" s="186"/>
      <c r="AU2" s="187" t="s">
        <v>134</v>
      </c>
      <c r="AV2" s="188"/>
      <c r="AW2" s="189" t="s">
        <v>135</v>
      </c>
      <c r="AX2" s="190"/>
      <c r="AY2" s="349" t="s">
        <v>136</v>
      </c>
      <c r="AZ2" s="191"/>
      <c r="BA2" s="227"/>
      <c r="BB2" s="257"/>
      <c r="BC2" s="286"/>
      <c r="BD2" s="288"/>
      <c r="BE2" s="290"/>
      <c r="BF2" s="292"/>
      <c r="BG2" s="294"/>
      <c r="BH2" s="323"/>
      <c r="BI2" s="336"/>
      <c r="BJ2" s="292"/>
      <c r="BK2" s="357"/>
    </row>
    <row r="3" spans="1:63">
      <c r="A3" s="1" t="s">
        <v>137</v>
      </c>
      <c r="B3" s="1" t="s">
        <v>138</v>
      </c>
      <c r="C3" s="1" t="s">
        <v>139</v>
      </c>
      <c r="D3" s="1" t="s">
        <v>140</v>
      </c>
      <c r="E3" s="1" t="s">
        <v>141</v>
      </c>
      <c r="F3" s="1" t="s">
        <v>142</v>
      </c>
      <c r="G3" s="202" t="s">
        <v>143</v>
      </c>
      <c r="H3" s="211"/>
      <c r="I3" s="205"/>
      <c r="J3" s="205"/>
      <c r="K3" s="205"/>
      <c r="L3" s="205"/>
      <c r="M3" s="206"/>
      <c r="N3" s="206"/>
      <c r="O3" s="207"/>
      <c r="P3" s="207"/>
      <c r="Q3" s="207"/>
      <c r="R3" s="207"/>
      <c r="S3" s="207"/>
      <c r="T3" s="208"/>
      <c r="U3" s="208"/>
      <c r="V3" s="208"/>
      <c r="W3" s="208"/>
      <c r="X3" s="208"/>
      <c r="Y3" s="208"/>
      <c r="Z3" s="208"/>
      <c r="AA3" s="208"/>
      <c r="AB3" s="208"/>
      <c r="AC3" s="208"/>
      <c r="AD3" s="208"/>
      <c r="AE3" s="206"/>
      <c r="AF3" s="208"/>
      <c r="AG3" s="208"/>
      <c r="AH3" s="208"/>
      <c r="AI3" s="208"/>
      <c r="AJ3" s="208"/>
      <c r="AK3" s="208"/>
      <c r="AL3" s="206"/>
      <c r="AM3" s="208"/>
      <c r="AN3" s="208"/>
      <c r="AO3" s="208"/>
      <c r="AP3" s="208"/>
      <c r="AQ3" s="208"/>
      <c r="AR3" s="208"/>
      <c r="AS3" s="208"/>
      <c r="AT3" s="208"/>
      <c r="AU3" s="206"/>
      <c r="AV3" s="206"/>
      <c r="AW3" s="206"/>
      <c r="AX3" s="208"/>
      <c r="AY3" s="208"/>
      <c r="AZ3" s="208"/>
    </row>
    <row r="4" spans="1:63" ht="165">
      <c r="A4" s="124">
        <v>44908</v>
      </c>
      <c r="B4" s="125" t="s">
        <v>34</v>
      </c>
      <c r="C4" s="125" t="s">
        <v>144</v>
      </c>
      <c r="D4" s="125" t="s">
        <v>145</v>
      </c>
      <c r="E4" s="125" t="s">
        <v>146</v>
      </c>
      <c r="F4" s="126" t="s">
        <v>147</v>
      </c>
      <c r="G4" s="209" t="s">
        <v>148</v>
      </c>
      <c r="H4" s="212"/>
      <c r="I4" s="210" t="s">
        <v>149</v>
      </c>
      <c r="J4" s="203" t="s">
        <v>149</v>
      </c>
      <c r="K4" s="203"/>
      <c r="L4" s="203" t="s">
        <v>149</v>
      </c>
      <c r="M4" s="203" t="s">
        <v>149</v>
      </c>
      <c r="N4" s="203"/>
      <c r="O4" s="203"/>
      <c r="P4" s="203"/>
      <c r="Q4" s="203"/>
      <c r="R4" s="203"/>
      <c r="S4" s="204"/>
      <c r="T4" s="203"/>
      <c r="U4" s="203"/>
      <c r="V4" s="203"/>
      <c r="W4" s="203"/>
      <c r="X4" s="203"/>
      <c r="Y4" s="203" t="s">
        <v>149</v>
      </c>
      <c r="Z4" s="203" t="s">
        <v>149</v>
      </c>
      <c r="AA4" s="203" t="s">
        <v>149</v>
      </c>
      <c r="AB4" s="203" t="s">
        <v>149</v>
      </c>
      <c r="AC4" s="203" t="s">
        <v>149</v>
      </c>
      <c r="AD4" s="203" t="s">
        <v>149</v>
      </c>
      <c r="AE4" s="203" t="s">
        <v>149</v>
      </c>
      <c r="AF4" s="203" t="s">
        <v>149</v>
      </c>
      <c r="AG4" s="203" t="s">
        <v>149</v>
      </c>
      <c r="AH4" s="203" t="s">
        <v>149</v>
      </c>
      <c r="AI4" s="203" t="s">
        <v>149</v>
      </c>
      <c r="AJ4" s="203" t="s">
        <v>149</v>
      </c>
      <c r="AK4" s="203" t="s">
        <v>149</v>
      </c>
      <c r="AL4" s="203" t="s">
        <v>149</v>
      </c>
      <c r="AM4" s="203" t="s">
        <v>149</v>
      </c>
      <c r="AN4" s="203" t="s">
        <v>149</v>
      </c>
      <c r="AO4" s="203" t="s">
        <v>149</v>
      </c>
      <c r="AP4" s="203"/>
      <c r="AQ4" s="203"/>
      <c r="AR4" s="203" t="s">
        <v>149</v>
      </c>
      <c r="AS4" s="203" t="s">
        <v>149</v>
      </c>
      <c r="AT4" s="203"/>
      <c r="AU4" s="203"/>
      <c r="AV4" s="203" t="s">
        <v>149</v>
      </c>
      <c r="AW4" s="203" t="s">
        <v>149</v>
      </c>
      <c r="AX4" s="203"/>
      <c r="AY4" s="203"/>
      <c r="AZ4" s="203" t="s">
        <v>149</v>
      </c>
      <c r="BA4" s="252"/>
      <c r="BB4" s="252"/>
      <c r="BC4" s="252"/>
      <c r="BD4" s="252"/>
      <c r="BE4" s="252"/>
      <c r="BF4" s="252"/>
      <c r="BG4" s="252"/>
      <c r="BH4" s="252"/>
      <c r="BI4" s="252"/>
      <c r="BJ4" s="252"/>
      <c r="BK4" s="252"/>
    </row>
    <row r="5" spans="1:63" ht="210">
      <c r="A5" s="124">
        <v>44914</v>
      </c>
      <c r="B5" s="125" t="s">
        <v>34</v>
      </c>
      <c r="C5" s="125" t="s">
        <v>144</v>
      </c>
      <c r="D5" s="125" t="s">
        <v>150</v>
      </c>
      <c r="E5" s="125" t="s">
        <v>151</v>
      </c>
      <c r="F5" s="126" t="s">
        <v>152</v>
      </c>
      <c r="G5" s="209" t="s">
        <v>153</v>
      </c>
      <c r="H5" s="212"/>
      <c r="I5" s="210" t="s">
        <v>149</v>
      </c>
      <c r="J5" s="203" t="s">
        <v>149</v>
      </c>
      <c r="K5" s="203"/>
      <c r="L5" s="203" t="s">
        <v>149</v>
      </c>
      <c r="M5" s="203" t="s">
        <v>149</v>
      </c>
      <c r="N5" s="203"/>
      <c r="O5" s="203"/>
      <c r="P5" s="203"/>
      <c r="Q5" s="203"/>
      <c r="R5" s="203"/>
      <c r="S5" s="204"/>
      <c r="T5" s="203"/>
      <c r="U5" s="203"/>
      <c r="V5" s="203"/>
      <c r="W5" s="203"/>
      <c r="X5" s="203"/>
      <c r="Y5" s="203" t="s">
        <v>149</v>
      </c>
      <c r="Z5" s="203" t="s">
        <v>149</v>
      </c>
      <c r="AA5" s="203" t="s">
        <v>149</v>
      </c>
      <c r="AB5" s="203" t="s">
        <v>149</v>
      </c>
      <c r="AC5" s="203" t="s">
        <v>149</v>
      </c>
      <c r="AD5" s="203" t="s">
        <v>149</v>
      </c>
      <c r="AE5" s="203" t="s">
        <v>149</v>
      </c>
      <c r="AF5" s="203" t="s">
        <v>149</v>
      </c>
      <c r="AG5" s="203" t="s">
        <v>149</v>
      </c>
      <c r="AH5" s="203" t="s">
        <v>149</v>
      </c>
      <c r="AI5" s="203" t="s">
        <v>149</v>
      </c>
      <c r="AJ5" s="203" t="s">
        <v>149</v>
      </c>
      <c r="AK5" s="203" t="s">
        <v>149</v>
      </c>
      <c r="AL5" s="203" t="s">
        <v>149</v>
      </c>
      <c r="AM5" s="203" t="s">
        <v>149</v>
      </c>
      <c r="AN5" s="203" t="s">
        <v>149</v>
      </c>
      <c r="AO5" s="203" t="s">
        <v>149</v>
      </c>
      <c r="AP5" s="203"/>
      <c r="AQ5" s="203"/>
      <c r="AR5" s="203" t="s">
        <v>149</v>
      </c>
      <c r="AS5" s="203" t="s">
        <v>149</v>
      </c>
      <c r="AT5" s="203"/>
      <c r="AU5" s="203"/>
      <c r="AV5" s="203" t="s">
        <v>149</v>
      </c>
      <c r="AW5" s="203" t="s">
        <v>149</v>
      </c>
      <c r="AX5" s="203"/>
      <c r="AY5" s="203"/>
      <c r="AZ5" s="203" t="s">
        <v>149</v>
      </c>
      <c r="BA5" s="252"/>
      <c r="BB5" s="252"/>
      <c r="BC5" s="252"/>
      <c r="BD5" s="252"/>
      <c r="BE5" s="252"/>
      <c r="BF5" s="252"/>
      <c r="BG5" s="252"/>
      <c r="BH5" s="252"/>
      <c r="BI5" s="252"/>
      <c r="BJ5" s="252"/>
      <c r="BK5" s="252"/>
    </row>
    <row r="6" spans="1:63" ht="285">
      <c r="A6" s="124">
        <v>44932</v>
      </c>
      <c r="B6" s="125" t="s">
        <v>34</v>
      </c>
      <c r="C6" s="125" t="s">
        <v>154</v>
      </c>
      <c r="D6" s="125" t="s">
        <v>155</v>
      </c>
      <c r="E6" s="125" t="s">
        <v>156</v>
      </c>
      <c r="F6" s="126" t="s">
        <v>157</v>
      </c>
      <c r="G6" s="209" t="s">
        <v>158</v>
      </c>
      <c r="H6" s="212"/>
      <c r="I6" s="210" t="s">
        <v>149</v>
      </c>
      <c r="J6" s="203" t="s">
        <v>149</v>
      </c>
      <c r="K6" s="203"/>
      <c r="L6" s="203" t="s">
        <v>149</v>
      </c>
      <c r="M6" s="203" t="s">
        <v>149</v>
      </c>
      <c r="N6" s="203"/>
      <c r="O6" s="203"/>
      <c r="P6" s="203"/>
      <c r="Q6" s="203"/>
      <c r="R6" s="203"/>
      <c r="S6" s="204"/>
      <c r="T6" s="203"/>
      <c r="U6" s="203"/>
      <c r="V6" s="203"/>
      <c r="W6" s="203"/>
      <c r="X6" s="203"/>
      <c r="Y6" s="203" t="s">
        <v>149</v>
      </c>
      <c r="Z6" s="203" t="s">
        <v>149</v>
      </c>
      <c r="AA6" s="203" t="s">
        <v>149</v>
      </c>
      <c r="AB6" s="203" t="s">
        <v>149</v>
      </c>
      <c r="AC6" s="203" t="s">
        <v>149</v>
      </c>
      <c r="AD6" s="203" t="s">
        <v>149</v>
      </c>
      <c r="AE6" s="203" t="s">
        <v>149</v>
      </c>
      <c r="AF6" s="203" t="s">
        <v>149</v>
      </c>
      <c r="AG6" s="203" t="s">
        <v>149</v>
      </c>
      <c r="AH6" s="203" t="s">
        <v>149</v>
      </c>
      <c r="AI6" s="203" t="s">
        <v>149</v>
      </c>
      <c r="AJ6" s="203" t="s">
        <v>149</v>
      </c>
      <c r="AK6" s="203" t="s">
        <v>149</v>
      </c>
      <c r="AL6" s="203" t="s">
        <v>149</v>
      </c>
      <c r="AM6" s="203" t="s">
        <v>149</v>
      </c>
      <c r="AN6" s="203" t="s">
        <v>149</v>
      </c>
      <c r="AO6" s="203" t="s">
        <v>149</v>
      </c>
      <c r="AP6" s="203"/>
      <c r="AQ6" s="203"/>
      <c r="AR6" s="203" t="s">
        <v>149</v>
      </c>
      <c r="AS6" s="203" t="s">
        <v>149</v>
      </c>
      <c r="AT6" s="203"/>
      <c r="AU6" s="203"/>
      <c r="AV6" s="203" t="s">
        <v>149</v>
      </c>
      <c r="AW6" s="203" t="s">
        <v>149</v>
      </c>
      <c r="AX6" s="203"/>
      <c r="AY6" s="203"/>
      <c r="AZ6" s="203" t="s">
        <v>149</v>
      </c>
      <c r="BA6" s="252"/>
      <c r="BB6" s="252"/>
      <c r="BC6" s="252"/>
      <c r="BD6" s="252"/>
      <c r="BE6" s="252"/>
      <c r="BF6" s="252"/>
      <c r="BG6" s="252"/>
      <c r="BH6" s="252"/>
      <c r="BI6" s="252"/>
      <c r="BJ6" s="252"/>
      <c r="BK6" s="252"/>
    </row>
    <row r="7" spans="1:63" ht="375">
      <c r="A7" s="124">
        <v>44935</v>
      </c>
      <c r="B7" s="125" t="s">
        <v>34</v>
      </c>
      <c r="C7" s="125" t="s">
        <v>154</v>
      </c>
      <c r="D7" s="125" t="s">
        <v>159</v>
      </c>
      <c r="E7" s="125" t="s">
        <v>160</v>
      </c>
      <c r="F7" s="126" t="s">
        <v>161</v>
      </c>
      <c r="G7" s="209" t="s">
        <v>162</v>
      </c>
      <c r="H7" s="212"/>
      <c r="I7" s="210" t="s">
        <v>149</v>
      </c>
      <c r="J7" s="203" t="s">
        <v>149</v>
      </c>
      <c r="K7" s="203"/>
      <c r="L7" s="203" t="s">
        <v>149</v>
      </c>
      <c r="M7" s="203" t="s">
        <v>149</v>
      </c>
      <c r="N7" s="203"/>
      <c r="O7" s="203"/>
      <c r="P7" s="203"/>
      <c r="Q7" s="203"/>
      <c r="R7" s="203"/>
      <c r="S7" s="204"/>
      <c r="T7" s="203"/>
      <c r="U7" s="203"/>
      <c r="V7" s="203"/>
      <c r="W7" s="203"/>
      <c r="X7" s="203"/>
      <c r="Y7" s="203" t="s">
        <v>149</v>
      </c>
      <c r="Z7" s="203" t="s">
        <v>149</v>
      </c>
      <c r="AA7" s="203" t="s">
        <v>149</v>
      </c>
      <c r="AB7" s="203" t="s">
        <v>149</v>
      </c>
      <c r="AC7" s="203" t="s">
        <v>149</v>
      </c>
      <c r="AD7" s="203" t="s">
        <v>149</v>
      </c>
      <c r="AE7" s="203" t="s">
        <v>149</v>
      </c>
      <c r="AF7" s="203" t="s">
        <v>149</v>
      </c>
      <c r="AG7" s="203" t="s">
        <v>149</v>
      </c>
      <c r="AH7" s="203" t="s">
        <v>149</v>
      </c>
      <c r="AI7" s="203" t="s">
        <v>149</v>
      </c>
      <c r="AJ7" s="203" t="s">
        <v>149</v>
      </c>
      <c r="AK7" s="203" t="s">
        <v>149</v>
      </c>
      <c r="AL7" s="203" t="s">
        <v>149</v>
      </c>
      <c r="AM7" s="203" t="s">
        <v>149</v>
      </c>
      <c r="AN7" s="203" t="s">
        <v>149</v>
      </c>
      <c r="AO7" s="203" t="s">
        <v>149</v>
      </c>
      <c r="AP7" s="203"/>
      <c r="AQ7" s="203"/>
      <c r="AR7" s="203" t="s">
        <v>149</v>
      </c>
      <c r="AS7" s="203" t="s">
        <v>149</v>
      </c>
      <c r="AT7" s="203"/>
      <c r="AU7" s="203"/>
      <c r="AV7" s="203" t="s">
        <v>149</v>
      </c>
      <c r="AW7" s="203" t="s">
        <v>149</v>
      </c>
      <c r="AX7" s="203"/>
      <c r="AY7" s="203"/>
      <c r="AZ7" s="203" t="s">
        <v>149</v>
      </c>
      <c r="BA7" s="252"/>
      <c r="BB7" s="252"/>
      <c r="BC7" s="252"/>
      <c r="BD7" s="252"/>
      <c r="BE7" s="252"/>
      <c r="BF7" s="252"/>
      <c r="BG7" s="252"/>
      <c r="BH7" s="252"/>
      <c r="BI7" s="252"/>
      <c r="BJ7" s="252"/>
      <c r="BK7" s="252"/>
    </row>
    <row r="8" spans="1:63" ht="409.5">
      <c r="A8" s="124">
        <v>44939</v>
      </c>
      <c r="B8" s="125" t="s">
        <v>34</v>
      </c>
      <c r="C8" s="125" t="s">
        <v>154</v>
      </c>
      <c r="D8" s="125" t="s">
        <v>163</v>
      </c>
      <c r="E8" s="125" t="s">
        <v>164</v>
      </c>
      <c r="F8" s="126" t="s">
        <v>165</v>
      </c>
      <c r="G8" s="209" t="s">
        <v>166</v>
      </c>
      <c r="H8" s="212"/>
      <c r="I8" s="210" t="s">
        <v>149</v>
      </c>
      <c r="J8" s="203" t="s">
        <v>149</v>
      </c>
      <c r="K8" s="203"/>
      <c r="L8" s="203" t="s">
        <v>149</v>
      </c>
      <c r="M8" s="203" t="s">
        <v>149</v>
      </c>
      <c r="N8" s="203"/>
      <c r="O8" s="203"/>
      <c r="P8" s="203"/>
      <c r="Q8" s="203"/>
      <c r="R8" s="203"/>
      <c r="S8" s="204"/>
      <c r="T8" s="203"/>
      <c r="U8" s="203"/>
      <c r="V8" s="203"/>
      <c r="W8" s="203"/>
      <c r="X8" s="203"/>
      <c r="Y8" s="203" t="s">
        <v>149</v>
      </c>
      <c r="Z8" s="203" t="s">
        <v>149</v>
      </c>
      <c r="AA8" s="203" t="s">
        <v>149</v>
      </c>
      <c r="AB8" s="203" t="s">
        <v>149</v>
      </c>
      <c r="AC8" s="203" t="s">
        <v>149</v>
      </c>
      <c r="AD8" s="203" t="s">
        <v>149</v>
      </c>
      <c r="AE8" s="203" t="s">
        <v>149</v>
      </c>
      <c r="AF8" s="203" t="s">
        <v>149</v>
      </c>
      <c r="AG8" s="203" t="s">
        <v>149</v>
      </c>
      <c r="AH8" s="203" t="s">
        <v>149</v>
      </c>
      <c r="AI8" s="203" t="s">
        <v>149</v>
      </c>
      <c r="AJ8" s="203" t="s">
        <v>149</v>
      </c>
      <c r="AK8" s="203" t="s">
        <v>149</v>
      </c>
      <c r="AL8" s="203" t="s">
        <v>149</v>
      </c>
      <c r="AM8" s="203" t="s">
        <v>149</v>
      </c>
      <c r="AN8" s="203" t="s">
        <v>149</v>
      </c>
      <c r="AO8" s="203" t="s">
        <v>149</v>
      </c>
      <c r="AP8" s="203"/>
      <c r="AQ8" s="203"/>
      <c r="AR8" s="203" t="s">
        <v>149</v>
      </c>
      <c r="AS8" s="203" t="s">
        <v>149</v>
      </c>
      <c r="AT8" s="203"/>
      <c r="AU8" s="203"/>
      <c r="AV8" s="203" t="s">
        <v>149</v>
      </c>
      <c r="AW8" s="203" t="s">
        <v>149</v>
      </c>
      <c r="AX8" s="203"/>
      <c r="AY8" s="203"/>
      <c r="AZ8" s="203" t="s">
        <v>149</v>
      </c>
      <c r="BA8" s="252"/>
      <c r="BB8" s="252"/>
      <c r="BC8" s="252"/>
      <c r="BD8" s="252"/>
      <c r="BE8" s="252"/>
      <c r="BF8" s="252"/>
      <c r="BG8" s="252"/>
      <c r="BH8" s="252"/>
      <c r="BI8" s="252"/>
      <c r="BJ8" s="252"/>
      <c r="BK8" s="252"/>
    </row>
    <row r="9" spans="1:63" ht="409.5">
      <c r="A9" s="124">
        <v>44942</v>
      </c>
      <c r="B9" s="125" t="s">
        <v>34</v>
      </c>
      <c r="C9" s="125" t="s">
        <v>167</v>
      </c>
      <c r="D9" s="125" t="s">
        <v>168</v>
      </c>
      <c r="E9" s="125" t="s">
        <v>169</v>
      </c>
      <c r="F9" s="126" t="s">
        <v>170</v>
      </c>
      <c r="G9" s="209" t="s">
        <v>171</v>
      </c>
      <c r="H9" s="212"/>
      <c r="I9" s="210" t="s">
        <v>149</v>
      </c>
      <c r="J9" s="203" t="s">
        <v>149</v>
      </c>
      <c r="K9" s="203"/>
      <c r="L9" s="203" t="s">
        <v>149</v>
      </c>
      <c r="M9" s="203" t="s">
        <v>149</v>
      </c>
      <c r="N9" s="203"/>
      <c r="O9" s="203"/>
      <c r="P9" s="203"/>
      <c r="Q9" s="203"/>
      <c r="R9" s="203"/>
      <c r="S9" s="204"/>
      <c r="T9" s="203"/>
      <c r="U9" s="203"/>
      <c r="V9" s="203"/>
      <c r="W9" s="203"/>
      <c r="X9" s="203"/>
      <c r="Y9" s="203" t="s">
        <v>149</v>
      </c>
      <c r="Z9" s="203" t="s">
        <v>149</v>
      </c>
      <c r="AA9" s="203" t="s">
        <v>149</v>
      </c>
      <c r="AB9" s="203" t="s">
        <v>149</v>
      </c>
      <c r="AC9" s="203" t="s">
        <v>149</v>
      </c>
      <c r="AD9" s="203" t="s">
        <v>149</v>
      </c>
      <c r="AE9" s="203" t="s">
        <v>149</v>
      </c>
      <c r="AF9" s="203" t="s">
        <v>149</v>
      </c>
      <c r="AG9" s="203" t="s">
        <v>149</v>
      </c>
      <c r="AH9" s="203" t="s">
        <v>149</v>
      </c>
      <c r="AI9" s="203" t="s">
        <v>149</v>
      </c>
      <c r="AJ9" s="203" t="s">
        <v>149</v>
      </c>
      <c r="AK9" s="203" t="s">
        <v>149</v>
      </c>
      <c r="AL9" s="203" t="s">
        <v>149</v>
      </c>
      <c r="AM9" s="203" t="s">
        <v>149</v>
      </c>
      <c r="AN9" s="203" t="s">
        <v>149</v>
      </c>
      <c r="AO9" s="203" t="s">
        <v>149</v>
      </c>
      <c r="AP9" s="203"/>
      <c r="AQ9" s="203"/>
      <c r="AR9" s="203" t="s">
        <v>149</v>
      </c>
      <c r="AS9" s="203" t="s">
        <v>149</v>
      </c>
      <c r="AT9" s="203"/>
      <c r="AU9" s="203"/>
      <c r="AV9" s="203" t="s">
        <v>149</v>
      </c>
      <c r="AW9" s="203" t="s">
        <v>149</v>
      </c>
      <c r="AX9" s="203"/>
      <c r="AY9" s="203"/>
      <c r="AZ9" s="203" t="s">
        <v>149</v>
      </c>
      <c r="BA9" s="252"/>
      <c r="BB9" s="252"/>
      <c r="BC9" s="252"/>
      <c r="BD9" s="252"/>
      <c r="BE9" s="252"/>
      <c r="BF9" s="252"/>
      <c r="BG9" s="252"/>
      <c r="BH9" s="252"/>
      <c r="BI9" s="252"/>
      <c r="BJ9" s="252"/>
      <c r="BK9" s="252"/>
    </row>
    <row r="10" spans="1:63" ht="409.5">
      <c r="A10" s="124">
        <v>44954</v>
      </c>
      <c r="B10" s="125" t="s">
        <v>34</v>
      </c>
      <c r="C10" s="125" t="s">
        <v>172</v>
      </c>
      <c r="D10" s="125" t="s">
        <v>173</v>
      </c>
      <c r="E10" s="125" t="s">
        <v>174</v>
      </c>
      <c r="F10" s="126" t="s">
        <v>175</v>
      </c>
      <c r="G10" s="209" t="s">
        <v>176</v>
      </c>
      <c r="H10" s="212"/>
      <c r="I10" s="210" t="s">
        <v>149</v>
      </c>
      <c r="J10" s="203" t="s">
        <v>149</v>
      </c>
      <c r="K10" s="203"/>
      <c r="L10" s="203" t="s">
        <v>149</v>
      </c>
      <c r="M10" s="203" t="s">
        <v>149</v>
      </c>
      <c r="N10" s="203"/>
      <c r="O10" s="203"/>
      <c r="P10" s="203"/>
      <c r="Q10" s="203"/>
      <c r="R10" s="203"/>
      <c r="S10" s="204"/>
      <c r="T10" s="203"/>
      <c r="U10" s="203"/>
      <c r="V10" s="203"/>
      <c r="W10" s="203"/>
      <c r="X10" s="203"/>
      <c r="Y10" s="203" t="s">
        <v>149</v>
      </c>
      <c r="Z10" s="203" t="s">
        <v>149</v>
      </c>
      <c r="AA10" s="203" t="s">
        <v>149</v>
      </c>
      <c r="AB10" s="203" t="s">
        <v>149</v>
      </c>
      <c r="AC10" s="203" t="s">
        <v>149</v>
      </c>
      <c r="AD10" s="203" t="s">
        <v>149</v>
      </c>
      <c r="AE10" s="203" t="s">
        <v>149</v>
      </c>
      <c r="AF10" s="203" t="s">
        <v>149</v>
      </c>
      <c r="AG10" s="203" t="s">
        <v>149</v>
      </c>
      <c r="AH10" s="203" t="s">
        <v>149</v>
      </c>
      <c r="AI10" s="203" t="s">
        <v>149</v>
      </c>
      <c r="AJ10" s="203" t="s">
        <v>149</v>
      </c>
      <c r="AK10" s="203" t="s">
        <v>149</v>
      </c>
      <c r="AL10" s="203" t="s">
        <v>149</v>
      </c>
      <c r="AM10" s="203" t="s">
        <v>149</v>
      </c>
      <c r="AN10" s="203" t="s">
        <v>149</v>
      </c>
      <c r="AO10" s="203" t="s">
        <v>149</v>
      </c>
      <c r="AP10" s="203"/>
      <c r="AQ10" s="203"/>
      <c r="AR10" s="203" t="s">
        <v>149</v>
      </c>
      <c r="AS10" s="203" t="s">
        <v>149</v>
      </c>
      <c r="AT10" s="203"/>
      <c r="AU10" s="203"/>
      <c r="AV10" s="203" t="s">
        <v>149</v>
      </c>
      <c r="AW10" s="203" t="s">
        <v>149</v>
      </c>
      <c r="AX10" s="203"/>
      <c r="AY10" s="203"/>
      <c r="AZ10" s="203" t="s">
        <v>149</v>
      </c>
      <c r="BA10" s="252"/>
      <c r="BB10" s="252"/>
      <c r="BC10" s="252"/>
      <c r="BD10" s="252"/>
      <c r="BE10" s="252"/>
      <c r="BF10" s="252"/>
      <c r="BG10" s="252"/>
      <c r="BH10" s="252"/>
      <c r="BI10" s="252"/>
      <c r="BJ10" s="252"/>
      <c r="BK10" s="252"/>
    </row>
    <row r="11" spans="1:63" ht="405">
      <c r="A11" s="124">
        <v>44957</v>
      </c>
      <c r="B11" s="125" t="s">
        <v>34</v>
      </c>
      <c r="C11" s="125" t="s">
        <v>172</v>
      </c>
      <c r="D11" s="125" t="s">
        <v>177</v>
      </c>
      <c r="E11" s="125" t="s">
        <v>178</v>
      </c>
      <c r="F11" s="126" t="s">
        <v>179</v>
      </c>
      <c r="G11" s="209" t="s">
        <v>176</v>
      </c>
      <c r="H11" s="212"/>
      <c r="I11" s="210" t="s">
        <v>149</v>
      </c>
      <c r="J11" s="203" t="s">
        <v>149</v>
      </c>
      <c r="K11" s="203"/>
      <c r="L11" s="203" t="s">
        <v>149</v>
      </c>
      <c r="M11" s="203" t="s">
        <v>149</v>
      </c>
      <c r="N11" s="203"/>
      <c r="O11" s="203"/>
      <c r="P11" s="203"/>
      <c r="Q11" s="203"/>
      <c r="R11" s="203"/>
      <c r="S11" s="204"/>
      <c r="T11" s="203"/>
      <c r="U11" s="203"/>
      <c r="V11" s="203"/>
      <c r="W11" s="203"/>
      <c r="X11" s="203"/>
      <c r="Y11" s="203" t="s">
        <v>149</v>
      </c>
      <c r="Z11" s="203" t="s">
        <v>149</v>
      </c>
      <c r="AA11" s="203" t="s">
        <v>149</v>
      </c>
      <c r="AB11" s="203" t="s">
        <v>149</v>
      </c>
      <c r="AC11" s="203" t="s">
        <v>149</v>
      </c>
      <c r="AD11" s="203" t="s">
        <v>149</v>
      </c>
      <c r="AE11" s="203" t="s">
        <v>149</v>
      </c>
      <c r="AF11" s="203" t="s">
        <v>149</v>
      </c>
      <c r="AG11" s="203" t="s">
        <v>149</v>
      </c>
      <c r="AH11" s="203" t="s">
        <v>149</v>
      </c>
      <c r="AI11" s="203" t="s">
        <v>149</v>
      </c>
      <c r="AJ11" s="203" t="s">
        <v>149</v>
      </c>
      <c r="AK11" s="203" t="s">
        <v>149</v>
      </c>
      <c r="AL11" s="203" t="s">
        <v>149</v>
      </c>
      <c r="AM11" s="203" t="s">
        <v>149</v>
      </c>
      <c r="AN11" s="203" t="s">
        <v>149</v>
      </c>
      <c r="AO11" s="203" t="s">
        <v>149</v>
      </c>
      <c r="AP11" s="203"/>
      <c r="AQ11" s="203"/>
      <c r="AR11" s="203" t="s">
        <v>149</v>
      </c>
      <c r="AS11" s="203" t="s">
        <v>149</v>
      </c>
      <c r="AT11" s="203"/>
      <c r="AU11" s="203"/>
      <c r="AV11" s="203" t="s">
        <v>149</v>
      </c>
      <c r="AW11" s="203" t="s">
        <v>149</v>
      </c>
      <c r="AX11" s="203"/>
      <c r="AY11" s="203"/>
      <c r="AZ11" s="203" t="s">
        <v>149</v>
      </c>
      <c r="BA11" s="252"/>
      <c r="BB11" s="252"/>
      <c r="BC11" s="252"/>
      <c r="BD11" s="252"/>
      <c r="BE11" s="252"/>
      <c r="BF11" s="252"/>
      <c r="BG11" s="252"/>
      <c r="BH11" s="252"/>
      <c r="BI11" s="252"/>
      <c r="BJ11" s="252"/>
      <c r="BK11" s="252"/>
    </row>
    <row r="12" spans="1:63" ht="409.5">
      <c r="A12" s="124">
        <v>44963</v>
      </c>
      <c r="B12" s="125" t="s">
        <v>34</v>
      </c>
      <c r="C12" s="125" t="s">
        <v>172</v>
      </c>
      <c r="D12" s="125" t="s">
        <v>180</v>
      </c>
      <c r="E12" s="125" t="s">
        <v>181</v>
      </c>
      <c r="F12" s="126" t="s">
        <v>182</v>
      </c>
      <c r="G12" s="209" t="s">
        <v>176</v>
      </c>
      <c r="H12" s="212"/>
      <c r="I12" s="210" t="s">
        <v>149</v>
      </c>
      <c r="J12" s="203" t="s">
        <v>149</v>
      </c>
      <c r="K12" s="203"/>
      <c r="L12" s="203" t="s">
        <v>149</v>
      </c>
      <c r="M12" s="203" t="s">
        <v>149</v>
      </c>
      <c r="N12" s="203"/>
      <c r="O12" s="203"/>
      <c r="P12" s="203"/>
      <c r="Q12" s="203"/>
      <c r="R12" s="203"/>
      <c r="S12" s="204"/>
      <c r="T12" s="203"/>
      <c r="U12" s="203"/>
      <c r="V12" s="203"/>
      <c r="W12" s="203"/>
      <c r="X12" s="203"/>
      <c r="Y12" s="203" t="s">
        <v>149</v>
      </c>
      <c r="Z12" s="203" t="s">
        <v>149</v>
      </c>
      <c r="AA12" s="203" t="s">
        <v>149</v>
      </c>
      <c r="AB12" s="203" t="s">
        <v>149</v>
      </c>
      <c r="AC12" s="203" t="s">
        <v>149</v>
      </c>
      <c r="AD12" s="203" t="s">
        <v>149</v>
      </c>
      <c r="AE12" s="203" t="s">
        <v>149</v>
      </c>
      <c r="AF12" s="203" t="s">
        <v>149</v>
      </c>
      <c r="AG12" s="203" t="s">
        <v>149</v>
      </c>
      <c r="AH12" s="203" t="s">
        <v>149</v>
      </c>
      <c r="AI12" s="203" t="s">
        <v>149</v>
      </c>
      <c r="AJ12" s="203" t="s">
        <v>149</v>
      </c>
      <c r="AK12" s="203" t="s">
        <v>149</v>
      </c>
      <c r="AL12" s="203" t="s">
        <v>149</v>
      </c>
      <c r="AM12" s="203" t="s">
        <v>149</v>
      </c>
      <c r="AN12" s="203" t="s">
        <v>149</v>
      </c>
      <c r="AO12" s="203" t="s">
        <v>149</v>
      </c>
      <c r="AP12" s="203"/>
      <c r="AQ12" s="203"/>
      <c r="AR12" s="203" t="s">
        <v>149</v>
      </c>
      <c r="AS12" s="203" t="s">
        <v>149</v>
      </c>
      <c r="AT12" s="203"/>
      <c r="AU12" s="203"/>
      <c r="AV12" s="203" t="s">
        <v>149</v>
      </c>
      <c r="AW12" s="203" t="s">
        <v>149</v>
      </c>
      <c r="AX12" s="203"/>
      <c r="AY12" s="203"/>
      <c r="AZ12" s="203" t="s">
        <v>149</v>
      </c>
      <c r="BA12" s="252"/>
      <c r="BB12" s="252"/>
      <c r="BC12" s="252"/>
      <c r="BD12" s="252"/>
      <c r="BE12" s="252"/>
      <c r="BF12" s="252"/>
      <c r="BG12" s="252"/>
      <c r="BH12" s="252"/>
      <c r="BI12" s="252"/>
      <c r="BJ12" s="252"/>
      <c r="BK12" s="252"/>
    </row>
    <row r="13" spans="1:63" ht="409.5">
      <c r="A13" s="124">
        <v>44967</v>
      </c>
      <c r="B13" s="125" t="s">
        <v>34</v>
      </c>
      <c r="C13" s="125" t="s">
        <v>172</v>
      </c>
      <c r="D13" s="125" t="s">
        <v>183</v>
      </c>
      <c r="E13" s="125" t="s">
        <v>184</v>
      </c>
      <c r="F13" s="126" t="s">
        <v>185</v>
      </c>
      <c r="G13" s="209" t="s">
        <v>176</v>
      </c>
      <c r="H13" s="212"/>
      <c r="I13" s="210" t="s">
        <v>149</v>
      </c>
      <c r="J13" s="203" t="s">
        <v>149</v>
      </c>
      <c r="K13" s="203"/>
      <c r="L13" s="203" t="s">
        <v>149</v>
      </c>
      <c r="M13" s="203" t="s">
        <v>149</v>
      </c>
      <c r="N13" s="203"/>
      <c r="O13" s="203"/>
      <c r="P13" s="203"/>
      <c r="Q13" s="203"/>
      <c r="R13" s="203"/>
      <c r="S13" s="204"/>
      <c r="T13" s="203"/>
      <c r="U13" s="203"/>
      <c r="V13" s="203"/>
      <c r="W13" s="203"/>
      <c r="X13" s="203"/>
      <c r="Y13" s="203" t="s">
        <v>149</v>
      </c>
      <c r="Z13" s="203" t="s">
        <v>149</v>
      </c>
      <c r="AA13" s="203" t="s">
        <v>149</v>
      </c>
      <c r="AB13" s="203" t="s">
        <v>149</v>
      </c>
      <c r="AC13" s="203" t="s">
        <v>149</v>
      </c>
      <c r="AD13" s="203" t="s">
        <v>149</v>
      </c>
      <c r="AE13" s="203" t="s">
        <v>149</v>
      </c>
      <c r="AF13" s="203" t="s">
        <v>149</v>
      </c>
      <c r="AG13" s="203" t="s">
        <v>149</v>
      </c>
      <c r="AH13" s="203" t="s">
        <v>149</v>
      </c>
      <c r="AI13" s="203" t="s">
        <v>149</v>
      </c>
      <c r="AJ13" s="203" t="s">
        <v>149</v>
      </c>
      <c r="AK13" s="203" t="s">
        <v>149</v>
      </c>
      <c r="AL13" s="203" t="s">
        <v>149</v>
      </c>
      <c r="AM13" s="203" t="s">
        <v>149</v>
      </c>
      <c r="AN13" s="203" t="s">
        <v>149</v>
      </c>
      <c r="AO13" s="203" t="s">
        <v>149</v>
      </c>
      <c r="AP13" s="203"/>
      <c r="AQ13" s="203"/>
      <c r="AR13" s="203" t="s">
        <v>149</v>
      </c>
      <c r="AS13" s="203" t="s">
        <v>149</v>
      </c>
      <c r="AT13" s="203"/>
      <c r="AU13" s="203"/>
      <c r="AV13" s="203" t="s">
        <v>149</v>
      </c>
      <c r="AW13" s="203" t="s">
        <v>149</v>
      </c>
      <c r="AX13" s="203"/>
      <c r="AY13" s="203"/>
      <c r="AZ13" s="203" t="s">
        <v>149</v>
      </c>
      <c r="BA13" s="252"/>
      <c r="BB13" s="252"/>
      <c r="BC13" s="252"/>
      <c r="BD13" s="252"/>
      <c r="BE13" s="252"/>
      <c r="BF13" s="252"/>
      <c r="BG13" s="252"/>
      <c r="BH13" s="252"/>
      <c r="BI13" s="252"/>
      <c r="BJ13" s="252"/>
      <c r="BK13" s="252"/>
    </row>
    <row r="14" spans="1:63" ht="409.5">
      <c r="A14" s="124">
        <v>44970</v>
      </c>
      <c r="B14" s="125" t="s">
        <v>34</v>
      </c>
      <c r="C14" s="125" t="s">
        <v>172</v>
      </c>
      <c r="D14" s="125" t="s">
        <v>186</v>
      </c>
      <c r="E14" s="125" t="s">
        <v>187</v>
      </c>
      <c r="F14" s="126" t="s">
        <v>188</v>
      </c>
      <c r="G14" s="209" t="s">
        <v>176</v>
      </c>
      <c r="H14" s="212"/>
      <c r="I14" s="210" t="s">
        <v>149</v>
      </c>
      <c r="J14" s="203" t="s">
        <v>149</v>
      </c>
      <c r="K14" s="203"/>
      <c r="L14" s="203" t="s">
        <v>149</v>
      </c>
      <c r="M14" s="203" t="s">
        <v>149</v>
      </c>
      <c r="N14" s="203"/>
      <c r="O14" s="203"/>
      <c r="P14" s="203"/>
      <c r="Q14" s="203"/>
      <c r="R14" s="203"/>
      <c r="S14" s="204"/>
      <c r="T14" s="203"/>
      <c r="U14" s="203"/>
      <c r="V14" s="203"/>
      <c r="W14" s="203"/>
      <c r="X14" s="203"/>
      <c r="Y14" s="203" t="s">
        <v>149</v>
      </c>
      <c r="Z14" s="203" t="s">
        <v>149</v>
      </c>
      <c r="AA14" s="203" t="s">
        <v>149</v>
      </c>
      <c r="AB14" s="203" t="s">
        <v>149</v>
      </c>
      <c r="AC14" s="203" t="s">
        <v>149</v>
      </c>
      <c r="AD14" s="203" t="s">
        <v>149</v>
      </c>
      <c r="AE14" s="203" t="s">
        <v>149</v>
      </c>
      <c r="AF14" s="203" t="s">
        <v>149</v>
      </c>
      <c r="AG14" s="203" t="s">
        <v>149</v>
      </c>
      <c r="AH14" s="203" t="s">
        <v>149</v>
      </c>
      <c r="AI14" s="203" t="s">
        <v>149</v>
      </c>
      <c r="AJ14" s="203" t="s">
        <v>149</v>
      </c>
      <c r="AK14" s="203" t="s">
        <v>149</v>
      </c>
      <c r="AL14" s="203" t="s">
        <v>149</v>
      </c>
      <c r="AM14" s="203" t="s">
        <v>149</v>
      </c>
      <c r="AN14" s="203" t="s">
        <v>149</v>
      </c>
      <c r="AO14" s="203" t="s">
        <v>149</v>
      </c>
      <c r="AP14" s="203"/>
      <c r="AQ14" s="203"/>
      <c r="AR14" s="203" t="s">
        <v>149</v>
      </c>
      <c r="AS14" s="203" t="s">
        <v>149</v>
      </c>
      <c r="AT14" s="203"/>
      <c r="AU14" s="203"/>
      <c r="AV14" s="203" t="s">
        <v>149</v>
      </c>
      <c r="AW14" s="203" t="s">
        <v>149</v>
      </c>
      <c r="AX14" s="203"/>
      <c r="AY14" s="203"/>
      <c r="AZ14" s="203" t="s">
        <v>149</v>
      </c>
      <c r="BA14" s="252"/>
      <c r="BB14" s="252"/>
      <c r="BC14" s="252"/>
      <c r="BD14" s="252"/>
      <c r="BE14" s="252"/>
      <c r="BF14" s="252"/>
      <c r="BG14" s="252"/>
      <c r="BH14" s="252"/>
      <c r="BI14" s="252"/>
      <c r="BJ14" s="252"/>
      <c r="BK14" s="252"/>
    </row>
    <row r="15" spans="1:63" ht="409.5">
      <c r="A15" s="124">
        <v>44973</v>
      </c>
      <c r="B15" s="125" t="s">
        <v>34</v>
      </c>
      <c r="C15" s="125" t="s">
        <v>189</v>
      </c>
      <c r="D15" s="125" t="s">
        <v>190</v>
      </c>
      <c r="E15" s="125" t="s">
        <v>191</v>
      </c>
      <c r="F15" s="126" t="s">
        <v>192</v>
      </c>
      <c r="G15" s="209" t="s">
        <v>176</v>
      </c>
      <c r="H15" s="212"/>
      <c r="I15" s="210" t="s">
        <v>149</v>
      </c>
      <c r="J15" s="203" t="s">
        <v>149</v>
      </c>
      <c r="K15" s="203"/>
      <c r="L15" s="203" t="s">
        <v>149</v>
      </c>
      <c r="M15" s="203" t="s">
        <v>149</v>
      </c>
      <c r="N15" s="203"/>
      <c r="O15" s="203"/>
      <c r="P15" s="203"/>
      <c r="Q15" s="203"/>
      <c r="R15" s="203"/>
      <c r="S15" s="204"/>
      <c r="T15" s="203"/>
      <c r="U15" s="203"/>
      <c r="V15" s="203"/>
      <c r="W15" s="203"/>
      <c r="X15" s="203"/>
      <c r="Y15" s="203" t="s">
        <v>149</v>
      </c>
      <c r="Z15" s="203" t="s">
        <v>149</v>
      </c>
      <c r="AA15" s="203" t="s">
        <v>149</v>
      </c>
      <c r="AB15" s="203" t="s">
        <v>149</v>
      </c>
      <c r="AC15" s="203" t="s">
        <v>149</v>
      </c>
      <c r="AD15" s="203" t="s">
        <v>149</v>
      </c>
      <c r="AE15" s="203" t="s">
        <v>149</v>
      </c>
      <c r="AF15" s="203" t="s">
        <v>149</v>
      </c>
      <c r="AG15" s="203" t="s">
        <v>149</v>
      </c>
      <c r="AH15" s="203" t="s">
        <v>149</v>
      </c>
      <c r="AI15" s="203" t="s">
        <v>149</v>
      </c>
      <c r="AJ15" s="203" t="s">
        <v>149</v>
      </c>
      <c r="AK15" s="203" t="s">
        <v>149</v>
      </c>
      <c r="AL15" s="203" t="s">
        <v>149</v>
      </c>
      <c r="AM15" s="203" t="s">
        <v>149</v>
      </c>
      <c r="AN15" s="203" t="s">
        <v>149</v>
      </c>
      <c r="AO15" s="203" t="s">
        <v>149</v>
      </c>
      <c r="AP15" s="203"/>
      <c r="AQ15" s="203"/>
      <c r="AR15" s="203" t="s">
        <v>149</v>
      </c>
      <c r="AS15" s="203" t="s">
        <v>149</v>
      </c>
      <c r="AT15" s="203"/>
      <c r="AU15" s="203"/>
      <c r="AV15" s="203" t="s">
        <v>149</v>
      </c>
      <c r="AW15" s="203" t="s">
        <v>149</v>
      </c>
      <c r="AX15" s="203"/>
      <c r="AY15" s="203"/>
      <c r="AZ15" s="203" t="s">
        <v>149</v>
      </c>
      <c r="BA15" s="252"/>
      <c r="BB15" s="252"/>
      <c r="BC15" s="252"/>
      <c r="BD15" s="252"/>
      <c r="BE15" s="252"/>
      <c r="BF15" s="252"/>
      <c r="BG15" s="252"/>
      <c r="BH15" s="252"/>
      <c r="BI15" s="252"/>
      <c r="BJ15" s="252"/>
      <c r="BK15" s="252"/>
    </row>
    <row r="16" spans="1:63" ht="409.5">
      <c r="A16" s="124">
        <v>44981</v>
      </c>
      <c r="B16" s="125" t="s">
        <v>34</v>
      </c>
      <c r="C16" s="125" t="s">
        <v>189</v>
      </c>
      <c r="D16" s="125" t="s">
        <v>193</v>
      </c>
      <c r="E16" s="125" t="s">
        <v>194</v>
      </c>
      <c r="F16" s="126" t="s">
        <v>195</v>
      </c>
      <c r="G16" s="209" t="s">
        <v>196</v>
      </c>
      <c r="H16" s="212"/>
      <c r="I16" s="210" t="s">
        <v>149</v>
      </c>
      <c r="J16" s="203" t="s">
        <v>149</v>
      </c>
      <c r="K16" s="203"/>
      <c r="L16" s="203" t="s">
        <v>149</v>
      </c>
      <c r="M16" s="203" t="s">
        <v>149</v>
      </c>
      <c r="N16" s="203"/>
      <c r="O16" s="203"/>
      <c r="P16" s="203"/>
      <c r="Q16" s="203"/>
      <c r="R16" s="203"/>
      <c r="S16" s="204"/>
      <c r="T16" s="203"/>
      <c r="U16" s="203"/>
      <c r="V16" s="203"/>
      <c r="W16" s="203"/>
      <c r="X16" s="203"/>
      <c r="Y16" s="203" t="s">
        <v>149</v>
      </c>
      <c r="Z16" s="203" t="s">
        <v>149</v>
      </c>
      <c r="AA16" s="203" t="s">
        <v>149</v>
      </c>
      <c r="AB16" s="203" t="s">
        <v>149</v>
      </c>
      <c r="AC16" s="203" t="s">
        <v>149</v>
      </c>
      <c r="AD16" s="203" t="s">
        <v>149</v>
      </c>
      <c r="AE16" s="203" t="s">
        <v>149</v>
      </c>
      <c r="AF16" s="203" t="s">
        <v>149</v>
      </c>
      <c r="AG16" s="203" t="s">
        <v>149</v>
      </c>
      <c r="AH16" s="203" t="s">
        <v>149</v>
      </c>
      <c r="AI16" s="203" t="s">
        <v>149</v>
      </c>
      <c r="AJ16" s="203" t="s">
        <v>149</v>
      </c>
      <c r="AK16" s="203" t="s">
        <v>149</v>
      </c>
      <c r="AL16" s="203" t="s">
        <v>149</v>
      </c>
      <c r="AM16" s="203" t="s">
        <v>149</v>
      </c>
      <c r="AN16" s="203" t="s">
        <v>149</v>
      </c>
      <c r="AO16" s="203" t="s">
        <v>149</v>
      </c>
      <c r="AP16" s="203"/>
      <c r="AQ16" s="203"/>
      <c r="AR16" s="203" t="s">
        <v>149</v>
      </c>
      <c r="AS16" s="203" t="s">
        <v>149</v>
      </c>
      <c r="AT16" s="203"/>
      <c r="AU16" s="203"/>
      <c r="AV16" s="203" t="s">
        <v>149</v>
      </c>
      <c r="AW16" s="203" t="s">
        <v>149</v>
      </c>
      <c r="AX16" s="203"/>
      <c r="AY16" s="203"/>
      <c r="AZ16" s="203" t="s">
        <v>149</v>
      </c>
      <c r="BA16" s="252"/>
      <c r="BB16" s="252"/>
      <c r="BC16" s="252"/>
      <c r="BD16" s="252"/>
      <c r="BE16" s="252"/>
      <c r="BF16" s="252"/>
      <c r="BG16" s="252"/>
      <c r="BH16" s="252"/>
      <c r="BI16" s="252"/>
      <c r="BJ16" s="252"/>
      <c r="BK16" s="252"/>
    </row>
    <row r="17" spans="1:63" ht="345">
      <c r="A17" s="124">
        <v>44988</v>
      </c>
      <c r="B17" s="125" t="s">
        <v>34</v>
      </c>
      <c r="C17" s="125" t="s">
        <v>189</v>
      </c>
      <c r="D17" s="125" t="s">
        <v>197</v>
      </c>
      <c r="E17" s="125" t="s">
        <v>198</v>
      </c>
      <c r="F17" s="126" t="s">
        <v>199</v>
      </c>
      <c r="G17" s="209" t="s">
        <v>196</v>
      </c>
      <c r="H17" s="212"/>
      <c r="I17" s="210" t="s">
        <v>149</v>
      </c>
      <c r="J17" s="203" t="s">
        <v>149</v>
      </c>
      <c r="K17" s="203"/>
      <c r="L17" s="203" t="s">
        <v>149</v>
      </c>
      <c r="M17" s="203" t="s">
        <v>149</v>
      </c>
      <c r="N17" s="203"/>
      <c r="O17" s="203"/>
      <c r="P17" s="203"/>
      <c r="Q17" s="203"/>
      <c r="R17" s="203"/>
      <c r="S17" s="204"/>
      <c r="T17" s="203"/>
      <c r="U17" s="203"/>
      <c r="V17" s="203"/>
      <c r="W17" s="203"/>
      <c r="X17" s="203"/>
      <c r="Y17" s="203" t="s">
        <v>149</v>
      </c>
      <c r="Z17" s="203" t="s">
        <v>149</v>
      </c>
      <c r="AA17" s="203" t="s">
        <v>149</v>
      </c>
      <c r="AB17" s="203" t="s">
        <v>149</v>
      </c>
      <c r="AC17" s="203" t="s">
        <v>149</v>
      </c>
      <c r="AD17" s="203" t="s">
        <v>149</v>
      </c>
      <c r="AE17" s="203" t="s">
        <v>149</v>
      </c>
      <c r="AF17" s="203" t="s">
        <v>149</v>
      </c>
      <c r="AG17" s="203" t="s">
        <v>149</v>
      </c>
      <c r="AH17" s="203" t="s">
        <v>149</v>
      </c>
      <c r="AI17" s="203" t="s">
        <v>149</v>
      </c>
      <c r="AJ17" s="203" t="s">
        <v>149</v>
      </c>
      <c r="AK17" s="203" t="s">
        <v>149</v>
      </c>
      <c r="AL17" s="203" t="s">
        <v>149</v>
      </c>
      <c r="AM17" s="203" t="s">
        <v>149</v>
      </c>
      <c r="AN17" s="203" t="s">
        <v>149</v>
      </c>
      <c r="AO17" s="203" t="s">
        <v>149</v>
      </c>
      <c r="AP17" s="203"/>
      <c r="AQ17" s="203"/>
      <c r="AR17" s="203" t="s">
        <v>149</v>
      </c>
      <c r="AS17" s="203" t="s">
        <v>149</v>
      </c>
      <c r="AT17" s="203"/>
      <c r="AU17" s="203"/>
      <c r="AV17" s="203" t="s">
        <v>149</v>
      </c>
      <c r="AW17" s="203" t="s">
        <v>149</v>
      </c>
      <c r="AX17" s="203"/>
      <c r="AY17" s="203"/>
      <c r="AZ17" s="203" t="s">
        <v>149</v>
      </c>
      <c r="BA17" s="252"/>
      <c r="BB17" s="252"/>
      <c r="BC17" s="252"/>
      <c r="BD17" s="252"/>
      <c r="BE17" s="252"/>
      <c r="BF17" s="252"/>
      <c r="BG17" s="252"/>
      <c r="BH17" s="252"/>
      <c r="BI17" s="252"/>
      <c r="BJ17" s="252"/>
      <c r="BK17" s="252"/>
    </row>
    <row r="18" spans="1:63" ht="409.5">
      <c r="A18" s="124">
        <v>44995</v>
      </c>
      <c r="B18" s="125" t="s">
        <v>34</v>
      </c>
      <c r="C18" s="125" t="s">
        <v>189</v>
      </c>
      <c r="D18" s="125" t="s">
        <v>200</v>
      </c>
      <c r="E18" s="125" t="s">
        <v>201</v>
      </c>
      <c r="F18" s="126" t="s">
        <v>202</v>
      </c>
      <c r="G18" s="209" t="s">
        <v>196</v>
      </c>
      <c r="H18" s="212"/>
      <c r="I18" s="210" t="s">
        <v>149</v>
      </c>
      <c r="J18" s="203" t="s">
        <v>149</v>
      </c>
      <c r="K18" s="203"/>
      <c r="L18" s="203" t="s">
        <v>149</v>
      </c>
      <c r="M18" s="203" t="s">
        <v>149</v>
      </c>
      <c r="N18" s="203"/>
      <c r="O18" s="203"/>
      <c r="P18" s="203"/>
      <c r="Q18" s="203"/>
      <c r="R18" s="203"/>
      <c r="S18" s="204"/>
      <c r="T18" s="203"/>
      <c r="U18" s="203"/>
      <c r="V18" s="203"/>
      <c r="W18" s="203"/>
      <c r="X18" s="203"/>
      <c r="Y18" s="203" t="s">
        <v>149</v>
      </c>
      <c r="Z18" s="203" t="s">
        <v>149</v>
      </c>
      <c r="AA18" s="203" t="s">
        <v>149</v>
      </c>
      <c r="AB18" s="203" t="s">
        <v>149</v>
      </c>
      <c r="AC18" s="203" t="s">
        <v>149</v>
      </c>
      <c r="AD18" s="203" t="s">
        <v>149</v>
      </c>
      <c r="AE18" s="203" t="s">
        <v>149</v>
      </c>
      <c r="AF18" s="203" t="s">
        <v>149</v>
      </c>
      <c r="AG18" s="203" t="s">
        <v>149</v>
      </c>
      <c r="AH18" s="203" t="s">
        <v>149</v>
      </c>
      <c r="AI18" s="203" t="s">
        <v>149</v>
      </c>
      <c r="AJ18" s="203" t="s">
        <v>149</v>
      </c>
      <c r="AK18" s="203" t="s">
        <v>149</v>
      </c>
      <c r="AL18" s="203" t="s">
        <v>149</v>
      </c>
      <c r="AM18" s="203" t="s">
        <v>149</v>
      </c>
      <c r="AN18" s="203" t="s">
        <v>149</v>
      </c>
      <c r="AO18" s="203" t="s">
        <v>149</v>
      </c>
      <c r="AP18" s="203"/>
      <c r="AQ18" s="203"/>
      <c r="AR18" s="203" t="s">
        <v>149</v>
      </c>
      <c r="AS18" s="203" t="s">
        <v>149</v>
      </c>
      <c r="AT18" s="203"/>
      <c r="AU18" s="203"/>
      <c r="AV18" s="203" t="s">
        <v>149</v>
      </c>
      <c r="AW18" s="203" t="s">
        <v>149</v>
      </c>
      <c r="AX18" s="203"/>
      <c r="AY18" s="203"/>
      <c r="AZ18" s="203" t="s">
        <v>149</v>
      </c>
      <c r="BA18" s="252"/>
      <c r="BB18" s="252"/>
      <c r="BC18" s="252"/>
      <c r="BD18" s="252"/>
      <c r="BE18" s="252"/>
      <c r="BF18" s="252"/>
      <c r="BG18" s="252"/>
      <c r="BH18" s="252"/>
      <c r="BI18" s="252"/>
      <c r="BJ18" s="252"/>
      <c r="BK18" s="252"/>
    </row>
    <row r="19" spans="1:63" ht="210">
      <c r="A19" s="124">
        <v>45002</v>
      </c>
      <c r="B19" s="125" t="s">
        <v>34</v>
      </c>
      <c r="C19" s="125" t="s">
        <v>189</v>
      </c>
      <c r="D19" s="125" t="s">
        <v>203</v>
      </c>
      <c r="E19" s="125" t="s">
        <v>204</v>
      </c>
      <c r="F19" s="126" t="s">
        <v>205</v>
      </c>
      <c r="G19" s="209" t="s">
        <v>206</v>
      </c>
      <c r="H19" s="212"/>
      <c r="I19" s="210" t="s">
        <v>149</v>
      </c>
      <c r="J19" s="203" t="s">
        <v>149</v>
      </c>
      <c r="K19" s="203"/>
      <c r="L19" s="203" t="s">
        <v>149</v>
      </c>
      <c r="M19" s="203" t="s">
        <v>149</v>
      </c>
      <c r="N19" s="203"/>
      <c r="O19" s="203"/>
      <c r="P19" s="203"/>
      <c r="Q19" s="203"/>
      <c r="R19" s="203"/>
      <c r="S19" s="204"/>
      <c r="T19" s="203"/>
      <c r="U19" s="203"/>
      <c r="V19" s="203"/>
      <c r="W19" s="203"/>
      <c r="X19" s="203"/>
      <c r="Y19" s="203" t="s">
        <v>149</v>
      </c>
      <c r="Z19" s="203" t="s">
        <v>149</v>
      </c>
      <c r="AA19" s="203" t="s">
        <v>149</v>
      </c>
      <c r="AB19" s="203" t="s">
        <v>149</v>
      </c>
      <c r="AC19" s="203" t="s">
        <v>149</v>
      </c>
      <c r="AD19" s="203" t="s">
        <v>149</v>
      </c>
      <c r="AE19" s="203" t="s">
        <v>149</v>
      </c>
      <c r="AF19" s="203" t="s">
        <v>149</v>
      </c>
      <c r="AG19" s="203" t="s">
        <v>149</v>
      </c>
      <c r="AH19" s="203" t="s">
        <v>149</v>
      </c>
      <c r="AI19" s="203" t="s">
        <v>149</v>
      </c>
      <c r="AJ19" s="203" t="s">
        <v>149</v>
      </c>
      <c r="AK19" s="203" t="s">
        <v>149</v>
      </c>
      <c r="AL19" s="203" t="s">
        <v>149</v>
      </c>
      <c r="AM19" s="203" t="s">
        <v>149</v>
      </c>
      <c r="AN19" s="203" t="s">
        <v>149</v>
      </c>
      <c r="AO19" s="203" t="s">
        <v>149</v>
      </c>
      <c r="AP19" s="203"/>
      <c r="AQ19" s="203"/>
      <c r="AR19" s="203" t="s">
        <v>149</v>
      </c>
      <c r="AS19" s="203" t="s">
        <v>149</v>
      </c>
      <c r="AT19" s="203"/>
      <c r="AU19" s="203"/>
      <c r="AV19" s="203" t="s">
        <v>149</v>
      </c>
      <c r="AW19" s="203" t="s">
        <v>149</v>
      </c>
      <c r="AX19" s="203"/>
      <c r="AY19" s="203"/>
      <c r="AZ19" s="203" t="s">
        <v>149</v>
      </c>
      <c r="BA19" s="252"/>
      <c r="BB19" s="252"/>
      <c r="BC19" s="252"/>
      <c r="BD19" s="252"/>
      <c r="BE19" s="252"/>
      <c r="BF19" s="252"/>
      <c r="BG19" s="252"/>
      <c r="BH19" s="252"/>
      <c r="BI19" s="252"/>
      <c r="BJ19" s="252"/>
      <c r="BK19" s="252"/>
    </row>
    <row r="20" spans="1:63" ht="409.5">
      <c r="A20" s="124">
        <v>45015</v>
      </c>
      <c r="B20" s="125" t="s">
        <v>34</v>
      </c>
      <c r="C20" s="125" t="s">
        <v>189</v>
      </c>
      <c r="D20" s="125" t="s">
        <v>207</v>
      </c>
      <c r="E20" s="125" t="s">
        <v>208</v>
      </c>
      <c r="F20" s="126" t="s">
        <v>209</v>
      </c>
      <c r="G20" s="209" t="s">
        <v>206</v>
      </c>
      <c r="H20" s="212"/>
      <c r="I20" s="210" t="s">
        <v>149</v>
      </c>
      <c r="J20" s="203" t="s">
        <v>149</v>
      </c>
      <c r="K20" s="203"/>
      <c r="L20" s="203" t="s">
        <v>149</v>
      </c>
      <c r="M20" s="203" t="s">
        <v>149</v>
      </c>
      <c r="N20" s="203"/>
      <c r="O20" s="203"/>
      <c r="P20" s="203"/>
      <c r="Q20" s="203"/>
      <c r="R20" s="203"/>
      <c r="S20" s="204"/>
      <c r="T20" s="203"/>
      <c r="U20" s="203"/>
      <c r="V20" s="203"/>
      <c r="W20" s="203"/>
      <c r="X20" s="203"/>
      <c r="Y20" s="203" t="s">
        <v>149</v>
      </c>
      <c r="Z20" s="203" t="s">
        <v>149</v>
      </c>
      <c r="AA20" s="203" t="s">
        <v>149</v>
      </c>
      <c r="AB20" s="203" t="s">
        <v>149</v>
      </c>
      <c r="AC20" s="203" t="s">
        <v>149</v>
      </c>
      <c r="AD20" s="203" t="s">
        <v>149</v>
      </c>
      <c r="AE20" s="203" t="s">
        <v>149</v>
      </c>
      <c r="AF20" s="203" t="s">
        <v>149</v>
      </c>
      <c r="AG20" s="203" t="s">
        <v>149</v>
      </c>
      <c r="AH20" s="203" t="s">
        <v>149</v>
      </c>
      <c r="AI20" s="203" t="s">
        <v>149</v>
      </c>
      <c r="AJ20" s="203" t="s">
        <v>149</v>
      </c>
      <c r="AK20" s="203" t="s">
        <v>149</v>
      </c>
      <c r="AL20" s="203" t="s">
        <v>149</v>
      </c>
      <c r="AM20" s="203" t="s">
        <v>149</v>
      </c>
      <c r="AN20" s="203" t="s">
        <v>149</v>
      </c>
      <c r="AO20" s="203" t="s">
        <v>149</v>
      </c>
      <c r="AP20" s="203"/>
      <c r="AQ20" s="203"/>
      <c r="AR20" s="203" t="s">
        <v>149</v>
      </c>
      <c r="AS20" s="203" t="s">
        <v>149</v>
      </c>
      <c r="AT20" s="203"/>
      <c r="AU20" s="203"/>
      <c r="AV20" s="203" t="s">
        <v>149</v>
      </c>
      <c r="AW20" s="203" t="s">
        <v>149</v>
      </c>
      <c r="AX20" s="203"/>
      <c r="AY20" s="203"/>
      <c r="AZ20" s="203" t="s">
        <v>149</v>
      </c>
      <c r="BA20" s="252"/>
      <c r="BB20" s="252"/>
      <c r="BC20" s="252"/>
      <c r="BD20" s="252"/>
      <c r="BE20" s="252"/>
      <c r="BF20" s="252"/>
      <c r="BG20" s="252"/>
      <c r="BH20" s="252"/>
      <c r="BI20" s="252"/>
      <c r="BJ20" s="252"/>
      <c r="BK20" s="252"/>
    </row>
    <row r="21" spans="1:63" ht="409.5">
      <c r="A21" s="124">
        <v>45015</v>
      </c>
      <c r="B21" s="125" t="s">
        <v>34</v>
      </c>
      <c r="C21" s="125" t="s">
        <v>189</v>
      </c>
      <c r="D21" s="125" t="s">
        <v>210</v>
      </c>
      <c r="E21" s="125" t="s">
        <v>211</v>
      </c>
      <c r="F21" s="126" t="s">
        <v>212</v>
      </c>
      <c r="G21" s="209" t="s">
        <v>213</v>
      </c>
      <c r="H21" s="212"/>
      <c r="I21" s="210" t="s">
        <v>149</v>
      </c>
      <c r="J21" s="203" t="s">
        <v>149</v>
      </c>
      <c r="K21" s="203"/>
      <c r="L21" s="203" t="s">
        <v>149</v>
      </c>
      <c r="M21" s="203" t="s">
        <v>149</v>
      </c>
      <c r="N21" s="203"/>
      <c r="O21" s="203"/>
      <c r="P21" s="203"/>
      <c r="Q21" s="203"/>
      <c r="R21" s="203"/>
      <c r="S21" s="204"/>
      <c r="T21" s="203"/>
      <c r="U21" s="203"/>
      <c r="V21" s="203"/>
      <c r="W21" s="203"/>
      <c r="X21" s="203"/>
      <c r="Y21" s="203" t="s">
        <v>149</v>
      </c>
      <c r="Z21" s="203" t="s">
        <v>149</v>
      </c>
      <c r="AA21" s="203" t="s">
        <v>149</v>
      </c>
      <c r="AB21" s="203" t="s">
        <v>149</v>
      </c>
      <c r="AC21" s="203" t="s">
        <v>149</v>
      </c>
      <c r="AD21" s="203" t="s">
        <v>149</v>
      </c>
      <c r="AE21" s="203" t="s">
        <v>149</v>
      </c>
      <c r="AF21" s="203" t="s">
        <v>149</v>
      </c>
      <c r="AG21" s="203" t="s">
        <v>149</v>
      </c>
      <c r="AH21" s="203" t="s">
        <v>149</v>
      </c>
      <c r="AI21" s="203" t="s">
        <v>149</v>
      </c>
      <c r="AJ21" s="203" t="s">
        <v>149</v>
      </c>
      <c r="AK21" s="203" t="s">
        <v>149</v>
      </c>
      <c r="AL21" s="203" t="s">
        <v>149</v>
      </c>
      <c r="AM21" s="203" t="s">
        <v>149</v>
      </c>
      <c r="AN21" s="203" t="s">
        <v>149</v>
      </c>
      <c r="AO21" s="203" t="s">
        <v>149</v>
      </c>
      <c r="AP21" s="203"/>
      <c r="AQ21" s="203"/>
      <c r="AR21" s="203" t="s">
        <v>149</v>
      </c>
      <c r="AS21" s="203" t="s">
        <v>149</v>
      </c>
      <c r="AT21" s="203"/>
      <c r="AU21" s="203"/>
      <c r="AV21" s="203" t="s">
        <v>149</v>
      </c>
      <c r="AW21" s="203" t="s">
        <v>149</v>
      </c>
      <c r="AX21" s="203"/>
      <c r="AY21" s="203"/>
      <c r="AZ21" s="203" t="s">
        <v>149</v>
      </c>
      <c r="BA21" s="252"/>
      <c r="BB21" s="252"/>
      <c r="BC21" s="252"/>
      <c r="BD21" s="252"/>
      <c r="BE21" s="252"/>
      <c r="BF21" s="252"/>
      <c r="BG21" s="252"/>
      <c r="BH21" s="252"/>
      <c r="BI21" s="252"/>
      <c r="BJ21" s="252"/>
      <c r="BK21" s="252"/>
    </row>
    <row r="22" spans="1:63" ht="195">
      <c r="A22" s="124">
        <v>45023</v>
      </c>
      <c r="B22" s="125" t="s">
        <v>34</v>
      </c>
      <c r="C22" s="125" t="s">
        <v>189</v>
      </c>
      <c r="D22" s="125" t="s">
        <v>214</v>
      </c>
      <c r="E22" s="125" t="s">
        <v>215</v>
      </c>
      <c r="F22" s="126" t="s">
        <v>216</v>
      </c>
      <c r="G22" s="209" t="s">
        <v>213</v>
      </c>
      <c r="H22" s="212"/>
      <c r="I22" s="210" t="s">
        <v>149</v>
      </c>
      <c r="J22" s="203" t="s">
        <v>149</v>
      </c>
      <c r="K22" s="203"/>
      <c r="L22" s="203" t="s">
        <v>149</v>
      </c>
      <c r="M22" s="203" t="s">
        <v>149</v>
      </c>
      <c r="N22" s="203"/>
      <c r="O22" s="203"/>
      <c r="P22" s="203"/>
      <c r="Q22" s="203"/>
      <c r="R22" s="203"/>
      <c r="S22" s="204"/>
      <c r="T22" s="203"/>
      <c r="U22" s="203"/>
      <c r="V22" s="203"/>
      <c r="W22" s="203"/>
      <c r="X22" s="203"/>
      <c r="Y22" s="203" t="s">
        <v>149</v>
      </c>
      <c r="Z22" s="203" t="s">
        <v>149</v>
      </c>
      <c r="AA22" s="203" t="s">
        <v>149</v>
      </c>
      <c r="AB22" s="203" t="s">
        <v>149</v>
      </c>
      <c r="AC22" s="203" t="s">
        <v>149</v>
      </c>
      <c r="AD22" s="203" t="s">
        <v>149</v>
      </c>
      <c r="AE22" s="203" t="s">
        <v>149</v>
      </c>
      <c r="AF22" s="203" t="s">
        <v>149</v>
      </c>
      <c r="AG22" s="203" t="s">
        <v>149</v>
      </c>
      <c r="AH22" s="203" t="s">
        <v>149</v>
      </c>
      <c r="AI22" s="203" t="s">
        <v>149</v>
      </c>
      <c r="AJ22" s="203" t="s">
        <v>149</v>
      </c>
      <c r="AK22" s="203" t="s">
        <v>149</v>
      </c>
      <c r="AL22" s="203" t="s">
        <v>149</v>
      </c>
      <c r="AM22" s="203" t="s">
        <v>149</v>
      </c>
      <c r="AN22" s="203" t="s">
        <v>149</v>
      </c>
      <c r="AO22" s="203" t="s">
        <v>149</v>
      </c>
      <c r="AP22" s="203"/>
      <c r="AQ22" s="203"/>
      <c r="AR22" s="203" t="s">
        <v>149</v>
      </c>
      <c r="AS22" s="203" t="s">
        <v>149</v>
      </c>
      <c r="AT22" s="203"/>
      <c r="AU22" s="203"/>
      <c r="AV22" s="203" t="s">
        <v>149</v>
      </c>
      <c r="AW22" s="203" t="s">
        <v>149</v>
      </c>
      <c r="AX22" s="203"/>
      <c r="AY22" s="203"/>
      <c r="AZ22" s="203" t="s">
        <v>149</v>
      </c>
      <c r="BA22" s="252"/>
      <c r="BB22" s="252"/>
      <c r="BC22" s="252"/>
      <c r="BD22" s="252"/>
      <c r="BE22" s="252"/>
      <c r="BF22" s="252"/>
      <c r="BG22" s="252"/>
      <c r="BH22" s="252"/>
      <c r="BI22" s="252"/>
      <c r="BJ22" s="252"/>
      <c r="BK22" s="252"/>
    </row>
    <row r="23" spans="1:63" ht="285">
      <c r="A23" s="124">
        <v>45030</v>
      </c>
      <c r="B23" s="125" t="s">
        <v>34</v>
      </c>
      <c r="C23" s="125" t="s">
        <v>189</v>
      </c>
      <c r="D23" s="125" t="s">
        <v>217</v>
      </c>
      <c r="E23" s="125" t="s">
        <v>218</v>
      </c>
      <c r="F23" s="126" t="s">
        <v>219</v>
      </c>
      <c r="G23" s="209" t="s">
        <v>213</v>
      </c>
      <c r="H23" s="212"/>
      <c r="I23" s="210" t="s">
        <v>149</v>
      </c>
      <c r="J23" s="203" t="s">
        <v>149</v>
      </c>
      <c r="K23" s="203"/>
      <c r="L23" s="203" t="s">
        <v>149</v>
      </c>
      <c r="M23" s="203" t="s">
        <v>149</v>
      </c>
      <c r="N23" s="203"/>
      <c r="O23" s="203"/>
      <c r="P23" s="203"/>
      <c r="Q23" s="203"/>
      <c r="R23" s="203"/>
      <c r="S23" s="204"/>
      <c r="T23" s="203"/>
      <c r="U23" s="203"/>
      <c r="V23" s="203"/>
      <c r="W23" s="203"/>
      <c r="X23" s="203"/>
      <c r="Y23" s="203" t="s">
        <v>149</v>
      </c>
      <c r="Z23" s="203" t="s">
        <v>149</v>
      </c>
      <c r="AA23" s="203" t="s">
        <v>149</v>
      </c>
      <c r="AB23" s="203" t="s">
        <v>149</v>
      </c>
      <c r="AC23" s="203" t="s">
        <v>149</v>
      </c>
      <c r="AD23" s="203" t="s">
        <v>149</v>
      </c>
      <c r="AE23" s="203" t="s">
        <v>149</v>
      </c>
      <c r="AF23" s="203" t="s">
        <v>149</v>
      </c>
      <c r="AG23" s="203" t="s">
        <v>149</v>
      </c>
      <c r="AH23" s="203" t="s">
        <v>149</v>
      </c>
      <c r="AI23" s="203" t="s">
        <v>149</v>
      </c>
      <c r="AJ23" s="203" t="s">
        <v>149</v>
      </c>
      <c r="AK23" s="203" t="s">
        <v>149</v>
      </c>
      <c r="AL23" s="203" t="s">
        <v>149</v>
      </c>
      <c r="AM23" s="203" t="s">
        <v>149</v>
      </c>
      <c r="AN23" s="203" t="s">
        <v>149</v>
      </c>
      <c r="AO23" s="203" t="s">
        <v>149</v>
      </c>
      <c r="AP23" s="203"/>
      <c r="AQ23" s="203"/>
      <c r="AR23" s="203" t="s">
        <v>149</v>
      </c>
      <c r="AS23" s="203" t="s">
        <v>149</v>
      </c>
      <c r="AT23" s="203"/>
      <c r="AU23" s="203"/>
      <c r="AV23" s="203" t="s">
        <v>149</v>
      </c>
      <c r="AW23" s="203" t="s">
        <v>149</v>
      </c>
      <c r="AX23" s="203"/>
      <c r="AY23" s="203"/>
      <c r="AZ23" s="203" t="s">
        <v>149</v>
      </c>
      <c r="BA23" s="252"/>
      <c r="BB23" s="252"/>
      <c r="BC23" s="252"/>
      <c r="BD23" s="252"/>
      <c r="BE23" s="252"/>
      <c r="BF23" s="252"/>
      <c r="BG23" s="252"/>
      <c r="BH23" s="252"/>
      <c r="BI23" s="252"/>
      <c r="BJ23" s="252"/>
      <c r="BK23" s="252"/>
    </row>
    <row r="24" spans="1:63" ht="409.5">
      <c r="A24" s="124">
        <v>45040</v>
      </c>
      <c r="B24" s="125" t="s">
        <v>34</v>
      </c>
      <c r="C24" s="125" t="s">
        <v>189</v>
      </c>
      <c r="D24" s="125" t="s">
        <v>220</v>
      </c>
      <c r="E24" s="125" t="s">
        <v>221</v>
      </c>
      <c r="F24" s="126" t="s">
        <v>222</v>
      </c>
      <c r="G24" s="209" t="s">
        <v>223</v>
      </c>
      <c r="H24" s="212"/>
      <c r="I24" s="210" t="s">
        <v>149</v>
      </c>
      <c r="J24" s="203" t="s">
        <v>149</v>
      </c>
      <c r="K24" s="203"/>
      <c r="L24" s="203" t="s">
        <v>149</v>
      </c>
      <c r="M24" s="203" t="s">
        <v>149</v>
      </c>
      <c r="N24" s="203"/>
      <c r="O24" s="203"/>
      <c r="P24" s="203"/>
      <c r="Q24" s="203"/>
      <c r="R24" s="203"/>
      <c r="S24" s="204"/>
      <c r="T24" s="203"/>
      <c r="U24" s="203"/>
      <c r="V24" s="203"/>
      <c r="W24" s="203"/>
      <c r="X24" s="203"/>
      <c r="Y24" s="203" t="s">
        <v>149</v>
      </c>
      <c r="Z24" s="203" t="s">
        <v>149</v>
      </c>
      <c r="AA24" s="203" t="s">
        <v>149</v>
      </c>
      <c r="AB24" s="203" t="s">
        <v>149</v>
      </c>
      <c r="AC24" s="203" t="s">
        <v>149</v>
      </c>
      <c r="AD24" s="203" t="s">
        <v>149</v>
      </c>
      <c r="AE24" s="203" t="s">
        <v>149</v>
      </c>
      <c r="AF24" s="203" t="s">
        <v>149</v>
      </c>
      <c r="AG24" s="203" t="s">
        <v>149</v>
      </c>
      <c r="AH24" s="203" t="s">
        <v>149</v>
      </c>
      <c r="AI24" s="203" t="s">
        <v>149</v>
      </c>
      <c r="AJ24" s="203" t="s">
        <v>149</v>
      </c>
      <c r="AK24" s="203" t="s">
        <v>149</v>
      </c>
      <c r="AL24" s="203" t="s">
        <v>149</v>
      </c>
      <c r="AM24" s="203" t="s">
        <v>149</v>
      </c>
      <c r="AN24" s="203" t="s">
        <v>149</v>
      </c>
      <c r="AO24" s="203" t="s">
        <v>149</v>
      </c>
      <c r="AP24" s="203"/>
      <c r="AQ24" s="203"/>
      <c r="AR24" s="203" t="s">
        <v>149</v>
      </c>
      <c r="AS24" s="203" t="s">
        <v>149</v>
      </c>
      <c r="AT24" s="203"/>
      <c r="AU24" s="203"/>
      <c r="AV24" s="203" t="s">
        <v>149</v>
      </c>
      <c r="AW24" s="203" t="s">
        <v>149</v>
      </c>
      <c r="AX24" s="203"/>
      <c r="AY24" s="203"/>
      <c r="AZ24" s="203" t="s">
        <v>149</v>
      </c>
      <c r="BA24" s="252"/>
      <c r="BB24" s="252"/>
      <c r="BC24" s="252"/>
      <c r="BD24" s="252"/>
      <c r="BE24" s="252"/>
      <c r="BF24" s="252"/>
      <c r="BG24" s="252"/>
      <c r="BH24" s="252"/>
      <c r="BI24" s="252"/>
      <c r="BJ24" s="252"/>
      <c r="BK24" s="252"/>
    </row>
    <row r="25" spans="1:63" ht="120">
      <c r="A25" s="124">
        <v>45093</v>
      </c>
      <c r="B25" s="125" t="s">
        <v>34</v>
      </c>
      <c r="C25" s="125" t="s">
        <v>189</v>
      </c>
      <c r="D25" s="125" t="s">
        <v>224</v>
      </c>
      <c r="E25" s="125" t="s">
        <v>225</v>
      </c>
      <c r="F25" s="126" t="s">
        <v>226</v>
      </c>
      <c r="G25" s="209" t="s">
        <v>227</v>
      </c>
      <c r="H25" s="212"/>
      <c r="I25" s="210" t="s">
        <v>149</v>
      </c>
      <c r="J25" s="203" t="s">
        <v>149</v>
      </c>
      <c r="K25" s="203"/>
      <c r="L25" s="203" t="s">
        <v>149</v>
      </c>
      <c r="M25" s="203" t="s">
        <v>149</v>
      </c>
      <c r="N25" s="203"/>
      <c r="O25" s="203"/>
      <c r="P25" s="203"/>
      <c r="Q25" s="203"/>
      <c r="R25" s="203"/>
      <c r="S25" s="204"/>
      <c r="T25" s="203"/>
      <c r="U25" s="203"/>
      <c r="V25" s="203"/>
      <c r="W25" s="203"/>
      <c r="X25" s="203"/>
      <c r="Y25" s="203" t="s">
        <v>149</v>
      </c>
      <c r="Z25" s="203" t="s">
        <v>149</v>
      </c>
      <c r="AA25" s="203" t="s">
        <v>149</v>
      </c>
      <c r="AB25" s="203" t="s">
        <v>149</v>
      </c>
      <c r="AC25" s="203" t="s">
        <v>149</v>
      </c>
      <c r="AD25" s="203" t="s">
        <v>149</v>
      </c>
      <c r="AE25" s="203" t="s">
        <v>149</v>
      </c>
      <c r="AF25" s="203" t="s">
        <v>149</v>
      </c>
      <c r="AG25" s="203" t="s">
        <v>149</v>
      </c>
      <c r="AH25" s="203" t="s">
        <v>149</v>
      </c>
      <c r="AI25" s="203" t="s">
        <v>149</v>
      </c>
      <c r="AJ25" s="203" t="s">
        <v>149</v>
      </c>
      <c r="AK25" s="203" t="s">
        <v>149</v>
      </c>
      <c r="AL25" s="203" t="s">
        <v>149</v>
      </c>
      <c r="AM25" s="203" t="s">
        <v>149</v>
      </c>
      <c r="AN25" s="203" t="s">
        <v>149</v>
      </c>
      <c r="AO25" s="203" t="s">
        <v>149</v>
      </c>
      <c r="AP25" s="203"/>
      <c r="AQ25" s="203"/>
      <c r="AR25" s="203" t="s">
        <v>149</v>
      </c>
      <c r="AS25" s="203" t="s">
        <v>149</v>
      </c>
      <c r="AT25" s="203"/>
      <c r="AU25" s="203"/>
      <c r="AV25" s="203" t="s">
        <v>149</v>
      </c>
      <c r="AW25" s="203" t="s">
        <v>149</v>
      </c>
      <c r="AX25" s="203"/>
      <c r="AY25" s="203"/>
      <c r="AZ25" s="203" t="s">
        <v>149</v>
      </c>
      <c r="BA25" s="252"/>
      <c r="BB25" s="252"/>
      <c r="BC25" s="252"/>
      <c r="BD25" s="252"/>
      <c r="BE25" s="252"/>
      <c r="BF25" s="252"/>
      <c r="BG25" s="252"/>
      <c r="BH25" s="252"/>
      <c r="BI25" s="252"/>
      <c r="BJ25" s="252"/>
      <c r="BK25" s="252"/>
    </row>
    <row r="26" spans="1:63" ht="165">
      <c r="A26" s="124">
        <v>45103</v>
      </c>
      <c r="B26" s="125" t="s">
        <v>34</v>
      </c>
      <c r="C26" s="125" t="s">
        <v>189</v>
      </c>
      <c r="D26" s="125" t="s">
        <v>228</v>
      </c>
      <c r="E26" s="125" t="s">
        <v>229</v>
      </c>
      <c r="F26" s="126" t="s">
        <v>230</v>
      </c>
      <c r="G26" s="209" t="s">
        <v>227</v>
      </c>
      <c r="H26" s="212"/>
      <c r="I26" s="210" t="s">
        <v>149</v>
      </c>
      <c r="J26" s="203" t="s">
        <v>149</v>
      </c>
      <c r="K26" s="203"/>
      <c r="L26" s="203" t="s">
        <v>149</v>
      </c>
      <c r="M26" s="203" t="s">
        <v>149</v>
      </c>
      <c r="N26" s="203"/>
      <c r="O26" s="203"/>
      <c r="P26" s="203"/>
      <c r="Q26" s="203"/>
      <c r="R26" s="203"/>
      <c r="S26" s="204"/>
      <c r="T26" s="203"/>
      <c r="U26" s="203"/>
      <c r="V26" s="203"/>
      <c r="W26" s="203"/>
      <c r="X26" s="203"/>
      <c r="Y26" s="203" t="s">
        <v>149</v>
      </c>
      <c r="Z26" s="203" t="s">
        <v>149</v>
      </c>
      <c r="AA26" s="203" t="s">
        <v>149</v>
      </c>
      <c r="AB26" s="203" t="s">
        <v>149</v>
      </c>
      <c r="AC26" s="203" t="s">
        <v>149</v>
      </c>
      <c r="AD26" s="203" t="s">
        <v>149</v>
      </c>
      <c r="AE26" s="203" t="s">
        <v>149</v>
      </c>
      <c r="AF26" s="203" t="s">
        <v>149</v>
      </c>
      <c r="AG26" s="203" t="s">
        <v>149</v>
      </c>
      <c r="AH26" s="203" t="s">
        <v>149</v>
      </c>
      <c r="AI26" s="203" t="s">
        <v>149</v>
      </c>
      <c r="AJ26" s="203" t="s">
        <v>149</v>
      </c>
      <c r="AK26" s="203" t="s">
        <v>149</v>
      </c>
      <c r="AL26" s="203" t="s">
        <v>149</v>
      </c>
      <c r="AM26" s="203" t="s">
        <v>149</v>
      </c>
      <c r="AN26" s="203" t="s">
        <v>149</v>
      </c>
      <c r="AO26" s="203" t="s">
        <v>149</v>
      </c>
      <c r="AP26" s="203"/>
      <c r="AQ26" s="203"/>
      <c r="AR26" s="203" t="s">
        <v>149</v>
      </c>
      <c r="AS26" s="203" t="s">
        <v>149</v>
      </c>
      <c r="AT26" s="203"/>
      <c r="AU26" s="203"/>
      <c r="AV26" s="203" t="s">
        <v>149</v>
      </c>
      <c r="AW26" s="203" t="s">
        <v>149</v>
      </c>
      <c r="AX26" s="203"/>
      <c r="AY26" s="203"/>
      <c r="AZ26" s="203" t="s">
        <v>149</v>
      </c>
      <c r="BA26" s="252"/>
      <c r="BB26" s="252"/>
      <c r="BC26" s="252"/>
      <c r="BD26" s="252"/>
      <c r="BE26" s="252"/>
      <c r="BF26" s="252"/>
      <c r="BG26" s="252"/>
      <c r="BH26" s="252"/>
      <c r="BI26" s="252"/>
      <c r="BJ26" s="252"/>
      <c r="BK26" s="252"/>
    </row>
    <row r="27" spans="1:63" ht="409.5">
      <c r="A27" s="124">
        <v>45107</v>
      </c>
      <c r="B27" s="125" t="s">
        <v>34</v>
      </c>
      <c r="C27" s="125" t="s">
        <v>189</v>
      </c>
      <c r="D27" s="125" t="s">
        <v>231</v>
      </c>
      <c r="E27" s="125" t="s">
        <v>232</v>
      </c>
      <c r="F27" s="126" t="s">
        <v>233</v>
      </c>
      <c r="G27" s="209" t="s">
        <v>234</v>
      </c>
      <c r="H27" s="212"/>
      <c r="I27" s="210" t="s">
        <v>149</v>
      </c>
      <c r="J27" s="203" t="s">
        <v>149</v>
      </c>
      <c r="K27" s="203"/>
      <c r="L27" s="203" t="s">
        <v>149</v>
      </c>
      <c r="M27" s="203" t="s">
        <v>149</v>
      </c>
      <c r="N27" s="203"/>
      <c r="O27" s="203"/>
      <c r="P27" s="203"/>
      <c r="Q27" s="203"/>
      <c r="R27" s="203"/>
      <c r="S27" s="204"/>
      <c r="T27" s="203"/>
      <c r="U27" s="203"/>
      <c r="V27" s="203"/>
      <c r="W27" s="203"/>
      <c r="X27" s="203"/>
      <c r="Y27" s="203" t="s">
        <v>149</v>
      </c>
      <c r="Z27" s="203" t="s">
        <v>149</v>
      </c>
      <c r="AA27" s="203" t="s">
        <v>149</v>
      </c>
      <c r="AB27" s="203" t="s">
        <v>149</v>
      </c>
      <c r="AC27" s="203" t="s">
        <v>149</v>
      </c>
      <c r="AD27" s="203" t="s">
        <v>149</v>
      </c>
      <c r="AE27" s="203" t="s">
        <v>149</v>
      </c>
      <c r="AF27" s="203" t="s">
        <v>149</v>
      </c>
      <c r="AG27" s="203" t="s">
        <v>149</v>
      </c>
      <c r="AH27" s="203" t="s">
        <v>149</v>
      </c>
      <c r="AI27" s="203" t="s">
        <v>149</v>
      </c>
      <c r="AJ27" s="203" t="s">
        <v>149</v>
      </c>
      <c r="AK27" s="203" t="s">
        <v>149</v>
      </c>
      <c r="AL27" s="203" t="s">
        <v>149</v>
      </c>
      <c r="AM27" s="203" t="s">
        <v>149</v>
      </c>
      <c r="AN27" s="203" t="s">
        <v>149</v>
      </c>
      <c r="AO27" s="203" t="s">
        <v>149</v>
      </c>
      <c r="AP27" s="203"/>
      <c r="AQ27" s="203"/>
      <c r="AR27" s="203" t="s">
        <v>149</v>
      </c>
      <c r="AS27" s="203" t="s">
        <v>149</v>
      </c>
      <c r="AT27" s="203"/>
      <c r="AU27" s="203"/>
      <c r="AV27" s="203" t="s">
        <v>149</v>
      </c>
      <c r="AW27" s="203" t="s">
        <v>149</v>
      </c>
      <c r="AX27" s="203"/>
      <c r="AY27" s="203"/>
      <c r="AZ27" s="203" t="s">
        <v>149</v>
      </c>
      <c r="BA27" s="252"/>
      <c r="BB27" s="252"/>
      <c r="BC27" s="252"/>
      <c r="BD27" s="252"/>
      <c r="BE27" s="252"/>
      <c r="BF27" s="252"/>
      <c r="BG27" s="252"/>
      <c r="BH27" s="252"/>
      <c r="BI27" s="252"/>
      <c r="BJ27" s="252"/>
      <c r="BK27" s="252"/>
    </row>
    <row r="28" spans="1:63" ht="409.5">
      <c r="A28" s="124">
        <v>45114</v>
      </c>
      <c r="B28" s="125" t="s">
        <v>34</v>
      </c>
      <c r="C28" s="125" t="s">
        <v>189</v>
      </c>
      <c r="D28" s="125" t="s">
        <v>235</v>
      </c>
      <c r="E28" s="125" t="s">
        <v>236</v>
      </c>
      <c r="F28" s="126" t="s">
        <v>237</v>
      </c>
      <c r="G28" s="209" t="s">
        <v>238</v>
      </c>
      <c r="H28" s="212"/>
      <c r="I28" s="210" t="s">
        <v>149</v>
      </c>
      <c r="J28" s="203" t="s">
        <v>149</v>
      </c>
      <c r="K28" s="203"/>
      <c r="L28" s="203" t="s">
        <v>149</v>
      </c>
      <c r="M28" s="203" t="s">
        <v>149</v>
      </c>
      <c r="N28" s="203"/>
      <c r="O28" s="203"/>
      <c r="P28" s="203"/>
      <c r="Q28" s="203"/>
      <c r="R28" s="203"/>
      <c r="S28" s="204"/>
      <c r="T28" s="203"/>
      <c r="U28" s="203"/>
      <c r="V28" s="203"/>
      <c r="W28" s="203"/>
      <c r="X28" s="203"/>
      <c r="Y28" s="203" t="s">
        <v>149</v>
      </c>
      <c r="Z28" s="203" t="s">
        <v>149</v>
      </c>
      <c r="AA28" s="203" t="s">
        <v>149</v>
      </c>
      <c r="AB28" s="203" t="s">
        <v>149</v>
      </c>
      <c r="AC28" s="203" t="s">
        <v>149</v>
      </c>
      <c r="AD28" s="203" t="s">
        <v>149</v>
      </c>
      <c r="AE28" s="203" t="s">
        <v>149</v>
      </c>
      <c r="AF28" s="203" t="s">
        <v>149</v>
      </c>
      <c r="AG28" s="203" t="s">
        <v>149</v>
      </c>
      <c r="AH28" s="203" t="s">
        <v>149</v>
      </c>
      <c r="AI28" s="203" t="s">
        <v>149</v>
      </c>
      <c r="AJ28" s="203" t="s">
        <v>149</v>
      </c>
      <c r="AK28" s="203" t="s">
        <v>149</v>
      </c>
      <c r="AL28" s="203" t="s">
        <v>149</v>
      </c>
      <c r="AM28" s="203" t="s">
        <v>149</v>
      </c>
      <c r="AN28" s="203" t="s">
        <v>149</v>
      </c>
      <c r="AO28" s="203" t="s">
        <v>149</v>
      </c>
      <c r="AP28" s="203"/>
      <c r="AQ28" s="203"/>
      <c r="AR28" s="203" t="s">
        <v>149</v>
      </c>
      <c r="AS28" s="203" t="s">
        <v>149</v>
      </c>
      <c r="AT28" s="203"/>
      <c r="AU28" s="203"/>
      <c r="AV28" s="203" t="s">
        <v>149</v>
      </c>
      <c r="AW28" s="203" t="s">
        <v>149</v>
      </c>
      <c r="AX28" s="203"/>
      <c r="AY28" s="203"/>
      <c r="AZ28" s="203" t="s">
        <v>149</v>
      </c>
      <c r="BA28" s="252"/>
      <c r="BB28" s="252"/>
      <c r="BC28" s="252"/>
      <c r="BD28" s="252"/>
      <c r="BE28" s="252"/>
      <c r="BF28" s="252"/>
      <c r="BG28" s="252"/>
      <c r="BH28" s="252"/>
      <c r="BI28" s="252"/>
      <c r="BJ28" s="252"/>
      <c r="BK28" s="252"/>
    </row>
    <row r="29" spans="1:63" ht="120">
      <c r="A29" s="124">
        <v>45121</v>
      </c>
      <c r="B29" s="125" t="s">
        <v>34</v>
      </c>
      <c r="C29" s="125" t="s">
        <v>189</v>
      </c>
      <c r="D29" s="125" t="s">
        <v>239</v>
      </c>
      <c r="E29" s="125" t="s">
        <v>240</v>
      </c>
      <c r="F29" s="126" t="s">
        <v>241</v>
      </c>
      <c r="G29" s="209" t="s">
        <v>238</v>
      </c>
      <c r="H29" s="212"/>
      <c r="I29" s="210" t="s">
        <v>149</v>
      </c>
      <c r="J29" s="203" t="s">
        <v>149</v>
      </c>
      <c r="K29" s="203"/>
      <c r="L29" s="203" t="s">
        <v>149</v>
      </c>
      <c r="M29" s="203" t="s">
        <v>149</v>
      </c>
      <c r="N29" s="203"/>
      <c r="O29" s="203"/>
      <c r="P29" s="203"/>
      <c r="Q29" s="203"/>
      <c r="R29" s="203"/>
      <c r="S29" s="204"/>
      <c r="T29" s="203"/>
      <c r="U29" s="203"/>
      <c r="V29" s="203"/>
      <c r="W29" s="203"/>
      <c r="X29" s="203"/>
      <c r="Y29" s="203" t="s">
        <v>149</v>
      </c>
      <c r="Z29" s="203" t="s">
        <v>149</v>
      </c>
      <c r="AA29" s="203" t="s">
        <v>149</v>
      </c>
      <c r="AB29" s="203" t="s">
        <v>149</v>
      </c>
      <c r="AC29" s="203" t="s">
        <v>149</v>
      </c>
      <c r="AD29" s="203" t="s">
        <v>149</v>
      </c>
      <c r="AE29" s="203" t="s">
        <v>149</v>
      </c>
      <c r="AF29" s="203" t="s">
        <v>149</v>
      </c>
      <c r="AG29" s="203" t="s">
        <v>149</v>
      </c>
      <c r="AH29" s="203" t="s">
        <v>149</v>
      </c>
      <c r="AI29" s="203" t="s">
        <v>149</v>
      </c>
      <c r="AJ29" s="203" t="s">
        <v>149</v>
      </c>
      <c r="AK29" s="203" t="s">
        <v>149</v>
      </c>
      <c r="AL29" s="203" t="s">
        <v>149</v>
      </c>
      <c r="AM29" s="203" t="s">
        <v>149</v>
      </c>
      <c r="AN29" s="203" t="s">
        <v>149</v>
      </c>
      <c r="AO29" s="203" t="s">
        <v>149</v>
      </c>
      <c r="AP29" s="203"/>
      <c r="AQ29" s="203"/>
      <c r="AR29" s="203" t="s">
        <v>149</v>
      </c>
      <c r="AS29" s="203" t="s">
        <v>149</v>
      </c>
      <c r="AT29" s="203"/>
      <c r="AU29" s="203"/>
      <c r="AV29" s="203" t="s">
        <v>149</v>
      </c>
      <c r="AW29" s="203" t="s">
        <v>149</v>
      </c>
      <c r="AX29" s="203"/>
      <c r="AY29" s="203"/>
      <c r="AZ29" s="203" t="s">
        <v>149</v>
      </c>
      <c r="BA29" s="252"/>
      <c r="BB29" s="252"/>
      <c r="BC29" s="252"/>
      <c r="BD29" s="252"/>
      <c r="BE29" s="252"/>
      <c r="BF29" s="252"/>
      <c r="BG29" s="252"/>
      <c r="BH29" s="252"/>
      <c r="BI29" s="252"/>
      <c r="BJ29" s="252"/>
      <c r="BK29" s="252"/>
    </row>
    <row r="30" spans="1:63" ht="240">
      <c r="A30" s="124">
        <v>45128</v>
      </c>
      <c r="B30" s="125" t="s">
        <v>34</v>
      </c>
      <c r="C30" s="125" t="s">
        <v>189</v>
      </c>
      <c r="D30" s="125" t="s">
        <v>242</v>
      </c>
      <c r="E30" s="125" t="s">
        <v>243</v>
      </c>
      <c r="F30" s="126" t="s">
        <v>244</v>
      </c>
      <c r="G30" s="209" t="s">
        <v>245</v>
      </c>
      <c r="H30" s="212"/>
      <c r="I30" s="210" t="s">
        <v>149</v>
      </c>
      <c r="J30" s="203" t="s">
        <v>149</v>
      </c>
      <c r="K30" s="203"/>
      <c r="L30" s="203" t="s">
        <v>149</v>
      </c>
      <c r="M30" s="203" t="s">
        <v>149</v>
      </c>
      <c r="N30" s="203"/>
      <c r="O30" s="203"/>
      <c r="P30" s="203"/>
      <c r="Q30" s="203"/>
      <c r="R30" s="203"/>
      <c r="S30" s="204"/>
      <c r="T30" s="203"/>
      <c r="U30" s="203"/>
      <c r="V30" s="203"/>
      <c r="W30" s="203"/>
      <c r="X30" s="203"/>
      <c r="Y30" s="203" t="s">
        <v>149</v>
      </c>
      <c r="Z30" s="203" t="s">
        <v>149</v>
      </c>
      <c r="AA30" s="203" t="s">
        <v>149</v>
      </c>
      <c r="AB30" s="203" t="s">
        <v>149</v>
      </c>
      <c r="AC30" s="203" t="s">
        <v>149</v>
      </c>
      <c r="AD30" s="203" t="s">
        <v>149</v>
      </c>
      <c r="AE30" s="203" t="s">
        <v>149</v>
      </c>
      <c r="AF30" s="203" t="s">
        <v>149</v>
      </c>
      <c r="AG30" s="203" t="s">
        <v>149</v>
      </c>
      <c r="AH30" s="203" t="s">
        <v>149</v>
      </c>
      <c r="AI30" s="203" t="s">
        <v>149</v>
      </c>
      <c r="AJ30" s="203" t="s">
        <v>149</v>
      </c>
      <c r="AK30" s="203" t="s">
        <v>149</v>
      </c>
      <c r="AL30" s="203" t="s">
        <v>149</v>
      </c>
      <c r="AM30" s="203" t="s">
        <v>149</v>
      </c>
      <c r="AN30" s="203" t="s">
        <v>149</v>
      </c>
      <c r="AO30" s="203" t="s">
        <v>149</v>
      </c>
      <c r="AP30" s="203" t="s">
        <v>149</v>
      </c>
      <c r="AQ30" s="203" t="s">
        <v>149</v>
      </c>
      <c r="AR30" s="203" t="s">
        <v>149</v>
      </c>
      <c r="AS30" s="203" t="s">
        <v>149</v>
      </c>
      <c r="AT30" s="203"/>
      <c r="AU30" s="203"/>
      <c r="AV30" s="203" t="s">
        <v>149</v>
      </c>
      <c r="AW30" s="203" t="s">
        <v>149</v>
      </c>
      <c r="AX30" s="203"/>
      <c r="AY30" s="203"/>
      <c r="AZ30" s="203" t="s">
        <v>149</v>
      </c>
      <c r="BA30" s="252"/>
      <c r="BB30" s="252"/>
      <c r="BC30" s="252"/>
      <c r="BD30" s="252"/>
      <c r="BE30" s="252"/>
      <c r="BF30" s="252"/>
      <c r="BG30" s="252"/>
      <c r="BH30" s="252"/>
      <c r="BI30" s="252"/>
      <c r="BJ30" s="252"/>
      <c r="BK30" s="252"/>
    </row>
    <row r="31" spans="1:63" ht="120">
      <c r="A31" s="124">
        <v>45135</v>
      </c>
      <c r="B31" s="125" t="s">
        <v>34</v>
      </c>
      <c r="C31" s="125" t="s">
        <v>189</v>
      </c>
      <c r="D31" s="125" t="s">
        <v>246</v>
      </c>
      <c r="E31" s="125" t="s">
        <v>247</v>
      </c>
      <c r="F31" s="126" t="s">
        <v>248</v>
      </c>
      <c r="G31" s="209" t="s">
        <v>245</v>
      </c>
      <c r="H31" s="212"/>
      <c r="I31" s="210" t="s">
        <v>149</v>
      </c>
      <c r="J31" s="203" t="s">
        <v>149</v>
      </c>
      <c r="K31" s="203"/>
      <c r="L31" s="203" t="s">
        <v>149</v>
      </c>
      <c r="M31" s="203" t="s">
        <v>149</v>
      </c>
      <c r="N31" s="203"/>
      <c r="O31" s="203"/>
      <c r="P31" s="203"/>
      <c r="Q31" s="203"/>
      <c r="R31" s="203"/>
      <c r="S31" s="204"/>
      <c r="T31" s="203"/>
      <c r="U31" s="203"/>
      <c r="V31" s="203"/>
      <c r="W31" s="203"/>
      <c r="X31" s="203"/>
      <c r="Y31" s="203" t="s">
        <v>149</v>
      </c>
      <c r="Z31" s="203" t="s">
        <v>149</v>
      </c>
      <c r="AA31" s="203" t="s">
        <v>149</v>
      </c>
      <c r="AB31" s="203" t="s">
        <v>149</v>
      </c>
      <c r="AC31" s="203" t="s">
        <v>149</v>
      </c>
      <c r="AD31" s="203" t="s">
        <v>149</v>
      </c>
      <c r="AE31" s="203" t="s">
        <v>149</v>
      </c>
      <c r="AF31" s="203" t="s">
        <v>149</v>
      </c>
      <c r="AG31" s="203" t="s">
        <v>149</v>
      </c>
      <c r="AH31" s="203" t="s">
        <v>149</v>
      </c>
      <c r="AI31" s="203" t="s">
        <v>149</v>
      </c>
      <c r="AJ31" s="203" t="s">
        <v>149</v>
      </c>
      <c r="AK31" s="203" t="s">
        <v>149</v>
      </c>
      <c r="AL31" s="203" t="s">
        <v>149</v>
      </c>
      <c r="AM31" s="203" t="s">
        <v>149</v>
      </c>
      <c r="AN31" s="203" t="s">
        <v>149</v>
      </c>
      <c r="AO31" s="203" t="s">
        <v>149</v>
      </c>
      <c r="AP31" s="203" t="s">
        <v>149</v>
      </c>
      <c r="AQ31" s="203" t="s">
        <v>149</v>
      </c>
      <c r="AR31" s="203" t="s">
        <v>149</v>
      </c>
      <c r="AS31" s="203" t="s">
        <v>149</v>
      </c>
      <c r="AT31" s="203"/>
      <c r="AU31" s="203"/>
      <c r="AV31" s="203" t="s">
        <v>149</v>
      </c>
      <c r="AW31" s="203" t="s">
        <v>149</v>
      </c>
      <c r="AX31" s="203"/>
      <c r="AY31" s="203"/>
      <c r="AZ31" s="203" t="s">
        <v>149</v>
      </c>
      <c r="BA31" s="252"/>
      <c r="BB31" s="252"/>
      <c r="BC31" s="252"/>
      <c r="BD31" s="252"/>
      <c r="BE31" s="252"/>
      <c r="BF31" s="252"/>
      <c r="BG31" s="252"/>
      <c r="BH31" s="252"/>
      <c r="BI31" s="252"/>
      <c r="BJ31" s="252"/>
      <c r="BK31" s="252"/>
    </row>
    <row r="32" spans="1:63" ht="409.5">
      <c r="A32" s="124">
        <v>45163</v>
      </c>
      <c r="B32" s="125" t="s">
        <v>34</v>
      </c>
      <c r="C32" s="125" t="s">
        <v>189</v>
      </c>
      <c r="D32" s="125" t="s">
        <v>249</v>
      </c>
      <c r="E32" s="125" t="s">
        <v>250</v>
      </c>
      <c r="F32" s="126" t="s">
        <v>251</v>
      </c>
      <c r="G32" s="209" t="s">
        <v>252</v>
      </c>
      <c r="H32" s="212"/>
      <c r="I32" s="210" t="s">
        <v>149</v>
      </c>
      <c r="J32" s="203" t="s">
        <v>149</v>
      </c>
      <c r="K32" s="203"/>
      <c r="L32" s="203" t="s">
        <v>149</v>
      </c>
      <c r="M32" s="203" t="s">
        <v>149</v>
      </c>
      <c r="N32" s="203"/>
      <c r="O32" s="203"/>
      <c r="P32" s="203"/>
      <c r="Q32" s="203"/>
      <c r="R32" s="203"/>
      <c r="S32" s="204"/>
      <c r="T32" s="203"/>
      <c r="U32" s="203"/>
      <c r="V32" s="203"/>
      <c r="W32" s="203"/>
      <c r="X32" s="203"/>
      <c r="Y32" s="203" t="s">
        <v>149</v>
      </c>
      <c r="Z32" s="203" t="s">
        <v>149</v>
      </c>
      <c r="AA32" s="203" t="s">
        <v>149</v>
      </c>
      <c r="AB32" s="203" t="s">
        <v>149</v>
      </c>
      <c r="AC32" s="203" t="s">
        <v>149</v>
      </c>
      <c r="AD32" s="203" t="s">
        <v>149</v>
      </c>
      <c r="AE32" s="203" t="s">
        <v>149</v>
      </c>
      <c r="AF32" s="203" t="s">
        <v>149</v>
      </c>
      <c r="AG32" s="203" t="s">
        <v>149</v>
      </c>
      <c r="AH32" s="203" t="s">
        <v>149</v>
      </c>
      <c r="AI32" s="203" t="s">
        <v>149</v>
      </c>
      <c r="AJ32" s="203" t="s">
        <v>149</v>
      </c>
      <c r="AK32" s="203" t="s">
        <v>149</v>
      </c>
      <c r="AL32" s="203" t="s">
        <v>149</v>
      </c>
      <c r="AM32" s="203" t="s">
        <v>149</v>
      </c>
      <c r="AN32" s="203" t="s">
        <v>149</v>
      </c>
      <c r="AO32" s="203" t="s">
        <v>149</v>
      </c>
      <c r="AP32" s="203" t="s">
        <v>149</v>
      </c>
      <c r="AQ32" s="203" t="s">
        <v>149</v>
      </c>
      <c r="AR32" s="203" t="s">
        <v>149</v>
      </c>
      <c r="AS32" s="203" t="s">
        <v>149</v>
      </c>
      <c r="AT32" s="203"/>
      <c r="AU32" s="203"/>
      <c r="AV32" s="203" t="s">
        <v>149</v>
      </c>
      <c r="AW32" s="203" t="s">
        <v>149</v>
      </c>
      <c r="AX32" s="203"/>
      <c r="AY32" s="203"/>
      <c r="AZ32" s="203" t="s">
        <v>149</v>
      </c>
      <c r="BA32" s="252"/>
      <c r="BB32" s="252"/>
      <c r="BC32" s="252"/>
      <c r="BD32" s="252"/>
      <c r="BE32" s="252"/>
      <c r="BF32" s="252"/>
      <c r="BG32" s="252"/>
      <c r="BH32" s="252"/>
      <c r="BI32" s="252"/>
      <c r="BJ32" s="252"/>
      <c r="BK32" s="252"/>
    </row>
    <row r="33" spans="1:63" ht="409.5">
      <c r="A33" s="124">
        <v>45180</v>
      </c>
      <c r="B33" s="125" t="s">
        <v>34</v>
      </c>
      <c r="C33" s="125" t="s">
        <v>253</v>
      </c>
      <c r="D33" s="125" t="s">
        <v>254</v>
      </c>
      <c r="E33" s="125" t="s">
        <v>255</v>
      </c>
      <c r="F33" s="126" t="s">
        <v>256</v>
      </c>
      <c r="G33" s="209" t="s">
        <v>257</v>
      </c>
      <c r="H33" s="212"/>
      <c r="I33" s="210" t="s">
        <v>149</v>
      </c>
      <c r="J33" s="203" t="s">
        <v>149</v>
      </c>
      <c r="K33" s="203"/>
      <c r="L33" s="203" t="s">
        <v>149</v>
      </c>
      <c r="M33" s="203" t="s">
        <v>149</v>
      </c>
      <c r="N33" s="203" t="s">
        <v>149</v>
      </c>
      <c r="O33" s="203" t="s">
        <v>149</v>
      </c>
      <c r="P33" s="203" t="s">
        <v>149</v>
      </c>
      <c r="Q33" s="203" t="s">
        <v>149</v>
      </c>
      <c r="R33" s="203" t="s">
        <v>149</v>
      </c>
      <c r="S33" s="203" t="s">
        <v>149</v>
      </c>
      <c r="T33" s="203" t="s">
        <v>149</v>
      </c>
      <c r="U33" s="203" t="s">
        <v>149</v>
      </c>
      <c r="V33" s="203" t="s">
        <v>149</v>
      </c>
      <c r="W33" s="203"/>
      <c r="X33" s="203"/>
      <c r="Y33" s="203" t="s">
        <v>149</v>
      </c>
      <c r="Z33" s="203" t="s">
        <v>149</v>
      </c>
      <c r="AA33" s="203" t="s">
        <v>149</v>
      </c>
      <c r="AB33" s="203" t="s">
        <v>149</v>
      </c>
      <c r="AC33" s="203" t="s">
        <v>149</v>
      </c>
      <c r="AD33" s="203" t="s">
        <v>149</v>
      </c>
      <c r="AE33" s="203" t="s">
        <v>149</v>
      </c>
      <c r="AF33" s="203" t="s">
        <v>149</v>
      </c>
      <c r="AG33" s="203" t="s">
        <v>149</v>
      </c>
      <c r="AH33" s="203" t="s">
        <v>149</v>
      </c>
      <c r="AI33" s="203" t="s">
        <v>149</v>
      </c>
      <c r="AJ33" s="203" t="s">
        <v>149</v>
      </c>
      <c r="AK33" s="203" t="s">
        <v>149</v>
      </c>
      <c r="AL33" s="203" t="s">
        <v>149</v>
      </c>
      <c r="AM33" s="203" t="s">
        <v>149</v>
      </c>
      <c r="AN33" s="203" t="s">
        <v>149</v>
      </c>
      <c r="AO33" s="203" t="s">
        <v>149</v>
      </c>
      <c r="AP33" s="203" t="s">
        <v>149</v>
      </c>
      <c r="AQ33" s="203" t="s">
        <v>149</v>
      </c>
      <c r="AR33" s="203" t="s">
        <v>149</v>
      </c>
      <c r="AS33" s="203" t="s">
        <v>149</v>
      </c>
      <c r="AT33" s="203"/>
      <c r="AU33" s="203"/>
      <c r="AV33" s="203" t="s">
        <v>149</v>
      </c>
      <c r="AW33" s="203" t="s">
        <v>149</v>
      </c>
      <c r="AX33" s="203" t="s">
        <v>149</v>
      </c>
      <c r="AY33" s="203"/>
      <c r="AZ33" s="203" t="s">
        <v>149</v>
      </c>
      <c r="BA33" s="252"/>
      <c r="BB33" s="203" t="s">
        <v>149</v>
      </c>
      <c r="BC33" s="252"/>
      <c r="BD33" s="252"/>
      <c r="BE33" s="252"/>
      <c r="BF33" s="252"/>
      <c r="BG33" s="252"/>
      <c r="BH33" s="252"/>
      <c r="BI33" s="252"/>
      <c r="BJ33" s="252"/>
      <c r="BK33" s="252"/>
    </row>
    <row r="34" spans="1:63" ht="409.5">
      <c r="A34" s="124">
        <v>45194</v>
      </c>
      <c r="B34" s="125" t="s">
        <v>34</v>
      </c>
      <c r="C34" s="125" t="s">
        <v>258</v>
      </c>
      <c r="D34" s="125" t="s">
        <v>259</v>
      </c>
      <c r="E34" s="125" t="s">
        <v>260</v>
      </c>
      <c r="F34" s="126" t="s">
        <v>261</v>
      </c>
      <c r="G34" s="209" t="s">
        <v>257</v>
      </c>
      <c r="H34" s="212"/>
      <c r="I34" s="210" t="s">
        <v>149</v>
      </c>
      <c r="J34" s="203" t="s">
        <v>149</v>
      </c>
      <c r="K34" s="203"/>
      <c r="L34" s="203" t="s">
        <v>149</v>
      </c>
      <c r="M34" s="203" t="s">
        <v>149</v>
      </c>
      <c r="N34" s="203" t="s">
        <v>149</v>
      </c>
      <c r="O34" s="203" t="s">
        <v>149</v>
      </c>
      <c r="P34" s="203" t="s">
        <v>149</v>
      </c>
      <c r="Q34" s="203" t="s">
        <v>149</v>
      </c>
      <c r="R34" s="203" t="s">
        <v>149</v>
      </c>
      <c r="S34" s="203" t="s">
        <v>149</v>
      </c>
      <c r="T34" s="203" t="s">
        <v>149</v>
      </c>
      <c r="U34" s="203" t="s">
        <v>149</v>
      </c>
      <c r="V34" s="203" t="s">
        <v>149</v>
      </c>
      <c r="W34" s="203"/>
      <c r="X34" s="203"/>
      <c r="Y34" s="203" t="s">
        <v>149</v>
      </c>
      <c r="Z34" s="203" t="s">
        <v>149</v>
      </c>
      <c r="AA34" s="203" t="s">
        <v>149</v>
      </c>
      <c r="AB34" s="203" t="s">
        <v>149</v>
      </c>
      <c r="AC34" s="203" t="s">
        <v>149</v>
      </c>
      <c r="AD34" s="203" t="s">
        <v>149</v>
      </c>
      <c r="AE34" s="203" t="s">
        <v>149</v>
      </c>
      <c r="AF34" s="203" t="s">
        <v>149</v>
      </c>
      <c r="AG34" s="203" t="s">
        <v>149</v>
      </c>
      <c r="AH34" s="203" t="s">
        <v>149</v>
      </c>
      <c r="AI34" s="203" t="s">
        <v>149</v>
      </c>
      <c r="AJ34" s="203" t="s">
        <v>149</v>
      </c>
      <c r="AK34" s="203" t="s">
        <v>149</v>
      </c>
      <c r="AL34" s="203" t="s">
        <v>149</v>
      </c>
      <c r="AM34" s="203" t="s">
        <v>149</v>
      </c>
      <c r="AN34" s="203" t="s">
        <v>149</v>
      </c>
      <c r="AO34" s="203" t="s">
        <v>149</v>
      </c>
      <c r="AP34" s="203" t="s">
        <v>149</v>
      </c>
      <c r="AQ34" s="203" t="s">
        <v>149</v>
      </c>
      <c r="AR34" s="203" t="s">
        <v>149</v>
      </c>
      <c r="AS34" s="203" t="s">
        <v>149</v>
      </c>
      <c r="AT34" s="203"/>
      <c r="AU34" s="203"/>
      <c r="AV34" s="203" t="s">
        <v>149</v>
      </c>
      <c r="AW34" s="203" t="s">
        <v>149</v>
      </c>
      <c r="AX34" s="203" t="s">
        <v>149</v>
      </c>
      <c r="AY34" s="203"/>
      <c r="AZ34" s="203" t="s">
        <v>149</v>
      </c>
      <c r="BA34" s="252"/>
      <c r="BB34" s="203" t="s">
        <v>149</v>
      </c>
      <c r="BC34" s="252"/>
      <c r="BD34" s="252"/>
      <c r="BE34" s="252"/>
      <c r="BF34" s="252"/>
      <c r="BG34" s="252"/>
      <c r="BH34" s="252"/>
      <c r="BI34" s="252"/>
      <c r="BJ34" s="252"/>
      <c r="BK34" s="252"/>
    </row>
    <row r="35" spans="1:63" ht="150">
      <c r="A35" s="124">
        <v>45194</v>
      </c>
      <c r="B35" s="125" t="s">
        <v>34</v>
      </c>
      <c r="C35" s="125" t="s">
        <v>262</v>
      </c>
      <c r="D35" s="125" t="s">
        <v>263</v>
      </c>
      <c r="E35" s="125" t="s">
        <v>264</v>
      </c>
      <c r="F35" s="126" t="s">
        <v>265</v>
      </c>
      <c r="G35" s="209" t="s">
        <v>266</v>
      </c>
      <c r="H35" s="212"/>
      <c r="I35" s="210" t="s">
        <v>149</v>
      </c>
      <c r="J35" s="203" t="s">
        <v>149</v>
      </c>
      <c r="K35" s="203"/>
      <c r="L35" s="203" t="s">
        <v>149</v>
      </c>
      <c r="M35" s="203" t="s">
        <v>149</v>
      </c>
      <c r="N35" s="203"/>
      <c r="O35" s="203"/>
      <c r="P35" s="203"/>
      <c r="Q35" s="203"/>
      <c r="R35" s="203"/>
      <c r="S35" s="203"/>
      <c r="T35" s="203"/>
      <c r="U35" s="203"/>
      <c r="V35" s="203"/>
      <c r="W35" s="203"/>
      <c r="X35" s="203"/>
      <c r="Y35" s="203" t="s">
        <v>149</v>
      </c>
      <c r="Z35" s="203" t="s">
        <v>149</v>
      </c>
      <c r="AA35" s="203" t="s">
        <v>149</v>
      </c>
      <c r="AB35" s="203" t="s">
        <v>149</v>
      </c>
      <c r="AC35" s="203" t="s">
        <v>149</v>
      </c>
      <c r="AD35" s="203" t="s">
        <v>149</v>
      </c>
      <c r="AE35" s="203" t="s">
        <v>149</v>
      </c>
      <c r="AF35" s="203" t="s">
        <v>149</v>
      </c>
      <c r="AG35" s="203" t="s">
        <v>149</v>
      </c>
      <c r="AH35" s="203" t="s">
        <v>149</v>
      </c>
      <c r="AI35" s="203" t="s">
        <v>149</v>
      </c>
      <c r="AJ35" s="203" t="s">
        <v>149</v>
      </c>
      <c r="AK35" s="203" t="s">
        <v>149</v>
      </c>
      <c r="AL35" s="203" t="s">
        <v>149</v>
      </c>
      <c r="AM35" s="203" t="s">
        <v>149</v>
      </c>
      <c r="AN35" s="203" t="s">
        <v>149</v>
      </c>
      <c r="AO35" s="203" t="s">
        <v>149</v>
      </c>
      <c r="AP35" s="203" t="s">
        <v>149</v>
      </c>
      <c r="AQ35" s="203" t="s">
        <v>149</v>
      </c>
      <c r="AR35" s="203" t="s">
        <v>149</v>
      </c>
      <c r="AS35" s="203" t="s">
        <v>149</v>
      </c>
      <c r="AT35" s="203"/>
      <c r="AU35" s="203"/>
      <c r="AV35" s="203" t="s">
        <v>149</v>
      </c>
      <c r="AW35" s="203" t="s">
        <v>149</v>
      </c>
      <c r="AX35" s="203"/>
      <c r="AY35" s="203"/>
      <c r="AZ35" s="203" t="s">
        <v>149</v>
      </c>
      <c r="BA35" s="252"/>
      <c r="BB35" s="203"/>
      <c r="BC35" s="252"/>
      <c r="BD35" s="252"/>
      <c r="BE35" s="252"/>
      <c r="BF35" s="252"/>
      <c r="BG35" s="252"/>
      <c r="BH35" s="252"/>
      <c r="BI35" s="252"/>
      <c r="BJ35" s="252"/>
      <c r="BK35" s="252"/>
    </row>
    <row r="36" spans="1:63" ht="135">
      <c r="A36" s="124">
        <v>45201</v>
      </c>
      <c r="B36" s="125" t="s">
        <v>34</v>
      </c>
      <c r="C36" s="125" t="s">
        <v>267</v>
      </c>
      <c r="D36" s="125" t="s">
        <v>268</v>
      </c>
      <c r="E36" s="125" t="s">
        <v>269</v>
      </c>
      <c r="F36" s="126" t="s">
        <v>270</v>
      </c>
      <c r="G36" s="209" t="s">
        <v>266</v>
      </c>
      <c r="H36" s="212"/>
      <c r="I36" s="210" t="s">
        <v>149</v>
      </c>
      <c r="J36" s="203" t="s">
        <v>149</v>
      </c>
      <c r="K36" s="203"/>
      <c r="L36" s="203" t="s">
        <v>149</v>
      </c>
      <c r="M36" s="203" t="s">
        <v>149</v>
      </c>
      <c r="N36" s="203"/>
      <c r="O36" s="203"/>
      <c r="P36" s="203"/>
      <c r="Q36" s="203"/>
      <c r="R36" s="203"/>
      <c r="S36" s="203"/>
      <c r="T36" s="203"/>
      <c r="U36" s="203"/>
      <c r="V36" s="203"/>
      <c r="W36" s="203"/>
      <c r="X36" s="203"/>
      <c r="Y36" s="203" t="s">
        <v>149</v>
      </c>
      <c r="Z36" s="203" t="s">
        <v>149</v>
      </c>
      <c r="AA36" s="203" t="s">
        <v>149</v>
      </c>
      <c r="AB36" s="203" t="s">
        <v>149</v>
      </c>
      <c r="AC36" s="203" t="s">
        <v>149</v>
      </c>
      <c r="AD36" s="203" t="s">
        <v>149</v>
      </c>
      <c r="AE36" s="203" t="s">
        <v>149</v>
      </c>
      <c r="AF36" s="203" t="s">
        <v>149</v>
      </c>
      <c r="AG36" s="203" t="s">
        <v>149</v>
      </c>
      <c r="AH36" s="203" t="s">
        <v>149</v>
      </c>
      <c r="AI36" s="203" t="s">
        <v>149</v>
      </c>
      <c r="AJ36" s="203" t="s">
        <v>149</v>
      </c>
      <c r="AK36" s="203" t="s">
        <v>149</v>
      </c>
      <c r="AL36" s="203" t="s">
        <v>149</v>
      </c>
      <c r="AM36" s="203" t="s">
        <v>149</v>
      </c>
      <c r="AN36" s="203" t="s">
        <v>149</v>
      </c>
      <c r="AO36" s="203" t="s">
        <v>149</v>
      </c>
      <c r="AP36" s="203" t="s">
        <v>149</v>
      </c>
      <c r="AQ36" s="203" t="s">
        <v>149</v>
      </c>
      <c r="AR36" s="203" t="s">
        <v>149</v>
      </c>
      <c r="AS36" s="203" t="s">
        <v>149</v>
      </c>
      <c r="AT36" s="203"/>
      <c r="AU36" s="203"/>
      <c r="AV36" s="203" t="s">
        <v>149</v>
      </c>
      <c r="AW36" s="203" t="s">
        <v>149</v>
      </c>
      <c r="AX36" s="203"/>
      <c r="AY36" s="203"/>
      <c r="AZ36" s="203" t="s">
        <v>149</v>
      </c>
      <c r="BA36" s="252"/>
      <c r="BB36" s="203"/>
      <c r="BC36" s="252"/>
      <c r="BD36" s="252"/>
      <c r="BE36" s="252"/>
      <c r="BF36" s="252"/>
      <c r="BG36" s="252"/>
      <c r="BH36" s="252"/>
      <c r="BI36" s="252"/>
      <c r="BJ36" s="252"/>
      <c r="BK36" s="252"/>
    </row>
    <row r="37" spans="1:63" ht="409.5">
      <c r="A37" s="124">
        <v>45201</v>
      </c>
      <c r="B37" s="125" t="s">
        <v>34</v>
      </c>
      <c r="C37" s="125" t="s">
        <v>258</v>
      </c>
      <c r="D37" s="125" t="s">
        <v>271</v>
      </c>
      <c r="E37" s="125" t="s">
        <v>272</v>
      </c>
      <c r="F37" s="126" t="s">
        <v>273</v>
      </c>
      <c r="G37" s="209" t="s">
        <v>274</v>
      </c>
      <c r="H37" s="212"/>
      <c r="I37" s="210" t="s">
        <v>149</v>
      </c>
      <c r="J37" s="203" t="s">
        <v>149</v>
      </c>
      <c r="K37" s="203"/>
      <c r="L37" s="203" t="s">
        <v>149</v>
      </c>
      <c r="M37" s="203" t="s">
        <v>149</v>
      </c>
      <c r="N37" s="203" t="s">
        <v>149</v>
      </c>
      <c r="O37" s="203" t="s">
        <v>149</v>
      </c>
      <c r="P37" s="203" t="s">
        <v>149</v>
      </c>
      <c r="Q37" s="203" t="s">
        <v>149</v>
      </c>
      <c r="R37" s="203" t="s">
        <v>149</v>
      </c>
      <c r="S37" s="203" t="s">
        <v>149</v>
      </c>
      <c r="T37" s="203" t="s">
        <v>149</v>
      </c>
      <c r="U37" s="203" t="s">
        <v>149</v>
      </c>
      <c r="V37" s="203" t="s">
        <v>149</v>
      </c>
      <c r="W37" s="203"/>
      <c r="X37" s="203"/>
      <c r="Y37" s="203" t="s">
        <v>149</v>
      </c>
      <c r="Z37" s="203" t="s">
        <v>149</v>
      </c>
      <c r="AA37" s="203" t="s">
        <v>149</v>
      </c>
      <c r="AB37" s="203" t="s">
        <v>149</v>
      </c>
      <c r="AC37" s="203" t="s">
        <v>149</v>
      </c>
      <c r="AD37" s="203" t="s">
        <v>149</v>
      </c>
      <c r="AE37" s="203" t="s">
        <v>149</v>
      </c>
      <c r="AF37" s="203" t="s">
        <v>149</v>
      </c>
      <c r="AG37" s="203" t="s">
        <v>149</v>
      </c>
      <c r="AH37" s="203" t="s">
        <v>149</v>
      </c>
      <c r="AI37" s="203" t="s">
        <v>149</v>
      </c>
      <c r="AJ37" s="203" t="s">
        <v>149</v>
      </c>
      <c r="AK37" s="203" t="s">
        <v>149</v>
      </c>
      <c r="AL37" s="203" t="s">
        <v>149</v>
      </c>
      <c r="AM37" s="203" t="s">
        <v>149</v>
      </c>
      <c r="AN37" s="203" t="s">
        <v>149</v>
      </c>
      <c r="AO37" s="203" t="s">
        <v>149</v>
      </c>
      <c r="AP37" s="203" t="s">
        <v>149</v>
      </c>
      <c r="AQ37" s="203" t="s">
        <v>149</v>
      </c>
      <c r="AR37" s="203" t="s">
        <v>149</v>
      </c>
      <c r="AS37" s="203" t="s">
        <v>149</v>
      </c>
      <c r="AT37" s="203"/>
      <c r="AU37" s="203"/>
      <c r="AV37" s="203" t="s">
        <v>149</v>
      </c>
      <c r="AW37" s="203" t="s">
        <v>149</v>
      </c>
      <c r="AX37" s="203" t="s">
        <v>149</v>
      </c>
      <c r="AY37" s="203"/>
      <c r="AZ37" s="203" t="s">
        <v>149</v>
      </c>
      <c r="BA37" s="252"/>
      <c r="BB37" s="203" t="s">
        <v>149</v>
      </c>
      <c r="BC37" s="252"/>
      <c r="BD37" s="252"/>
      <c r="BE37" s="252"/>
      <c r="BF37" s="252"/>
      <c r="BG37" s="252"/>
      <c r="BH37" s="252"/>
      <c r="BI37" s="252"/>
      <c r="BJ37" s="252"/>
      <c r="BK37" s="252"/>
    </row>
    <row r="38" spans="1:63" ht="360">
      <c r="A38" s="124">
        <v>45212</v>
      </c>
      <c r="B38" s="125" t="s">
        <v>34</v>
      </c>
      <c r="C38" s="125" t="s">
        <v>258</v>
      </c>
      <c r="D38" s="125" t="s">
        <v>275</v>
      </c>
      <c r="E38" s="125" t="s">
        <v>276</v>
      </c>
      <c r="F38" s="126" t="s">
        <v>277</v>
      </c>
      <c r="G38" s="209" t="s">
        <v>278</v>
      </c>
      <c r="H38" s="212"/>
      <c r="I38" s="210" t="s">
        <v>149</v>
      </c>
      <c r="J38" s="203" t="s">
        <v>149</v>
      </c>
      <c r="K38" s="203"/>
      <c r="L38" s="203" t="s">
        <v>149</v>
      </c>
      <c r="M38" s="203" t="s">
        <v>149</v>
      </c>
      <c r="N38" s="203" t="s">
        <v>149</v>
      </c>
      <c r="O38" s="203" t="s">
        <v>149</v>
      </c>
      <c r="P38" s="203" t="s">
        <v>149</v>
      </c>
      <c r="Q38" s="203" t="s">
        <v>149</v>
      </c>
      <c r="R38" s="203" t="s">
        <v>149</v>
      </c>
      <c r="S38" s="203" t="s">
        <v>149</v>
      </c>
      <c r="T38" s="203" t="s">
        <v>149</v>
      </c>
      <c r="U38" s="203" t="s">
        <v>149</v>
      </c>
      <c r="V38" s="203" t="s">
        <v>149</v>
      </c>
      <c r="W38" s="203"/>
      <c r="X38" s="203"/>
      <c r="Y38" s="203" t="s">
        <v>149</v>
      </c>
      <c r="Z38" s="203" t="s">
        <v>149</v>
      </c>
      <c r="AA38" s="203" t="s">
        <v>149</v>
      </c>
      <c r="AB38" s="203" t="s">
        <v>149</v>
      </c>
      <c r="AC38" s="203" t="s">
        <v>149</v>
      </c>
      <c r="AD38" s="203" t="s">
        <v>149</v>
      </c>
      <c r="AE38" s="203" t="s">
        <v>149</v>
      </c>
      <c r="AF38" s="203" t="s">
        <v>149</v>
      </c>
      <c r="AG38" s="203" t="s">
        <v>149</v>
      </c>
      <c r="AH38" s="203" t="s">
        <v>149</v>
      </c>
      <c r="AI38" s="203" t="s">
        <v>149</v>
      </c>
      <c r="AJ38" s="203" t="s">
        <v>149</v>
      </c>
      <c r="AK38" s="203" t="s">
        <v>149</v>
      </c>
      <c r="AL38" s="203" t="s">
        <v>149</v>
      </c>
      <c r="AM38" s="203" t="s">
        <v>149</v>
      </c>
      <c r="AN38" s="203" t="s">
        <v>149</v>
      </c>
      <c r="AO38" s="203" t="s">
        <v>149</v>
      </c>
      <c r="AP38" s="203" t="s">
        <v>149</v>
      </c>
      <c r="AQ38" s="203" t="s">
        <v>149</v>
      </c>
      <c r="AR38" s="203" t="s">
        <v>149</v>
      </c>
      <c r="AS38" s="203" t="s">
        <v>149</v>
      </c>
      <c r="AT38" s="203"/>
      <c r="AU38" s="203"/>
      <c r="AV38" s="203" t="s">
        <v>149</v>
      </c>
      <c r="AW38" s="203" t="s">
        <v>149</v>
      </c>
      <c r="AX38" s="203" t="s">
        <v>149</v>
      </c>
      <c r="AY38" s="203"/>
      <c r="AZ38" s="203" t="s">
        <v>149</v>
      </c>
      <c r="BA38" s="252"/>
      <c r="BB38" s="203" t="s">
        <v>149</v>
      </c>
      <c r="BC38" s="252"/>
      <c r="BD38" s="252"/>
      <c r="BE38" s="252"/>
      <c r="BF38" s="252"/>
      <c r="BG38" s="252"/>
      <c r="BH38" s="252"/>
      <c r="BI38" s="252"/>
      <c r="BJ38" s="252"/>
      <c r="BK38" s="252"/>
    </row>
    <row r="39" spans="1:63" ht="409.5">
      <c r="A39" s="124">
        <v>45219</v>
      </c>
      <c r="B39" s="125" t="s">
        <v>34</v>
      </c>
      <c r="C39" s="125" t="s">
        <v>279</v>
      </c>
      <c r="D39" s="125" t="s">
        <v>280</v>
      </c>
      <c r="E39" s="125" t="s">
        <v>281</v>
      </c>
      <c r="F39" s="126" t="s">
        <v>282</v>
      </c>
      <c r="G39" s="209" t="s">
        <v>283</v>
      </c>
      <c r="H39" s="212"/>
      <c r="I39" s="210" t="s">
        <v>149</v>
      </c>
      <c r="J39" s="203" t="s">
        <v>149</v>
      </c>
      <c r="K39" s="203"/>
      <c r="L39" s="203" t="s">
        <v>149</v>
      </c>
      <c r="M39" s="203" t="s">
        <v>149</v>
      </c>
      <c r="N39" s="203" t="s">
        <v>149</v>
      </c>
      <c r="O39" s="203" t="s">
        <v>149</v>
      </c>
      <c r="P39" s="203" t="s">
        <v>149</v>
      </c>
      <c r="Q39" s="203" t="s">
        <v>149</v>
      </c>
      <c r="R39" s="203" t="s">
        <v>149</v>
      </c>
      <c r="S39" s="203" t="s">
        <v>149</v>
      </c>
      <c r="T39" s="203" t="s">
        <v>149</v>
      </c>
      <c r="U39" s="203" t="s">
        <v>149</v>
      </c>
      <c r="V39" s="203" t="s">
        <v>149</v>
      </c>
      <c r="W39" s="203"/>
      <c r="X39" s="203"/>
      <c r="Y39" s="203" t="s">
        <v>149</v>
      </c>
      <c r="Z39" s="203" t="s">
        <v>149</v>
      </c>
      <c r="AA39" s="203" t="s">
        <v>149</v>
      </c>
      <c r="AB39" s="203" t="s">
        <v>149</v>
      </c>
      <c r="AC39" s="203" t="s">
        <v>149</v>
      </c>
      <c r="AD39" s="203" t="s">
        <v>149</v>
      </c>
      <c r="AE39" s="203" t="s">
        <v>149</v>
      </c>
      <c r="AF39" s="203" t="s">
        <v>149</v>
      </c>
      <c r="AG39" s="203" t="s">
        <v>149</v>
      </c>
      <c r="AH39" s="203" t="s">
        <v>149</v>
      </c>
      <c r="AI39" s="203" t="s">
        <v>149</v>
      </c>
      <c r="AJ39" s="203" t="s">
        <v>149</v>
      </c>
      <c r="AK39" s="203" t="s">
        <v>149</v>
      </c>
      <c r="AL39" s="203" t="s">
        <v>149</v>
      </c>
      <c r="AM39" s="203" t="s">
        <v>149</v>
      </c>
      <c r="AN39" s="203" t="s">
        <v>149</v>
      </c>
      <c r="AO39" s="203" t="s">
        <v>149</v>
      </c>
      <c r="AP39" s="203" t="s">
        <v>149</v>
      </c>
      <c r="AQ39" s="203" t="s">
        <v>149</v>
      </c>
      <c r="AR39" s="203" t="s">
        <v>149</v>
      </c>
      <c r="AS39" s="203" t="s">
        <v>149</v>
      </c>
      <c r="AT39" s="203"/>
      <c r="AU39" s="203"/>
      <c r="AV39" s="203" t="s">
        <v>149</v>
      </c>
      <c r="AW39" s="203" t="s">
        <v>149</v>
      </c>
      <c r="AX39" s="203" t="s">
        <v>149</v>
      </c>
      <c r="AY39" s="203"/>
      <c r="AZ39" s="203" t="s">
        <v>149</v>
      </c>
      <c r="BA39" s="203" t="s">
        <v>149</v>
      </c>
      <c r="BB39" s="203" t="s">
        <v>149</v>
      </c>
      <c r="BC39" s="252"/>
      <c r="BD39" s="252"/>
      <c r="BE39" s="252"/>
      <c r="BF39" s="252"/>
      <c r="BG39" s="252"/>
      <c r="BH39" s="252"/>
      <c r="BI39" s="252"/>
      <c r="BJ39" s="252"/>
      <c r="BK39" s="252"/>
    </row>
    <row r="40" spans="1:63" ht="409.5">
      <c r="A40" s="124">
        <v>45226</v>
      </c>
      <c r="B40" s="125" t="s">
        <v>34</v>
      </c>
      <c r="C40" s="125" t="s">
        <v>279</v>
      </c>
      <c r="D40" s="125" t="s">
        <v>284</v>
      </c>
      <c r="E40" s="125" t="s">
        <v>285</v>
      </c>
      <c r="F40" s="126" t="s">
        <v>286</v>
      </c>
      <c r="G40" s="209" t="s">
        <v>283</v>
      </c>
      <c r="H40" s="212"/>
      <c r="I40" s="210" t="s">
        <v>149</v>
      </c>
      <c r="J40" s="203" t="s">
        <v>149</v>
      </c>
      <c r="K40" s="203"/>
      <c r="L40" s="203" t="s">
        <v>149</v>
      </c>
      <c r="M40" s="203" t="s">
        <v>149</v>
      </c>
      <c r="N40" s="203" t="s">
        <v>149</v>
      </c>
      <c r="O40" s="203" t="s">
        <v>149</v>
      </c>
      <c r="P40" s="203" t="s">
        <v>149</v>
      </c>
      <c r="Q40" s="203" t="s">
        <v>149</v>
      </c>
      <c r="R40" s="203" t="s">
        <v>149</v>
      </c>
      <c r="S40" s="203" t="s">
        <v>149</v>
      </c>
      <c r="T40" s="203" t="s">
        <v>149</v>
      </c>
      <c r="U40" s="203" t="s">
        <v>149</v>
      </c>
      <c r="V40" s="203" t="s">
        <v>149</v>
      </c>
      <c r="W40" s="203"/>
      <c r="X40" s="203"/>
      <c r="Y40" s="203" t="s">
        <v>149</v>
      </c>
      <c r="Z40" s="203" t="s">
        <v>149</v>
      </c>
      <c r="AA40" s="203" t="s">
        <v>149</v>
      </c>
      <c r="AB40" s="203" t="s">
        <v>149</v>
      </c>
      <c r="AC40" s="203" t="s">
        <v>149</v>
      </c>
      <c r="AD40" s="203" t="s">
        <v>149</v>
      </c>
      <c r="AE40" s="203" t="s">
        <v>149</v>
      </c>
      <c r="AF40" s="203" t="s">
        <v>149</v>
      </c>
      <c r="AG40" s="203" t="s">
        <v>149</v>
      </c>
      <c r="AH40" s="203" t="s">
        <v>149</v>
      </c>
      <c r="AI40" s="203" t="s">
        <v>149</v>
      </c>
      <c r="AJ40" s="203" t="s">
        <v>149</v>
      </c>
      <c r="AK40" s="203" t="s">
        <v>149</v>
      </c>
      <c r="AL40" s="203" t="s">
        <v>149</v>
      </c>
      <c r="AM40" s="203" t="s">
        <v>149</v>
      </c>
      <c r="AN40" s="203" t="s">
        <v>149</v>
      </c>
      <c r="AO40" s="203" t="s">
        <v>149</v>
      </c>
      <c r="AP40" s="203" t="s">
        <v>149</v>
      </c>
      <c r="AQ40" s="203" t="s">
        <v>149</v>
      </c>
      <c r="AR40" s="203" t="s">
        <v>149</v>
      </c>
      <c r="AS40" s="203" t="s">
        <v>149</v>
      </c>
      <c r="AT40" s="203"/>
      <c r="AU40" s="203"/>
      <c r="AV40" s="203" t="s">
        <v>149</v>
      </c>
      <c r="AW40" s="203" t="s">
        <v>149</v>
      </c>
      <c r="AX40" s="203" t="s">
        <v>149</v>
      </c>
      <c r="AY40" s="203"/>
      <c r="AZ40" s="203" t="s">
        <v>149</v>
      </c>
      <c r="BA40" s="203" t="s">
        <v>149</v>
      </c>
      <c r="BB40" s="203" t="s">
        <v>149</v>
      </c>
      <c r="BC40" s="252"/>
      <c r="BD40" s="252"/>
      <c r="BE40" s="252"/>
      <c r="BF40" s="252"/>
      <c r="BG40" s="252"/>
      <c r="BH40" s="252"/>
      <c r="BI40" s="252"/>
      <c r="BJ40" s="252"/>
      <c r="BK40" s="252"/>
    </row>
    <row r="41" spans="1:63" ht="409.5">
      <c r="A41" s="124">
        <v>45240</v>
      </c>
      <c r="B41" s="125" t="s">
        <v>34</v>
      </c>
      <c r="C41" s="125" t="s">
        <v>287</v>
      </c>
      <c r="D41" s="125" t="s">
        <v>288</v>
      </c>
      <c r="E41" s="125" t="s">
        <v>289</v>
      </c>
      <c r="F41" s="126" t="s">
        <v>290</v>
      </c>
      <c r="G41" s="209" t="s">
        <v>283</v>
      </c>
      <c r="H41" s="212"/>
      <c r="I41" s="210" t="s">
        <v>149</v>
      </c>
      <c r="J41" s="203" t="s">
        <v>149</v>
      </c>
      <c r="K41" s="203"/>
      <c r="L41" s="203" t="s">
        <v>149</v>
      </c>
      <c r="M41" s="203" t="s">
        <v>149</v>
      </c>
      <c r="N41" s="203" t="s">
        <v>149</v>
      </c>
      <c r="O41" s="203" t="s">
        <v>149</v>
      </c>
      <c r="P41" s="203" t="s">
        <v>149</v>
      </c>
      <c r="Q41" s="203" t="s">
        <v>149</v>
      </c>
      <c r="R41" s="203" t="s">
        <v>149</v>
      </c>
      <c r="S41" s="203" t="s">
        <v>149</v>
      </c>
      <c r="T41" s="203" t="s">
        <v>149</v>
      </c>
      <c r="U41" s="203" t="s">
        <v>149</v>
      </c>
      <c r="V41" s="203" t="s">
        <v>149</v>
      </c>
      <c r="W41" s="203"/>
      <c r="X41" s="203"/>
      <c r="Y41" s="203" t="s">
        <v>149</v>
      </c>
      <c r="Z41" s="203" t="s">
        <v>149</v>
      </c>
      <c r="AA41" s="203" t="s">
        <v>149</v>
      </c>
      <c r="AB41" s="203" t="s">
        <v>149</v>
      </c>
      <c r="AC41" s="203" t="s">
        <v>149</v>
      </c>
      <c r="AD41" s="203" t="s">
        <v>149</v>
      </c>
      <c r="AE41" s="203" t="s">
        <v>149</v>
      </c>
      <c r="AF41" s="203" t="s">
        <v>149</v>
      </c>
      <c r="AG41" s="203" t="s">
        <v>149</v>
      </c>
      <c r="AH41" s="203" t="s">
        <v>149</v>
      </c>
      <c r="AI41" s="203" t="s">
        <v>149</v>
      </c>
      <c r="AJ41" s="203" t="s">
        <v>149</v>
      </c>
      <c r="AK41" s="203" t="s">
        <v>149</v>
      </c>
      <c r="AL41" s="203" t="s">
        <v>149</v>
      </c>
      <c r="AM41" s="203" t="s">
        <v>149</v>
      </c>
      <c r="AN41" s="203" t="s">
        <v>149</v>
      </c>
      <c r="AO41" s="203" t="s">
        <v>149</v>
      </c>
      <c r="AP41" s="203" t="s">
        <v>149</v>
      </c>
      <c r="AQ41" s="203" t="s">
        <v>149</v>
      </c>
      <c r="AR41" s="203" t="s">
        <v>149</v>
      </c>
      <c r="AS41" s="203" t="s">
        <v>149</v>
      </c>
      <c r="AT41" s="203"/>
      <c r="AU41" s="203"/>
      <c r="AV41" s="203" t="s">
        <v>149</v>
      </c>
      <c r="AW41" s="203" t="s">
        <v>149</v>
      </c>
      <c r="AX41" s="203" t="s">
        <v>149</v>
      </c>
      <c r="AY41" s="203"/>
      <c r="AZ41" s="203" t="s">
        <v>149</v>
      </c>
      <c r="BA41" s="203" t="s">
        <v>149</v>
      </c>
      <c r="BB41" s="203" t="s">
        <v>149</v>
      </c>
      <c r="BC41" s="252"/>
      <c r="BD41" s="252"/>
      <c r="BE41" s="252"/>
      <c r="BF41" s="252"/>
      <c r="BG41" s="252"/>
      <c r="BH41" s="252"/>
      <c r="BI41" s="252"/>
      <c r="BJ41" s="252"/>
      <c r="BK41" s="252"/>
    </row>
    <row r="42" spans="1:63" ht="409.5">
      <c r="A42" s="124">
        <v>45250</v>
      </c>
      <c r="B42" s="125" t="s">
        <v>34</v>
      </c>
      <c r="C42" s="125" t="s">
        <v>287</v>
      </c>
      <c r="D42" s="125" t="s">
        <v>291</v>
      </c>
      <c r="E42" s="125" t="s">
        <v>292</v>
      </c>
      <c r="F42" s="126" t="s">
        <v>293</v>
      </c>
      <c r="G42" s="209" t="s">
        <v>283</v>
      </c>
      <c r="H42" s="212"/>
      <c r="I42" s="210" t="s">
        <v>149</v>
      </c>
      <c r="J42" s="203" t="s">
        <v>149</v>
      </c>
      <c r="K42" s="203"/>
      <c r="L42" s="203" t="s">
        <v>149</v>
      </c>
      <c r="M42" s="203" t="s">
        <v>149</v>
      </c>
      <c r="N42" s="203" t="s">
        <v>149</v>
      </c>
      <c r="O42" s="203" t="s">
        <v>149</v>
      </c>
      <c r="P42" s="203" t="s">
        <v>149</v>
      </c>
      <c r="Q42" s="203" t="s">
        <v>149</v>
      </c>
      <c r="R42" s="203" t="s">
        <v>149</v>
      </c>
      <c r="S42" s="203" t="s">
        <v>149</v>
      </c>
      <c r="T42" s="203" t="s">
        <v>149</v>
      </c>
      <c r="U42" s="203" t="s">
        <v>149</v>
      </c>
      <c r="V42" s="203" t="s">
        <v>149</v>
      </c>
      <c r="W42" s="203"/>
      <c r="X42" s="203"/>
      <c r="Y42" s="203" t="s">
        <v>149</v>
      </c>
      <c r="Z42" s="203" t="s">
        <v>149</v>
      </c>
      <c r="AA42" s="203" t="s">
        <v>149</v>
      </c>
      <c r="AB42" s="203" t="s">
        <v>149</v>
      </c>
      <c r="AC42" s="203" t="s">
        <v>149</v>
      </c>
      <c r="AD42" s="203" t="s">
        <v>149</v>
      </c>
      <c r="AE42" s="203" t="s">
        <v>149</v>
      </c>
      <c r="AF42" s="203" t="s">
        <v>149</v>
      </c>
      <c r="AG42" s="203" t="s">
        <v>149</v>
      </c>
      <c r="AH42" s="203" t="s">
        <v>149</v>
      </c>
      <c r="AI42" s="203" t="s">
        <v>149</v>
      </c>
      <c r="AJ42" s="203" t="s">
        <v>149</v>
      </c>
      <c r="AK42" s="203" t="s">
        <v>149</v>
      </c>
      <c r="AL42" s="203" t="s">
        <v>149</v>
      </c>
      <c r="AM42" s="203" t="s">
        <v>149</v>
      </c>
      <c r="AN42" s="203" t="s">
        <v>149</v>
      </c>
      <c r="AO42" s="203" t="s">
        <v>149</v>
      </c>
      <c r="AP42" s="203" t="s">
        <v>149</v>
      </c>
      <c r="AQ42" s="203" t="s">
        <v>149</v>
      </c>
      <c r="AR42" s="203" t="s">
        <v>149</v>
      </c>
      <c r="AS42" s="203" t="s">
        <v>149</v>
      </c>
      <c r="AT42" s="203"/>
      <c r="AU42" s="203"/>
      <c r="AV42" s="203" t="s">
        <v>149</v>
      </c>
      <c r="AW42" s="203" t="s">
        <v>149</v>
      </c>
      <c r="AX42" s="203" t="s">
        <v>149</v>
      </c>
      <c r="AY42" s="203"/>
      <c r="AZ42" s="203" t="s">
        <v>149</v>
      </c>
      <c r="BA42" s="203" t="s">
        <v>149</v>
      </c>
      <c r="BB42" s="203" t="s">
        <v>149</v>
      </c>
      <c r="BC42" s="252"/>
      <c r="BD42" s="252"/>
      <c r="BE42" s="252"/>
      <c r="BF42" s="252"/>
      <c r="BG42" s="252"/>
      <c r="BH42" s="252"/>
      <c r="BI42" s="252"/>
      <c r="BJ42" s="252"/>
      <c r="BK42" s="252"/>
    </row>
    <row r="43" spans="1:63" ht="345">
      <c r="A43" s="124">
        <v>45257</v>
      </c>
      <c r="B43" s="125" t="s">
        <v>34</v>
      </c>
      <c r="C43" s="125" t="s">
        <v>287</v>
      </c>
      <c r="D43" s="125" t="s">
        <v>294</v>
      </c>
      <c r="E43" s="125" t="s">
        <v>295</v>
      </c>
      <c r="F43" s="126" t="s">
        <v>296</v>
      </c>
      <c r="G43" s="209" t="s">
        <v>297</v>
      </c>
      <c r="H43" s="212"/>
      <c r="I43" s="210" t="s">
        <v>149</v>
      </c>
      <c r="J43" s="203" t="s">
        <v>149</v>
      </c>
      <c r="K43" s="203"/>
      <c r="L43" s="203" t="s">
        <v>149</v>
      </c>
      <c r="M43" s="203" t="s">
        <v>149</v>
      </c>
      <c r="N43" s="203" t="s">
        <v>149</v>
      </c>
      <c r="O43" s="203" t="s">
        <v>149</v>
      </c>
      <c r="P43" s="203" t="s">
        <v>149</v>
      </c>
      <c r="Q43" s="203" t="s">
        <v>149</v>
      </c>
      <c r="R43" s="203" t="s">
        <v>149</v>
      </c>
      <c r="S43" s="203" t="s">
        <v>149</v>
      </c>
      <c r="T43" s="203" t="s">
        <v>149</v>
      </c>
      <c r="U43" s="203" t="s">
        <v>149</v>
      </c>
      <c r="V43" s="203" t="s">
        <v>149</v>
      </c>
      <c r="W43" s="203"/>
      <c r="X43" s="203"/>
      <c r="Y43" s="203" t="s">
        <v>149</v>
      </c>
      <c r="Z43" s="203" t="s">
        <v>149</v>
      </c>
      <c r="AA43" s="203" t="s">
        <v>149</v>
      </c>
      <c r="AB43" s="203" t="s">
        <v>149</v>
      </c>
      <c r="AC43" s="203" t="s">
        <v>149</v>
      </c>
      <c r="AD43" s="203" t="s">
        <v>149</v>
      </c>
      <c r="AE43" s="203" t="s">
        <v>149</v>
      </c>
      <c r="AF43" s="203" t="s">
        <v>149</v>
      </c>
      <c r="AG43" s="203" t="s">
        <v>149</v>
      </c>
      <c r="AH43" s="203" t="s">
        <v>149</v>
      </c>
      <c r="AI43" s="203" t="s">
        <v>149</v>
      </c>
      <c r="AJ43" s="203" t="s">
        <v>149</v>
      </c>
      <c r="AK43" s="203" t="s">
        <v>149</v>
      </c>
      <c r="AL43" s="203" t="s">
        <v>149</v>
      </c>
      <c r="AM43" s="203" t="s">
        <v>149</v>
      </c>
      <c r="AN43" s="203" t="s">
        <v>149</v>
      </c>
      <c r="AO43" s="203" t="s">
        <v>149</v>
      </c>
      <c r="AP43" s="203" t="s">
        <v>149</v>
      </c>
      <c r="AQ43" s="203" t="s">
        <v>149</v>
      </c>
      <c r="AR43" s="203" t="s">
        <v>149</v>
      </c>
      <c r="AS43" s="203" t="s">
        <v>149</v>
      </c>
      <c r="AT43" s="203"/>
      <c r="AU43" s="203"/>
      <c r="AV43" s="203" t="s">
        <v>149</v>
      </c>
      <c r="AW43" s="203" t="s">
        <v>149</v>
      </c>
      <c r="AX43" s="203" t="s">
        <v>149</v>
      </c>
      <c r="AY43" s="203"/>
      <c r="AZ43" s="203" t="s">
        <v>149</v>
      </c>
      <c r="BA43" s="203" t="s">
        <v>149</v>
      </c>
      <c r="BB43" s="203" t="s">
        <v>149</v>
      </c>
      <c r="BC43" s="252"/>
      <c r="BD43" s="252"/>
      <c r="BE43" s="252"/>
      <c r="BF43" s="252"/>
      <c r="BG43" s="252"/>
      <c r="BH43" s="252"/>
      <c r="BI43" s="252"/>
      <c r="BJ43" s="252"/>
      <c r="BK43" s="252"/>
    </row>
    <row r="44" spans="1:63" ht="409.5">
      <c r="A44" s="124">
        <v>45264</v>
      </c>
      <c r="B44" s="125" t="s">
        <v>34</v>
      </c>
      <c r="C44" s="125" t="s">
        <v>298</v>
      </c>
      <c r="D44" s="125" t="s">
        <v>299</v>
      </c>
      <c r="E44" s="125" t="s">
        <v>300</v>
      </c>
      <c r="F44" s="126" t="s">
        <v>301</v>
      </c>
      <c r="G44" s="209" t="s">
        <v>302</v>
      </c>
      <c r="H44" s="212"/>
      <c r="I44" s="210" t="s">
        <v>149</v>
      </c>
      <c r="J44" s="203" t="s">
        <v>149</v>
      </c>
      <c r="K44" s="203"/>
      <c r="L44" s="203" t="s">
        <v>149</v>
      </c>
      <c r="M44" s="203" t="s">
        <v>149</v>
      </c>
      <c r="N44" s="203"/>
      <c r="O44" s="203"/>
      <c r="P44" s="203"/>
      <c r="Q44" s="203"/>
      <c r="R44" s="203"/>
      <c r="S44" s="203"/>
      <c r="T44" s="203"/>
      <c r="U44" s="203"/>
      <c r="V44" s="203"/>
      <c r="W44" s="203"/>
      <c r="X44" s="203"/>
      <c r="Y44" s="203" t="s">
        <v>149</v>
      </c>
      <c r="Z44" s="203" t="s">
        <v>149</v>
      </c>
      <c r="AA44" s="203" t="s">
        <v>149</v>
      </c>
      <c r="AB44" s="203" t="s">
        <v>149</v>
      </c>
      <c r="AC44" s="203" t="s">
        <v>149</v>
      </c>
      <c r="AD44" s="203" t="s">
        <v>149</v>
      </c>
      <c r="AE44" s="203" t="s">
        <v>149</v>
      </c>
      <c r="AF44" s="203" t="s">
        <v>149</v>
      </c>
      <c r="AG44" s="203" t="s">
        <v>149</v>
      </c>
      <c r="AH44" s="203" t="s">
        <v>149</v>
      </c>
      <c r="AI44" s="203" t="s">
        <v>149</v>
      </c>
      <c r="AJ44" s="203" t="s">
        <v>149</v>
      </c>
      <c r="AK44" s="203" t="s">
        <v>149</v>
      </c>
      <c r="AL44" s="203" t="s">
        <v>149</v>
      </c>
      <c r="AM44" s="203" t="s">
        <v>149</v>
      </c>
      <c r="AN44" s="203" t="s">
        <v>149</v>
      </c>
      <c r="AO44" s="203" t="s">
        <v>149</v>
      </c>
      <c r="AP44" s="203" t="s">
        <v>149</v>
      </c>
      <c r="AQ44" s="203" t="s">
        <v>149</v>
      </c>
      <c r="AR44" s="203" t="s">
        <v>149</v>
      </c>
      <c r="AS44" s="203" t="s">
        <v>149</v>
      </c>
      <c r="AT44" s="203"/>
      <c r="AU44" s="203"/>
      <c r="AV44" s="203" t="s">
        <v>149</v>
      </c>
      <c r="AW44" s="203" t="s">
        <v>149</v>
      </c>
      <c r="AX44" s="203" t="s">
        <v>149</v>
      </c>
      <c r="AY44" s="203"/>
      <c r="AZ44" s="203" t="s">
        <v>149</v>
      </c>
      <c r="BA44" s="203" t="s">
        <v>149</v>
      </c>
      <c r="BB44" s="203" t="s">
        <v>149</v>
      </c>
      <c r="BC44" s="252"/>
      <c r="BD44" s="252"/>
      <c r="BE44" s="252"/>
      <c r="BF44" s="252"/>
      <c r="BG44" s="252"/>
      <c r="BH44" s="252"/>
      <c r="BI44" s="252"/>
      <c r="BJ44" s="252"/>
      <c r="BK44" s="252"/>
    </row>
    <row r="45" spans="1:63" ht="300">
      <c r="A45" s="124">
        <v>45271</v>
      </c>
      <c r="B45" s="125" t="s">
        <v>34</v>
      </c>
      <c r="C45" s="125" t="s">
        <v>303</v>
      </c>
      <c r="D45" s="125" t="s">
        <v>304</v>
      </c>
      <c r="E45" s="125" t="s">
        <v>305</v>
      </c>
      <c r="F45" s="126" t="s">
        <v>306</v>
      </c>
      <c r="G45" s="209" t="s">
        <v>307</v>
      </c>
      <c r="H45" s="212"/>
      <c r="I45" s="210" t="s">
        <v>149</v>
      </c>
      <c r="J45" s="203" t="s">
        <v>149</v>
      </c>
      <c r="K45" s="203"/>
      <c r="L45" s="203" t="s">
        <v>149</v>
      </c>
      <c r="M45" s="203" t="s">
        <v>149</v>
      </c>
      <c r="N45" s="203"/>
      <c r="O45" s="203"/>
      <c r="P45" s="203"/>
      <c r="Q45" s="203"/>
      <c r="R45" s="203"/>
      <c r="S45" s="203"/>
      <c r="T45" s="203"/>
      <c r="U45" s="203"/>
      <c r="V45" s="203"/>
      <c r="W45" s="203"/>
      <c r="X45" s="203"/>
      <c r="Y45" s="203" t="s">
        <v>149</v>
      </c>
      <c r="Z45" s="203" t="s">
        <v>149</v>
      </c>
      <c r="AA45" s="203" t="s">
        <v>149</v>
      </c>
      <c r="AB45" s="203" t="s">
        <v>149</v>
      </c>
      <c r="AC45" s="203" t="s">
        <v>149</v>
      </c>
      <c r="AD45" s="203" t="s">
        <v>149</v>
      </c>
      <c r="AE45" s="203" t="s">
        <v>149</v>
      </c>
      <c r="AF45" s="203" t="s">
        <v>149</v>
      </c>
      <c r="AG45" s="203" t="s">
        <v>149</v>
      </c>
      <c r="AH45" s="203" t="s">
        <v>149</v>
      </c>
      <c r="AI45" s="203" t="s">
        <v>149</v>
      </c>
      <c r="AJ45" s="203" t="s">
        <v>149</v>
      </c>
      <c r="AK45" s="203" t="s">
        <v>149</v>
      </c>
      <c r="AL45" s="203" t="s">
        <v>149</v>
      </c>
      <c r="AM45" s="203" t="s">
        <v>149</v>
      </c>
      <c r="AN45" s="203" t="s">
        <v>149</v>
      </c>
      <c r="AO45" s="203" t="s">
        <v>149</v>
      </c>
      <c r="AP45" s="203" t="s">
        <v>149</v>
      </c>
      <c r="AQ45" s="203" t="s">
        <v>149</v>
      </c>
      <c r="AR45" s="203" t="s">
        <v>149</v>
      </c>
      <c r="AS45" s="203" t="s">
        <v>149</v>
      </c>
      <c r="AT45" s="203"/>
      <c r="AU45" s="203"/>
      <c r="AV45" s="203" t="s">
        <v>149</v>
      </c>
      <c r="AW45" s="203" t="s">
        <v>149</v>
      </c>
      <c r="AX45" s="203" t="s">
        <v>149</v>
      </c>
      <c r="AY45" s="203"/>
      <c r="AZ45" s="203" t="s">
        <v>149</v>
      </c>
      <c r="BA45" s="203" t="s">
        <v>149</v>
      </c>
      <c r="BB45" s="203"/>
      <c r="BC45" s="252"/>
      <c r="BD45" s="252"/>
      <c r="BE45" s="252"/>
      <c r="BF45" s="252"/>
      <c r="BG45" s="252"/>
      <c r="BH45" s="252"/>
      <c r="BI45" s="252"/>
      <c r="BJ45" s="252"/>
      <c r="BK45" s="252"/>
    </row>
    <row r="46" spans="1:63" ht="409.5">
      <c r="A46" s="124">
        <v>45275</v>
      </c>
      <c r="B46" s="125" t="s">
        <v>34</v>
      </c>
      <c r="C46" s="125" t="s">
        <v>298</v>
      </c>
      <c r="D46" s="125" t="s">
        <v>308</v>
      </c>
      <c r="E46" s="125" t="s">
        <v>309</v>
      </c>
      <c r="F46" s="126" t="s">
        <v>310</v>
      </c>
      <c r="G46" s="209" t="s">
        <v>302</v>
      </c>
      <c r="H46" s="212"/>
      <c r="I46" s="210" t="s">
        <v>149</v>
      </c>
      <c r="J46" s="203" t="s">
        <v>149</v>
      </c>
      <c r="K46" s="203"/>
      <c r="L46" s="203" t="s">
        <v>149</v>
      </c>
      <c r="M46" s="203" t="s">
        <v>149</v>
      </c>
      <c r="N46" s="203"/>
      <c r="O46" s="203"/>
      <c r="P46" s="203"/>
      <c r="Q46" s="203"/>
      <c r="R46" s="203"/>
      <c r="S46" s="203"/>
      <c r="T46" s="203"/>
      <c r="U46" s="203"/>
      <c r="V46" s="203"/>
      <c r="W46" s="203"/>
      <c r="X46" s="203"/>
      <c r="Y46" s="203" t="s">
        <v>149</v>
      </c>
      <c r="Z46" s="203" t="s">
        <v>149</v>
      </c>
      <c r="AA46" s="203" t="s">
        <v>149</v>
      </c>
      <c r="AB46" s="203" t="s">
        <v>149</v>
      </c>
      <c r="AC46" s="203" t="s">
        <v>149</v>
      </c>
      <c r="AD46" s="203" t="s">
        <v>149</v>
      </c>
      <c r="AE46" s="203" t="s">
        <v>149</v>
      </c>
      <c r="AF46" s="203" t="s">
        <v>149</v>
      </c>
      <c r="AG46" s="203" t="s">
        <v>149</v>
      </c>
      <c r="AH46" s="203" t="s">
        <v>149</v>
      </c>
      <c r="AI46" s="203" t="s">
        <v>149</v>
      </c>
      <c r="AJ46" s="203" t="s">
        <v>149</v>
      </c>
      <c r="AK46" s="203" t="s">
        <v>149</v>
      </c>
      <c r="AL46" s="203" t="s">
        <v>149</v>
      </c>
      <c r="AM46" s="203" t="s">
        <v>149</v>
      </c>
      <c r="AN46" s="203" t="s">
        <v>149</v>
      </c>
      <c r="AO46" s="203" t="s">
        <v>149</v>
      </c>
      <c r="AP46" s="203" t="s">
        <v>149</v>
      </c>
      <c r="AQ46" s="203" t="s">
        <v>149</v>
      </c>
      <c r="AR46" s="203" t="s">
        <v>149</v>
      </c>
      <c r="AS46" s="203" t="s">
        <v>149</v>
      </c>
      <c r="AT46" s="203"/>
      <c r="AU46" s="203"/>
      <c r="AV46" s="203" t="s">
        <v>149</v>
      </c>
      <c r="AW46" s="203" t="s">
        <v>149</v>
      </c>
      <c r="AX46" s="203" t="s">
        <v>149</v>
      </c>
      <c r="AY46" s="203"/>
      <c r="AZ46" s="203" t="s">
        <v>149</v>
      </c>
      <c r="BA46" s="203" t="s">
        <v>149</v>
      </c>
      <c r="BB46" s="203" t="s">
        <v>149</v>
      </c>
      <c r="BC46" s="252"/>
      <c r="BD46" s="252"/>
      <c r="BE46" s="252"/>
      <c r="BF46" s="252"/>
      <c r="BG46" s="252"/>
      <c r="BH46" s="252"/>
      <c r="BI46" s="252"/>
      <c r="BJ46" s="252"/>
      <c r="BK46" s="252"/>
    </row>
    <row r="47" spans="1:63" ht="300">
      <c r="A47" s="124">
        <v>45275</v>
      </c>
      <c r="B47" s="125" t="s">
        <v>34</v>
      </c>
      <c r="C47" s="125" t="s">
        <v>303</v>
      </c>
      <c r="D47" s="125" t="s">
        <v>304</v>
      </c>
      <c r="E47" s="125" t="s">
        <v>305</v>
      </c>
      <c r="F47" s="126" t="s">
        <v>311</v>
      </c>
      <c r="G47" s="209" t="s">
        <v>307</v>
      </c>
      <c r="H47" s="212"/>
      <c r="I47" s="210" t="s">
        <v>149</v>
      </c>
      <c r="J47" s="203" t="s">
        <v>149</v>
      </c>
      <c r="K47" s="203"/>
      <c r="L47" s="203" t="s">
        <v>149</v>
      </c>
      <c r="M47" s="203" t="s">
        <v>149</v>
      </c>
      <c r="N47" s="203"/>
      <c r="O47" s="203"/>
      <c r="P47" s="203"/>
      <c r="Q47" s="203"/>
      <c r="R47" s="203"/>
      <c r="S47" s="203"/>
      <c r="T47" s="203"/>
      <c r="U47" s="203"/>
      <c r="V47" s="203"/>
      <c r="W47" s="203"/>
      <c r="X47" s="203"/>
      <c r="Y47" s="203" t="s">
        <v>149</v>
      </c>
      <c r="Z47" s="203" t="s">
        <v>149</v>
      </c>
      <c r="AA47" s="203" t="s">
        <v>149</v>
      </c>
      <c r="AB47" s="203" t="s">
        <v>149</v>
      </c>
      <c r="AC47" s="203" t="s">
        <v>149</v>
      </c>
      <c r="AD47" s="203" t="s">
        <v>149</v>
      </c>
      <c r="AE47" s="203" t="s">
        <v>149</v>
      </c>
      <c r="AF47" s="203" t="s">
        <v>149</v>
      </c>
      <c r="AG47" s="203" t="s">
        <v>149</v>
      </c>
      <c r="AH47" s="203" t="s">
        <v>149</v>
      </c>
      <c r="AI47" s="203" t="s">
        <v>149</v>
      </c>
      <c r="AJ47" s="203" t="s">
        <v>149</v>
      </c>
      <c r="AK47" s="203" t="s">
        <v>149</v>
      </c>
      <c r="AL47" s="203" t="s">
        <v>149</v>
      </c>
      <c r="AM47" s="203" t="s">
        <v>149</v>
      </c>
      <c r="AN47" s="203" t="s">
        <v>149</v>
      </c>
      <c r="AO47" s="203" t="s">
        <v>149</v>
      </c>
      <c r="AP47" s="203" t="s">
        <v>149</v>
      </c>
      <c r="AQ47" s="203" t="s">
        <v>149</v>
      </c>
      <c r="AR47" s="203" t="s">
        <v>149</v>
      </c>
      <c r="AS47" s="203" t="s">
        <v>149</v>
      </c>
      <c r="AT47" s="203"/>
      <c r="AU47" s="203"/>
      <c r="AV47" s="203" t="s">
        <v>149</v>
      </c>
      <c r="AW47" s="203" t="s">
        <v>149</v>
      </c>
      <c r="AX47" s="203" t="s">
        <v>149</v>
      </c>
      <c r="AY47" s="203"/>
      <c r="AZ47" s="203" t="s">
        <v>149</v>
      </c>
      <c r="BA47" s="203" t="s">
        <v>149</v>
      </c>
      <c r="BB47" s="203"/>
      <c r="BC47" s="252"/>
      <c r="BD47" s="252"/>
      <c r="BE47" s="252"/>
      <c r="BF47" s="252"/>
      <c r="BG47" s="252"/>
      <c r="BH47" s="252"/>
      <c r="BI47" s="252"/>
      <c r="BJ47" s="252"/>
      <c r="BK47" s="252"/>
    </row>
    <row r="48" spans="1:63" ht="409.5">
      <c r="A48" s="124">
        <v>45285</v>
      </c>
      <c r="B48" s="125" t="s">
        <v>34</v>
      </c>
      <c r="C48" s="125" t="s">
        <v>298</v>
      </c>
      <c r="D48" s="125" t="s">
        <v>312</v>
      </c>
      <c r="E48" s="125" t="s">
        <v>313</v>
      </c>
      <c r="F48" s="126" t="s">
        <v>314</v>
      </c>
      <c r="G48" s="209" t="s">
        <v>302</v>
      </c>
      <c r="H48" s="212"/>
      <c r="I48" s="210" t="s">
        <v>149</v>
      </c>
      <c r="J48" s="203" t="s">
        <v>149</v>
      </c>
      <c r="K48" s="203"/>
      <c r="L48" s="203" t="s">
        <v>149</v>
      </c>
      <c r="M48" s="203" t="s">
        <v>149</v>
      </c>
      <c r="N48" s="203"/>
      <c r="O48" s="203"/>
      <c r="P48" s="203"/>
      <c r="Q48" s="203"/>
      <c r="R48" s="203"/>
      <c r="S48" s="203"/>
      <c r="T48" s="203"/>
      <c r="U48" s="203"/>
      <c r="V48" s="203"/>
      <c r="W48" s="203"/>
      <c r="X48" s="203"/>
      <c r="Y48" s="203" t="s">
        <v>149</v>
      </c>
      <c r="Z48" s="203" t="s">
        <v>149</v>
      </c>
      <c r="AA48" s="203" t="s">
        <v>149</v>
      </c>
      <c r="AB48" s="203" t="s">
        <v>149</v>
      </c>
      <c r="AC48" s="203" t="s">
        <v>149</v>
      </c>
      <c r="AD48" s="203" t="s">
        <v>149</v>
      </c>
      <c r="AE48" s="203" t="s">
        <v>149</v>
      </c>
      <c r="AF48" s="203" t="s">
        <v>149</v>
      </c>
      <c r="AG48" s="203" t="s">
        <v>149</v>
      </c>
      <c r="AH48" s="203" t="s">
        <v>149</v>
      </c>
      <c r="AI48" s="203" t="s">
        <v>149</v>
      </c>
      <c r="AJ48" s="203" t="s">
        <v>149</v>
      </c>
      <c r="AK48" s="203" t="s">
        <v>149</v>
      </c>
      <c r="AL48" s="203" t="s">
        <v>149</v>
      </c>
      <c r="AM48" s="203" t="s">
        <v>149</v>
      </c>
      <c r="AN48" s="203" t="s">
        <v>149</v>
      </c>
      <c r="AO48" s="203" t="s">
        <v>149</v>
      </c>
      <c r="AP48" s="203" t="s">
        <v>149</v>
      </c>
      <c r="AQ48" s="203" t="s">
        <v>149</v>
      </c>
      <c r="AR48" s="203" t="s">
        <v>149</v>
      </c>
      <c r="AS48" s="203" t="s">
        <v>149</v>
      </c>
      <c r="AT48" s="203"/>
      <c r="AU48" s="203"/>
      <c r="AV48" s="203" t="s">
        <v>149</v>
      </c>
      <c r="AW48" s="203" t="s">
        <v>149</v>
      </c>
      <c r="AX48" s="203" t="s">
        <v>149</v>
      </c>
      <c r="AY48" s="203"/>
      <c r="AZ48" s="203" t="s">
        <v>149</v>
      </c>
      <c r="BA48" s="203" t="s">
        <v>149</v>
      </c>
      <c r="BB48" s="203" t="s">
        <v>149</v>
      </c>
      <c r="BC48" s="252"/>
      <c r="BD48" s="252"/>
      <c r="BE48" s="252"/>
      <c r="BF48" s="252"/>
      <c r="BG48" s="252"/>
      <c r="BH48" s="252"/>
      <c r="BI48" s="252"/>
      <c r="BJ48" s="252"/>
      <c r="BK48" s="252"/>
    </row>
    <row r="49" spans="1:63" ht="375">
      <c r="A49" s="124">
        <v>45289</v>
      </c>
      <c r="B49" s="125" t="s">
        <v>34</v>
      </c>
      <c r="C49" s="125" t="s">
        <v>298</v>
      </c>
      <c r="D49" s="125" t="s">
        <v>315</v>
      </c>
      <c r="E49" s="125" t="s">
        <v>316</v>
      </c>
      <c r="F49" s="126" t="s">
        <v>317</v>
      </c>
      <c r="G49" s="209" t="s">
        <v>302</v>
      </c>
      <c r="H49" s="212"/>
      <c r="I49" s="210" t="s">
        <v>149</v>
      </c>
      <c r="J49" s="203" t="s">
        <v>149</v>
      </c>
      <c r="K49" s="203"/>
      <c r="L49" s="203" t="s">
        <v>149</v>
      </c>
      <c r="M49" s="203" t="s">
        <v>149</v>
      </c>
      <c r="N49" s="203"/>
      <c r="O49" s="203"/>
      <c r="P49" s="203"/>
      <c r="Q49" s="203"/>
      <c r="R49" s="203"/>
      <c r="S49" s="203"/>
      <c r="T49" s="203"/>
      <c r="U49" s="203"/>
      <c r="V49" s="203"/>
      <c r="W49" s="203"/>
      <c r="X49" s="203"/>
      <c r="Y49" s="203" t="s">
        <v>149</v>
      </c>
      <c r="Z49" s="203" t="s">
        <v>149</v>
      </c>
      <c r="AA49" s="203" t="s">
        <v>149</v>
      </c>
      <c r="AB49" s="203" t="s">
        <v>149</v>
      </c>
      <c r="AC49" s="203" t="s">
        <v>149</v>
      </c>
      <c r="AD49" s="203" t="s">
        <v>149</v>
      </c>
      <c r="AE49" s="203" t="s">
        <v>149</v>
      </c>
      <c r="AF49" s="203" t="s">
        <v>149</v>
      </c>
      <c r="AG49" s="203" t="s">
        <v>149</v>
      </c>
      <c r="AH49" s="203" t="s">
        <v>149</v>
      </c>
      <c r="AI49" s="203" t="s">
        <v>149</v>
      </c>
      <c r="AJ49" s="203" t="s">
        <v>149</v>
      </c>
      <c r="AK49" s="203" t="s">
        <v>149</v>
      </c>
      <c r="AL49" s="203" t="s">
        <v>149</v>
      </c>
      <c r="AM49" s="203" t="s">
        <v>149</v>
      </c>
      <c r="AN49" s="203" t="s">
        <v>149</v>
      </c>
      <c r="AO49" s="203" t="s">
        <v>149</v>
      </c>
      <c r="AP49" s="203" t="s">
        <v>149</v>
      </c>
      <c r="AQ49" s="203" t="s">
        <v>149</v>
      </c>
      <c r="AR49" s="203" t="s">
        <v>149</v>
      </c>
      <c r="AS49" s="203" t="s">
        <v>149</v>
      </c>
      <c r="AT49" s="203"/>
      <c r="AU49" s="203"/>
      <c r="AV49" s="203" t="s">
        <v>149</v>
      </c>
      <c r="AW49" s="203" t="s">
        <v>149</v>
      </c>
      <c r="AX49" s="203" t="s">
        <v>149</v>
      </c>
      <c r="AY49" s="203"/>
      <c r="AZ49" s="203" t="s">
        <v>149</v>
      </c>
      <c r="BA49" s="203" t="s">
        <v>149</v>
      </c>
      <c r="BB49" s="203" t="s">
        <v>149</v>
      </c>
      <c r="BC49" s="252"/>
      <c r="BD49" s="252"/>
      <c r="BE49" s="252"/>
      <c r="BF49" s="252"/>
      <c r="BG49" s="252"/>
      <c r="BH49" s="252"/>
      <c r="BI49" s="252"/>
      <c r="BJ49" s="252"/>
      <c r="BK49" s="252"/>
    </row>
    <row r="50" spans="1:63" ht="285">
      <c r="A50" s="124">
        <v>45299</v>
      </c>
      <c r="B50" s="125" t="s">
        <v>34</v>
      </c>
      <c r="C50" s="125" t="s">
        <v>298</v>
      </c>
      <c r="D50" s="125" t="s">
        <v>318</v>
      </c>
      <c r="E50" s="125" t="s">
        <v>319</v>
      </c>
      <c r="F50" s="126" t="s">
        <v>320</v>
      </c>
      <c r="G50" s="209" t="s">
        <v>302</v>
      </c>
      <c r="H50" s="212"/>
      <c r="I50" s="210" t="s">
        <v>149</v>
      </c>
      <c r="J50" s="203" t="s">
        <v>149</v>
      </c>
      <c r="K50" s="203"/>
      <c r="L50" s="203" t="s">
        <v>149</v>
      </c>
      <c r="M50" s="203" t="s">
        <v>149</v>
      </c>
      <c r="N50" s="203"/>
      <c r="O50" s="203"/>
      <c r="P50" s="203"/>
      <c r="Q50" s="203"/>
      <c r="R50" s="203"/>
      <c r="S50" s="203"/>
      <c r="T50" s="203"/>
      <c r="U50" s="203"/>
      <c r="V50" s="203"/>
      <c r="W50" s="203"/>
      <c r="X50" s="203"/>
      <c r="Y50" s="203" t="s">
        <v>149</v>
      </c>
      <c r="Z50" s="203" t="s">
        <v>149</v>
      </c>
      <c r="AA50" s="203" t="s">
        <v>149</v>
      </c>
      <c r="AB50" s="203" t="s">
        <v>149</v>
      </c>
      <c r="AC50" s="203" t="s">
        <v>149</v>
      </c>
      <c r="AD50" s="203" t="s">
        <v>149</v>
      </c>
      <c r="AE50" s="203" t="s">
        <v>149</v>
      </c>
      <c r="AF50" s="203" t="s">
        <v>149</v>
      </c>
      <c r="AG50" s="203" t="s">
        <v>149</v>
      </c>
      <c r="AH50" s="203" t="s">
        <v>149</v>
      </c>
      <c r="AI50" s="203" t="s">
        <v>149</v>
      </c>
      <c r="AJ50" s="203" t="s">
        <v>149</v>
      </c>
      <c r="AK50" s="203" t="s">
        <v>149</v>
      </c>
      <c r="AL50" s="203" t="s">
        <v>149</v>
      </c>
      <c r="AM50" s="203" t="s">
        <v>149</v>
      </c>
      <c r="AN50" s="203" t="s">
        <v>149</v>
      </c>
      <c r="AO50" s="203" t="s">
        <v>149</v>
      </c>
      <c r="AP50" s="203" t="s">
        <v>149</v>
      </c>
      <c r="AQ50" s="203" t="s">
        <v>149</v>
      </c>
      <c r="AR50" s="203" t="s">
        <v>149</v>
      </c>
      <c r="AS50" s="203" t="s">
        <v>149</v>
      </c>
      <c r="AT50" s="203"/>
      <c r="AU50" s="203"/>
      <c r="AV50" s="203" t="s">
        <v>149</v>
      </c>
      <c r="AW50" s="203" t="s">
        <v>149</v>
      </c>
      <c r="AX50" s="203" t="s">
        <v>149</v>
      </c>
      <c r="AY50" s="203"/>
      <c r="AZ50" s="203" t="s">
        <v>149</v>
      </c>
      <c r="BA50" s="203" t="s">
        <v>149</v>
      </c>
      <c r="BB50" s="203" t="s">
        <v>149</v>
      </c>
      <c r="BC50" s="252"/>
      <c r="BD50" s="252"/>
      <c r="BE50" s="252"/>
      <c r="BF50" s="252"/>
      <c r="BG50" s="252"/>
      <c r="BH50" s="252"/>
      <c r="BI50" s="252"/>
      <c r="BJ50" s="252"/>
      <c r="BK50" s="252"/>
    </row>
    <row r="51" spans="1:63" ht="409.5">
      <c r="A51" s="124">
        <v>45306</v>
      </c>
      <c r="B51" s="125" t="s">
        <v>34</v>
      </c>
      <c r="C51" s="125" t="s">
        <v>321</v>
      </c>
      <c r="D51" s="125" t="s">
        <v>322</v>
      </c>
      <c r="E51" s="125" t="s">
        <v>323</v>
      </c>
      <c r="F51" s="126" t="s">
        <v>324</v>
      </c>
      <c r="G51" s="209" t="s">
        <v>307</v>
      </c>
      <c r="H51" s="212"/>
      <c r="I51" s="210" t="s">
        <v>149</v>
      </c>
      <c r="J51" s="203" t="s">
        <v>149</v>
      </c>
      <c r="K51" s="203"/>
      <c r="L51" s="203" t="s">
        <v>149</v>
      </c>
      <c r="M51" s="203" t="s">
        <v>149</v>
      </c>
      <c r="N51" s="203"/>
      <c r="O51" s="203"/>
      <c r="P51" s="203"/>
      <c r="Q51" s="203"/>
      <c r="R51" s="203"/>
      <c r="S51" s="203"/>
      <c r="T51" s="203"/>
      <c r="U51" s="203"/>
      <c r="V51" s="203"/>
      <c r="W51" s="203"/>
      <c r="X51" s="203"/>
      <c r="Y51" s="203" t="s">
        <v>149</v>
      </c>
      <c r="Z51" s="203" t="s">
        <v>149</v>
      </c>
      <c r="AA51" s="203" t="s">
        <v>149</v>
      </c>
      <c r="AB51" s="203" t="s">
        <v>149</v>
      </c>
      <c r="AC51" s="203" t="s">
        <v>149</v>
      </c>
      <c r="AD51" s="203" t="s">
        <v>149</v>
      </c>
      <c r="AE51" s="203" t="s">
        <v>149</v>
      </c>
      <c r="AF51" s="203" t="s">
        <v>149</v>
      </c>
      <c r="AG51" s="203" t="s">
        <v>149</v>
      </c>
      <c r="AH51" s="203" t="s">
        <v>149</v>
      </c>
      <c r="AI51" s="203" t="s">
        <v>149</v>
      </c>
      <c r="AJ51" s="203" t="s">
        <v>149</v>
      </c>
      <c r="AK51" s="203" t="s">
        <v>149</v>
      </c>
      <c r="AL51" s="203" t="s">
        <v>149</v>
      </c>
      <c r="AM51" s="203" t="s">
        <v>149</v>
      </c>
      <c r="AN51" s="203" t="s">
        <v>149</v>
      </c>
      <c r="AO51" s="203" t="s">
        <v>149</v>
      </c>
      <c r="AP51" s="203"/>
      <c r="AQ51" s="203" t="s">
        <v>149</v>
      </c>
      <c r="AR51" s="203" t="s">
        <v>149</v>
      </c>
      <c r="AS51" s="203" t="s">
        <v>149</v>
      </c>
      <c r="AT51" s="203"/>
      <c r="AU51" s="203"/>
      <c r="AV51" s="203" t="s">
        <v>149</v>
      </c>
      <c r="AW51" s="203" t="s">
        <v>149</v>
      </c>
      <c r="AX51" s="203" t="s">
        <v>149</v>
      </c>
      <c r="AY51" s="203"/>
      <c r="AZ51" s="203" t="s">
        <v>149</v>
      </c>
      <c r="BA51" s="203" t="s">
        <v>149</v>
      </c>
      <c r="BB51" s="203"/>
      <c r="BC51" s="252"/>
      <c r="BD51" s="252"/>
      <c r="BE51" s="252"/>
      <c r="BF51" s="252"/>
      <c r="BG51" s="252"/>
      <c r="BH51" s="252"/>
      <c r="BI51" s="252"/>
      <c r="BJ51" s="252"/>
      <c r="BK51" s="252"/>
    </row>
    <row r="52" spans="1:63" ht="330">
      <c r="A52" s="124">
        <v>45306</v>
      </c>
      <c r="B52" s="125" t="s">
        <v>34</v>
      </c>
      <c r="C52" s="125" t="s">
        <v>298</v>
      </c>
      <c r="D52" s="125" t="s">
        <v>325</v>
      </c>
      <c r="E52" s="125" t="s">
        <v>326</v>
      </c>
      <c r="F52" s="126" t="s">
        <v>327</v>
      </c>
      <c r="G52" s="209" t="s">
        <v>302</v>
      </c>
      <c r="H52" s="212"/>
      <c r="I52" s="210" t="s">
        <v>149</v>
      </c>
      <c r="J52" s="203" t="s">
        <v>149</v>
      </c>
      <c r="K52" s="203"/>
      <c r="L52" s="203" t="s">
        <v>149</v>
      </c>
      <c r="M52" s="203" t="s">
        <v>149</v>
      </c>
      <c r="N52" s="203"/>
      <c r="O52" s="203"/>
      <c r="P52" s="203"/>
      <c r="Q52" s="203"/>
      <c r="R52" s="203"/>
      <c r="S52" s="203"/>
      <c r="T52" s="203"/>
      <c r="U52" s="203"/>
      <c r="V52" s="203"/>
      <c r="W52" s="203"/>
      <c r="X52" s="203"/>
      <c r="Y52" s="203" t="s">
        <v>149</v>
      </c>
      <c r="Z52" s="203" t="s">
        <v>149</v>
      </c>
      <c r="AA52" s="203" t="s">
        <v>149</v>
      </c>
      <c r="AB52" s="203" t="s">
        <v>149</v>
      </c>
      <c r="AC52" s="203" t="s">
        <v>149</v>
      </c>
      <c r="AD52" s="203" t="s">
        <v>149</v>
      </c>
      <c r="AE52" s="203" t="s">
        <v>149</v>
      </c>
      <c r="AF52" s="203" t="s">
        <v>149</v>
      </c>
      <c r="AG52" s="203" t="s">
        <v>149</v>
      </c>
      <c r="AH52" s="203" t="s">
        <v>149</v>
      </c>
      <c r="AI52" s="203" t="s">
        <v>149</v>
      </c>
      <c r="AJ52" s="203" t="s">
        <v>149</v>
      </c>
      <c r="AK52" s="203" t="s">
        <v>149</v>
      </c>
      <c r="AL52" s="203" t="s">
        <v>149</v>
      </c>
      <c r="AM52" s="203" t="s">
        <v>149</v>
      </c>
      <c r="AN52" s="203" t="s">
        <v>149</v>
      </c>
      <c r="AO52" s="203" t="s">
        <v>149</v>
      </c>
      <c r="AP52" s="203"/>
      <c r="AQ52" s="203" t="s">
        <v>149</v>
      </c>
      <c r="AR52" s="203" t="s">
        <v>149</v>
      </c>
      <c r="AS52" s="203" t="s">
        <v>149</v>
      </c>
      <c r="AT52" s="203"/>
      <c r="AU52" s="203"/>
      <c r="AV52" s="203" t="s">
        <v>149</v>
      </c>
      <c r="AW52" s="203" t="s">
        <v>149</v>
      </c>
      <c r="AX52" s="203" t="s">
        <v>149</v>
      </c>
      <c r="AY52" s="203"/>
      <c r="AZ52" s="203" t="s">
        <v>149</v>
      </c>
      <c r="BA52" s="203" t="s">
        <v>149</v>
      </c>
      <c r="BB52" s="203" t="s">
        <v>149</v>
      </c>
      <c r="BC52" s="252"/>
      <c r="BD52" s="252"/>
      <c r="BE52" s="252"/>
      <c r="BF52" s="252"/>
      <c r="BG52" s="252"/>
      <c r="BH52" s="252"/>
      <c r="BI52" s="252"/>
      <c r="BJ52" s="252"/>
      <c r="BK52" s="252"/>
    </row>
    <row r="53" spans="1:63" ht="409.5">
      <c r="A53" s="124">
        <v>45313</v>
      </c>
      <c r="B53" s="125" t="s">
        <v>34</v>
      </c>
      <c r="C53" s="125" t="s">
        <v>328</v>
      </c>
      <c r="D53" s="125" t="s">
        <v>329</v>
      </c>
      <c r="E53" s="125" t="s">
        <v>330</v>
      </c>
      <c r="F53" s="126" t="s">
        <v>331</v>
      </c>
      <c r="G53" s="209" t="s">
        <v>302</v>
      </c>
      <c r="H53" s="212"/>
      <c r="I53" s="210" t="s">
        <v>149</v>
      </c>
      <c r="J53" s="203" t="s">
        <v>149</v>
      </c>
      <c r="K53" s="203"/>
      <c r="L53" s="203" t="s">
        <v>149</v>
      </c>
      <c r="M53" s="203" t="s">
        <v>149</v>
      </c>
      <c r="N53" s="203"/>
      <c r="O53" s="203"/>
      <c r="P53" s="203"/>
      <c r="Q53" s="203"/>
      <c r="R53" s="203"/>
      <c r="S53" s="203"/>
      <c r="T53" s="203"/>
      <c r="U53" s="203"/>
      <c r="V53" s="203"/>
      <c r="W53" s="203"/>
      <c r="X53" s="203"/>
      <c r="Y53" s="203" t="s">
        <v>149</v>
      </c>
      <c r="Z53" s="203" t="s">
        <v>149</v>
      </c>
      <c r="AA53" s="203" t="s">
        <v>149</v>
      </c>
      <c r="AB53" s="203" t="s">
        <v>149</v>
      </c>
      <c r="AC53" s="203" t="s">
        <v>149</v>
      </c>
      <c r="AD53" s="203" t="s">
        <v>149</v>
      </c>
      <c r="AE53" s="203" t="s">
        <v>149</v>
      </c>
      <c r="AF53" s="203" t="s">
        <v>149</v>
      </c>
      <c r="AG53" s="203" t="s">
        <v>149</v>
      </c>
      <c r="AH53" s="203" t="s">
        <v>149</v>
      </c>
      <c r="AI53" s="203" t="s">
        <v>149</v>
      </c>
      <c r="AJ53" s="203" t="s">
        <v>149</v>
      </c>
      <c r="AK53" s="203" t="s">
        <v>149</v>
      </c>
      <c r="AL53" s="203" t="s">
        <v>149</v>
      </c>
      <c r="AM53" s="203" t="s">
        <v>149</v>
      </c>
      <c r="AN53" s="203" t="s">
        <v>149</v>
      </c>
      <c r="AO53" s="203" t="s">
        <v>149</v>
      </c>
      <c r="AP53" s="203"/>
      <c r="AQ53" s="203" t="s">
        <v>149</v>
      </c>
      <c r="AR53" s="203" t="s">
        <v>149</v>
      </c>
      <c r="AS53" s="203" t="s">
        <v>149</v>
      </c>
      <c r="AT53" s="203"/>
      <c r="AU53" s="203"/>
      <c r="AV53" s="203" t="s">
        <v>149</v>
      </c>
      <c r="AW53" s="203" t="s">
        <v>149</v>
      </c>
      <c r="AX53" s="203" t="s">
        <v>149</v>
      </c>
      <c r="AY53" s="203"/>
      <c r="AZ53" s="203" t="s">
        <v>149</v>
      </c>
      <c r="BA53" s="203" t="s">
        <v>149</v>
      </c>
      <c r="BB53" s="203" t="s">
        <v>149</v>
      </c>
      <c r="BC53" s="252"/>
      <c r="BD53" s="252"/>
      <c r="BE53" s="252"/>
      <c r="BF53" s="252"/>
      <c r="BG53" s="252"/>
      <c r="BH53" s="252"/>
      <c r="BI53" s="252"/>
      <c r="BJ53" s="252"/>
      <c r="BK53" s="252"/>
    </row>
    <row r="54" spans="1:63" ht="409.5">
      <c r="A54" s="124">
        <v>45317</v>
      </c>
      <c r="B54" s="125" t="s">
        <v>34</v>
      </c>
      <c r="C54" s="125" t="s">
        <v>332</v>
      </c>
      <c r="D54" s="125" t="s">
        <v>333</v>
      </c>
      <c r="E54" s="125" t="s">
        <v>334</v>
      </c>
      <c r="F54" s="126" t="s">
        <v>335</v>
      </c>
      <c r="G54" s="209" t="s">
        <v>307</v>
      </c>
      <c r="H54" s="212"/>
      <c r="I54" s="210" t="s">
        <v>149</v>
      </c>
      <c r="J54" s="203" t="s">
        <v>149</v>
      </c>
      <c r="K54" s="203"/>
      <c r="L54" s="203" t="s">
        <v>149</v>
      </c>
      <c r="M54" s="203" t="s">
        <v>149</v>
      </c>
      <c r="N54" s="203"/>
      <c r="O54" s="203"/>
      <c r="P54" s="203"/>
      <c r="Q54" s="203"/>
      <c r="R54" s="203"/>
      <c r="S54" s="203"/>
      <c r="T54" s="203"/>
      <c r="U54" s="203"/>
      <c r="V54" s="203"/>
      <c r="W54" s="203"/>
      <c r="X54" s="203"/>
      <c r="Y54" s="203" t="s">
        <v>149</v>
      </c>
      <c r="Z54" s="203" t="s">
        <v>149</v>
      </c>
      <c r="AA54" s="203" t="s">
        <v>149</v>
      </c>
      <c r="AB54" s="203" t="s">
        <v>149</v>
      </c>
      <c r="AC54" s="203" t="s">
        <v>149</v>
      </c>
      <c r="AD54" s="203" t="s">
        <v>149</v>
      </c>
      <c r="AE54" s="203" t="s">
        <v>149</v>
      </c>
      <c r="AF54" s="203" t="s">
        <v>149</v>
      </c>
      <c r="AG54" s="203" t="s">
        <v>149</v>
      </c>
      <c r="AH54" s="203" t="s">
        <v>149</v>
      </c>
      <c r="AI54" s="203" t="s">
        <v>149</v>
      </c>
      <c r="AJ54" s="203" t="s">
        <v>149</v>
      </c>
      <c r="AK54" s="203" t="s">
        <v>149</v>
      </c>
      <c r="AL54" s="203" t="s">
        <v>149</v>
      </c>
      <c r="AM54" s="203" t="s">
        <v>149</v>
      </c>
      <c r="AN54" s="203" t="s">
        <v>149</v>
      </c>
      <c r="AO54" s="203" t="s">
        <v>149</v>
      </c>
      <c r="AP54" s="203"/>
      <c r="AQ54" s="203" t="s">
        <v>149</v>
      </c>
      <c r="AR54" s="203" t="s">
        <v>149</v>
      </c>
      <c r="AS54" s="203" t="s">
        <v>149</v>
      </c>
      <c r="AT54" s="203"/>
      <c r="AU54" s="203"/>
      <c r="AV54" s="203" t="s">
        <v>149</v>
      </c>
      <c r="AW54" s="203" t="s">
        <v>149</v>
      </c>
      <c r="AX54" s="203" t="s">
        <v>149</v>
      </c>
      <c r="AY54" s="203"/>
      <c r="AZ54" s="203" t="s">
        <v>149</v>
      </c>
      <c r="BA54" s="203" t="s">
        <v>149</v>
      </c>
      <c r="BB54" s="203"/>
      <c r="BC54" s="252"/>
      <c r="BD54" s="252"/>
      <c r="BE54" s="252"/>
      <c r="BF54" s="252"/>
      <c r="BG54" s="252"/>
      <c r="BH54" s="252"/>
      <c r="BI54" s="252"/>
      <c r="BJ54" s="252"/>
      <c r="BK54" s="252"/>
    </row>
    <row r="55" spans="1:63" ht="390">
      <c r="A55" s="124">
        <v>45317</v>
      </c>
      <c r="B55" s="125" t="s">
        <v>34</v>
      </c>
      <c r="C55" s="125" t="s">
        <v>328</v>
      </c>
      <c r="D55" s="125" t="s">
        <v>336</v>
      </c>
      <c r="E55" s="125" t="s">
        <v>337</v>
      </c>
      <c r="F55" s="126" t="s">
        <v>338</v>
      </c>
      <c r="G55" s="209" t="s">
        <v>302</v>
      </c>
      <c r="H55" s="212"/>
      <c r="I55" s="210" t="s">
        <v>149</v>
      </c>
      <c r="J55" s="203" t="s">
        <v>149</v>
      </c>
      <c r="K55" s="203"/>
      <c r="L55" s="203" t="s">
        <v>149</v>
      </c>
      <c r="M55" s="203" t="s">
        <v>149</v>
      </c>
      <c r="N55" s="203"/>
      <c r="O55" s="203"/>
      <c r="P55" s="203"/>
      <c r="Q55" s="203"/>
      <c r="R55" s="203"/>
      <c r="S55" s="203"/>
      <c r="T55" s="203"/>
      <c r="U55" s="203"/>
      <c r="V55" s="203"/>
      <c r="W55" s="203"/>
      <c r="X55" s="203"/>
      <c r="Y55" s="203" t="s">
        <v>149</v>
      </c>
      <c r="Z55" s="203" t="s">
        <v>149</v>
      </c>
      <c r="AA55" s="203" t="s">
        <v>149</v>
      </c>
      <c r="AB55" s="203" t="s">
        <v>149</v>
      </c>
      <c r="AC55" s="203" t="s">
        <v>149</v>
      </c>
      <c r="AD55" s="203" t="s">
        <v>149</v>
      </c>
      <c r="AE55" s="203" t="s">
        <v>149</v>
      </c>
      <c r="AF55" s="203" t="s">
        <v>149</v>
      </c>
      <c r="AG55" s="203" t="s">
        <v>149</v>
      </c>
      <c r="AH55" s="203" t="s">
        <v>149</v>
      </c>
      <c r="AI55" s="203" t="s">
        <v>149</v>
      </c>
      <c r="AJ55" s="203" t="s">
        <v>149</v>
      </c>
      <c r="AK55" s="203" t="s">
        <v>149</v>
      </c>
      <c r="AL55" s="203" t="s">
        <v>149</v>
      </c>
      <c r="AM55" s="203" t="s">
        <v>149</v>
      </c>
      <c r="AN55" s="203" t="s">
        <v>149</v>
      </c>
      <c r="AO55" s="203" t="s">
        <v>149</v>
      </c>
      <c r="AP55" s="203"/>
      <c r="AQ55" s="203" t="s">
        <v>149</v>
      </c>
      <c r="AR55" s="203" t="s">
        <v>149</v>
      </c>
      <c r="AS55" s="203" t="s">
        <v>149</v>
      </c>
      <c r="AT55" s="203"/>
      <c r="AU55" s="203"/>
      <c r="AV55" s="203" t="s">
        <v>149</v>
      </c>
      <c r="AW55" s="203" t="s">
        <v>149</v>
      </c>
      <c r="AX55" s="203" t="s">
        <v>149</v>
      </c>
      <c r="AY55" s="203"/>
      <c r="AZ55" s="203" t="s">
        <v>149</v>
      </c>
      <c r="BA55" s="203" t="s">
        <v>149</v>
      </c>
      <c r="BB55" s="203" t="s">
        <v>149</v>
      </c>
      <c r="BC55" s="252"/>
      <c r="BD55" s="252"/>
      <c r="BE55" s="252"/>
      <c r="BF55" s="252"/>
      <c r="BG55" s="252"/>
      <c r="BH55" s="252"/>
      <c r="BI55" s="252"/>
      <c r="BJ55" s="252"/>
      <c r="BK55" s="252"/>
    </row>
    <row r="56" spans="1:63" ht="409.5">
      <c r="A56" s="124">
        <v>45324</v>
      </c>
      <c r="B56" s="125" t="s">
        <v>34</v>
      </c>
      <c r="C56" s="298" t="s">
        <v>339</v>
      </c>
      <c r="D56" s="125" t="s">
        <v>340</v>
      </c>
      <c r="E56" s="125" t="s">
        <v>341</v>
      </c>
      <c r="F56" s="126" t="s">
        <v>342</v>
      </c>
      <c r="G56" s="209" t="s">
        <v>307</v>
      </c>
      <c r="H56" s="212"/>
      <c r="I56" s="210" t="s">
        <v>149</v>
      </c>
      <c r="J56" s="203" t="s">
        <v>149</v>
      </c>
      <c r="K56" s="203"/>
      <c r="L56" s="203" t="s">
        <v>149</v>
      </c>
      <c r="M56" s="203" t="s">
        <v>149</v>
      </c>
      <c r="N56" s="203"/>
      <c r="O56" s="203"/>
      <c r="P56" s="203"/>
      <c r="Q56" s="203"/>
      <c r="R56" s="203"/>
      <c r="S56" s="203"/>
      <c r="T56" s="203"/>
      <c r="U56" s="203"/>
      <c r="V56" s="203"/>
      <c r="W56" s="203"/>
      <c r="X56" s="203"/>
      <c r="Y56" s="203" t="s">
        <v>149</v>
      </c>
      <c r="Z56" s="203" t="s">
        <v>149</v>
      </c>
      <c r="AA56" s="203" t="s">
        <v>149</v>
      </c>
      <c r="AB56" s="203" t="s">
        <v>149</v>
      </c>
      <c r="AC56" s="203" t="s">
        <v>149</v>
      </c>
      <c r="AD56" s="203" t="s">
        <v>149</v>
      </c>
      <c r="AE56" s="203" t="s">
        <v>149</v>
      </c>
      <c r="AF56" s="203" t="s">
        <v>149</v>
      </c>
      <c r="AG56" s="203" t="s">
        <v>149</v>
      </c>
      <c r="AH56" s="203" t="s">
        <v>149</v>
      </c>
      <c r="AI56" s="203" t="s">
        <v>149</v>
      </c>
      <c r="AJ56" s="203" t="s">
        <v>149</v>
      </c>
      <c r="AK56" s="203" t="s">
        <v>149</v>
      </c>
      <c r="AL56" s="203" t="s">
        <v>149</v>
      </c>
      <c r="AM56" s="203" t="s">
        <v>149</v>
      </c>
      <c r="AN56" s="203" t="s">
        <v>149</v>
      </c>
      <c r="AO56" s="203" t="s">
        <v>149</v>
      </c>
      <c r="AP56" s="203"/>
      <c r="AQ56" s="203" t="s">
        <v>149</v>
      </c>
      <c r="AR56" s="203" t="s">
        <v>149</v>
      </c>
      <c r="AS56" s="203" t="s">
        <v>149</v>
      </c>
      <c r="AT56" s="203"/>
      <c r="AU56" s="203"/>
      <c r="AV56" s="203" t="s">
        <v>149</v>
      </c>
      <c r="AW56" s="203" t="s">
        <v>149</v>
      </c>
      <c r="AX56" s="203" t="s">
        <v>149</v>
      </c>
      <c r="AY56" s="203"/>
      <c r="AZ56" s="203" t="s">
        <v>149</v>
      </c>
      <c r="BA56" s="203" t="s">
        <v>149</v>
      </c>
      <c r="BB56" s="203"/>
      <c r="BC56" s="252"/>
      <c r="BD56" s="252"/>
      <c r="BE56" s="252"/>
      <c r="BF56" s="252"/>
      <c r="BG56" s="252"/>
      <c r="BH56" s="252"/>
      <c r="BI56" s="252"/>
      <c r="BJ56" s="252"/>
      <c r="BK56" s="252"/>
    </row>
    <row r="57" spans="1:63" ht="180">
      <c r="A57" s="124">
        <v>45344</v>
      </c>
      <c r="B57" s="125" t="s">
        <v>34</v>
      </c>
      <c r="C57" s="298" t="s">
        <v>343</v>
      </c>
      <c r="D57" s="125" t="s">
        <v>344</v>
      </c>
      <c r="E57" s="125" t="s">
        <v>345</v>
      </c>
      <c r="F57" s="126" t="s">
        <v>346</v>
      </c>
      <c r="G57" s="209" t="s">
        <v>347</v>
      </c>
      <c r="H57" s="212"/>
      <c r="I57" s="210" t="s">
        <v>149</v>
      </c>
      <c r="J57" s="203" t="s">
        <v>149</v>
      </c>
      <c r="K57" s="203"/>
      <c r="L57" s="203" t="s">
        <v>149</v>
      </c>
      <c r="M57" s="203" t="s">
        <v>149</v>
      </c>
      <c r="N57" s="203"/>
      <c r="O57" s="203"/>
      <c r="P57" s="203"/>
      <c r="Q57" s="203"/>
      <c r="R57" s="203"/>
      <c r="S57" s="203"/>
      <c r="T57" s="203"/>
      <c r="U57" s="203"/>
      <c r="V57" s="203"/>
      <c r="W57" s="203"/>
      <c r="X57" s="203"/>
      <c r="Y57" s="203" t="s">
        <v>149</v>
      </c>
      <c r="Z57" s="203" t="s">
        <v>149</v>
      </c>
      <c r="AA57" s="203" t="s">
        <v>149</v>
      </c>
      <c r="AB57" s="203" t="s">
        <v>149</v>
      </c>
      <c r="AC57" s="203" t="s">
        <v>149</v>
      </c>
      <c r="AD57" s="203" t="s">
        <v>149</v>
      </c>
      <c r="AE57" s="203" t="s">
        <v>149</v>
      </c>
      <c r="AF57" s="203" t="s">
        <v>149</v>
      </c>
      <c r="AG57" s="203" t="s">
        <v>149</v>
      </c>
      <c r="AH57" s="203" t="s">
        <v>149</v>
      </c>
      <c r="AI57" s="203" t="s">
        <v>149</v>
      </c>
      <c r="AJ57" s="203" t="s">
        <v>149</v>
      </c>
      <c r="AK57" s="203" t="s">
        <v>149</v>
      </c>
      <c r="AL57" s="203" t="s">
        <v>149</v>
      </c>
      <c r="AM57" s="203" t="s">
        <v>149</v>
      </c>
      <c r="AN57" s="203" t="s">
        <v>149</v>
      </c>
      <c r="AO57" s="203" t="s">
        <v>149</v>
      </c>
      <c r="AP57" s="203"/>
      <c r="AQ57" s="203" t="s">
        <v>149</v>
      </c>
      <c r="AR57" s="203" t="s">
        <v>149</v>
      </c>
      <c r="AS57" s="203" t="s">
        <v>149</v>
      </c>
      <c r="AT57" s="203"/>
      <c r="AU57" s="203"/>
      <c r="AV57" s="203" t="s">
        <v>149</v>
      </c>
      <c r="AW57" s="203" t="s">
        <v>149</v>
      </c>
      <c r="AX57" s="203" t="s">
        <v>149</v>
      </c>
      <c r="AY57" s="203"/>
      <c r="AZ57" s="203" t="s">
        <v>149</v>
      </c>
      <c r="BA57" s="203" t="s">
        <v>149</v>
      </c>
      <c r="BB57" s="203" t="s">
        <v>149</v>
      </c>
      <c r="BC57" s="252"/>
      <c r="BD57" s="252"/>
      <c r="BE57" s="252"/>
      <c r="BF57" s="252"/>
      <c r="BG57" s="252"/>
      <c r="BH57" s="252"/>
      <c r="BI57" s="252"/>
      <c r="BJ57" s="252"/>
      <c r="BK57" s="252"/>
    </row>
    <row r="58" spans="1:63" ht="409.5">
      <c r="A58" s="124">
        <v>45366</v>
      </c>
      <c r="B58" s="125" t="s">
        <v>34</v>
      </c>
      <c r="C58" s="298" t="s">
        <v>348</v>
      </c>
      <c r="D58" s="125" t="s">
        <v>349</v>
      </c>
      <c r="E58" s="125" t="s">
        <v>350</v>
      </c>
      <c r="F58" s="126" t="s">
        <v>351</v>
      </c>
      <c r="G58" s="209" t="s">
        <v>347</v>
      </c>
      <c r="H58" s="212"/>
      <c r="I58" s="210" t="s">
        <v>149</v>
      </c>
      <c r="J58" s="203" t="s">
        <v>149</v>
      </c>
      <c r="K58" s="203"/>
      <c r="L58" s="203" t="s">
        <v>149</v>
      </c>
      <c r="M58" s="203" t="s">
        <v>149</v>
      </c>
      <c r="N58" s="203"/>
      <c r="O58" s="203"/>
      <c r="P58" s="203"/>
      <c r="Q58" s="203"/>
      <c r="R58" s="203"/>
      <c r="S58" s="203"/>
      <c r="T58" s="203"/>
      <c r="U58" s="203"/>
      <c r="V58" s="203"/>
      <c r="W58" s="203"/>
      <c r="X58" s="203"/>
      <c r="Y58" s="203" t="s">
        <v>149</v>
      </c>
      <c r="Z58" s="203" t="s">
        <v>149</v>
      </c>
      <c r="AA58" s="203" t="s">
        <v>149</v>
      </c>
      <c r="AB58" s="203" t="s">
        <v>149</v>
      </c>
      <c r="AC58" s="203" t="s">
        <v>149</v>
      </c>
      <c r="AD58" s="203" t="s">
        <v>149</v>
      </c>
      <c r="AE58" s="203" t="s">
        <v>149</v>
      </c>
      <c r="AF58" s="203" t="s">
        <v>149</v>
      </c>
      <c r="AG58" s="203" t="s">
        <v>149</v>
      </c>
      <c r="AH58" s="203" t="s">
        <v>149</v>
      </c>
      <c r="AI58" s="203" t="s">
        <v>149</v>
      </c>
      <c r="AJ58" s="203" t="s">
        <v>149</v>
      </c>
      <c r="AK58" s="203" t="s">
        <v>149</v>
      </c>
      <c r="AL58" s="203" t="s">
        <v>149</v>
      </c>
      <c r="AM58" s="203" t="s">
        <v>149</v>
      </c>
      <c r="AN58" s="203" t="s">
        <v>149</v>
      </c>
      <c r="AO58" s="203" t="s">
        <v>149</v>
      </c>
      <c r="AP58" s="203"/>
      <c r="AQ58" s="203" t="s">
        <v>149</v>
      </c>
      <c r="AR58" s="203" t="s">
        <v>149</v>
      </c>
      <c r="AS58" s="203" t="s">
        <v>149</v>
      </c>
      <c r="AT58" s="203"/>
      <c r="AU58" s="203"/>
      <c r="AV58" s="203" t="s">
        <v>149</v>
      </c>
      <c r="AW58" s="203" t="s">
        <v>149</v>
      </c>
      <c r="AX58" s="203" t="s">
        <v>149</v>
      </c>
      <c r="AY58" s="203"/>
      <c r="AZ58" s="203" t="s">
        <v>149</v>
      </c>
      <c r="BA58" s="203" t="s">
        <v>149</v>
      </c>
      <c r="BB58" s="203" t="s">
        <v>149</v>
      </c>
      <c r="BC58" s="252"/>
      <c r="BD58" s="252"/>
      <c r="BE58" s="252"/>
      <c r="BF58" s="252"/>
      <c r="BG58" s="252"/>
      <c r="BH58" s="252"/>
      <c r="BI58" s="252"/>
      <c r="BJ58" s="252"/>
      <c r="BK58" s="252"/>
    </row>
    <row r="59" spans="1:63" ht="165">
      <c r="A59" s="124">
        <v>45373</v>
      </c>
      <c r="B59" s="125" t="s">
        <v>34</v>
      </c>
      <c r="C59" s="298" t="s">
        <v>352</v>
      </c>
      <c r="D59" s="125" t="s">
        <v>353</v>
      </c>
      <c r="E59" s="125" t="s">
        <v>354</v>
      </c>
      <c r="F59" s="126" t="s">
        <v>355</v>
      </c>
      <c r="G59" s="209" t="s">
        <v>356</v>
      </c>
      <c r="H59" s="212"/>
      <c r="I59" s="210" t="s">
        <v>149</v>
      </c>
      <c r="J59" s="203" t="s">
        <v>149</v>
      </c>
      <c r="K59" s="203"/>
      <c r="L59" s="203" t="s">
        <v>149</v>
      </c>
      <c r="M59" s="203" t="s">
        <v>149</v>
      </c>
      <c r="N59" s="203"/>
      <c r="O59" s="203"/>
      <c r="P59" s="203"/>
      <c r="Q59" s="203"/>
      <c r="R59" s="203"/>
      <c r="S59" s="203"/>
      <c r="T59" s="203"/>
      <c r="U59" s="203"/>
      <c r="V59" s="203"/>
      <c r="W59" s="203"/>
      <c r="X59" s="203"/>
      <c r="Y59" s="203" t="s">
        <v>149</v>
      </c>
      <c r="Z59" s="203" t="s">
        <v>149</v>
      </c>
      <c r="AA59" s="203" t="s">
        <v>149</v>
      </c>
      <c r="AB59" s="203" t="s">
        <v>149</v>
      </c>
      <c r="AC59" s="203" t="s">
        <v>149</v>
      </c>
      <c r="AD59" s="203" t="s">
        <v>149</v>
      </c>
      <c r="AE59" s="203" t="s">
        <v>149</v>
      </c>
      <c r="AF59" s="203" t="s">
        <v>149</v>
      </c>
      <c r="AG59" s="203" t="s">
        <v>149</v>
      </c>
      <c r="AH59" s="203" t="s">
        <v>149</v>
      </c>
      <c r="AI59" s="203" t="s">
        <v>149</v>
      </c>
      <c r="AJ59" s="203" t="s">
        <v>149</v>
      </c>
      <c r="AK59" s="203" t="s">
        <v>149</v>
      </c>
      <c r="AL59" s="203" t="s">
        <v>149</v>
      </c>
      <c r="AM59" s="203" t="s">
        <v>149</v>
      </c>
      <c r="AN59" s="203" t="s">
        <v>149</v>
      </c>
      <c r="AO59" s="203" t="s">
        <v>149</v>
      </c>
      <c r="AP59" s="203"/>
      <c r="AQ59" s="203" t="s">
        <v>149</v>
      </c>
      <c r="AR59" s="203" t="s">
        <v>149</v>
      </c>
      <c r="AS59" s="203" t="s">
        <v>149</v>
      </c>
      <c r="AT59" s="203"/>
      <c r="AU59" s="203"/>
      <c r="AV59" s="203" t="s">
        <v>149</v>
      </c>
      <c r="AW59" s="203" t="s">
        <v>149</v>
      </c>
      <c r="AX59" s="203" t="s">
        <v>149</v>
      </c>
      <c r="AY59" s="203"/>
      <c r="AZ59" s="203" t="s">
        <v>149</v>
      </c>
      <c r="BA59" s="203" t="s">
        <v>149</v>
      </c>
      <c r="BB59" s="203" t="s">
        <v>149</v>
      </c>
      <c r="BC59" s="252"/>
      <c r="BD59" s="252"/>
      <c r="BE59" s="252"/>
      <c r="BF59" s="252"/>
      <c r="BG59" s="252"/>
      <c r="BH59" s="252"/>
      <c r="BI59" s="252"/>
      <c r="BJ59" s="252"/>
      <c r="BK59" s="252"/>
    </row>
    <row r="60" spans="1:63" ht="409.5">
      <c r="A60" s="124">
        <v>45373</v>
      </c>
      <c r="B60" s="125" t="s">
        <v>34</v>
      </c>
      <c r="C60" s="298" t="s">
        <v>357</v>
      </c>
      <c r="D60" s="125" t="s">
        <v>358</v>
      </c>
      <c r="E60" s="125" t="s">
        <v>359</v>
      </c>
      <c r="F60" s="126" t="s">
        <v>360</v>
      </c>
      <c r="G60" s="209" t="s">
        <v>361</v>
      </c>
      <c r="H60" s="212"/>
      <c r="I60" s="210" t="s">
        <v>149</v>
      </c>
      <c r="J60" s="203" t="s">
        <v>149</v>
      </c>
      <c r="K60" s="203"/>
      <c r="L60" s="203" t="s">
        <v>149</v>
      </c>
      <c r="M60" s="203" t="s">
        <v>149</v>
      </c>
      <c r="N60" s="203"/>
      <c r="O60" s="203"/>
      <c r="P60" s="203"/>
      <c r="Q60" s="203"/>
      <c r="R60" s="203"/>
      <c r="S60" s="203"/>
      <c r="T60" s="203"/>
      <c r="U60" s="203"/>
      <c r="V60" s="203"/>
      <c r="W60" s="203"/>
      <c r="X60" s="203"/>
      <c r="Y60" s="203" t="s">
        <v>149</v>
      </c>
      <c r="Z60" s="203" t="s">
        <v>149</v>
      </c>
      <c r="AA60" s="203" t="s">
        <v>149</v>
      </c>
      <c r="AB60" s="203" t="s">
        <v>149</v>
      </c>
      <c r="AC60" s="203" t="s">
        <v>149</v>
      </c>
      <c r="AD60" s="203" t="s">
        <v>149</v>
      </c>
      <c r="AE60" s="203" t="s">
        <v>149</v>
      </c>
      <c r="AF60" s="203" t="s">
        <v>149</v>
      </c>
      <c r="AG60" s="203" t="s">
        <v>149</v>
      </c>
      <c r="AH60" s="203" t="s">
        <v>149</v>
      </c>
      <c r="AI60" s="203" t="s">
        <v>149</v>
      </c>
      <c r="AJ60" s="203" t="s">
        <v>149</v>
      </c>
      <c r="AK60" s="203" t="s">
        <v>149</v>
      </c>
      <c r="AL60" s="203" t="s">
        <v>149</v>
      </c>
      <c r="AM60" s="203" t="s">
        <v>149</v>
      </c>
      <c r="AN60" s="203" t="s">
        <v>149</v>
      </c>
      <c r="AO60" s="203" t="s">
        <v>149</v>
      </c>
      <c r="AP60" s="203"/>
      <c r="AQ60" s="203" t="s">
        <v>149</v>
      </c>
      <c r="AR60" s="203" t="s">
        <v>149</v>
      </c>
      <c r="AS60" s="203" t="s">
        <v>149</v>
      </c>
      <c r="AT60" s="203"/>
      <c r="AU60" s="203"/>
      <c r="AV60" s="203" t="s">
        <v>149</v>
      </c>
      <c r="AW60" s="203" t="s">
        <v>149</v>
      </c>
      <c r="AX60" s="203" t="s">
        <v>149</v>
      </c>
      <c r="AY60" s="203"/>
      <c r="AZ60" s="203" t="s">
        <v>149</v>
      </c>
      <c r="BA60" s="203" t="s">
        <v>149</v>
      </c>
      <c r="BB60" s="203" t="s">
        <v>149</v>
      </c>
      <c r="BC60" s="203" t="s">
        <v>149</v>
      </c>
      <c r="BD60" s="203" t="s">
        <v>149</v>
      </c>
      <c r="BE60" s="203" t="s">
        <v>149</v>
      </c>
      <c r="BF60" s="252"/>
      <c r="BG60" s="252"/>
      <c r="BH60" s="252"/>
      <c r="BI60" s="252"/>
      <c r="BJ60" s="252"/>
      <c r="BK60" s="252"/>
    </row>
    <row r="61" spans="1:63" ht="165">
      <c r="A61" s="124">
        <v>45380</v>
      </c>
      <c r="B61" s="125" t="s">
        <v>34</v>
      </c>
      <c r="C61" s="298" t="s">
        <v>362</v>
      </c>
      <c r="D61" s="125" t="s">
        <v>363</v>
      </c>
      <c r="E61" s="125" t="s">
        <v>364</v>
      </c>
      <c r="F61" s="126" t="s">
        <v>365</v>
      </c>
      <c r="G61" s="209" t="s">
        <v>356</v>
      </c>
      <c r="H61" s="212"/>
      <c r="I61" s="210" t="s">
        <v>149</v>
      </c>
      <c r="J61" s="203" t="s">
        <v>149</v>
      </c>
      <c r="K61" s="203"/>
      <c r="L61" s="203" t="s">
        <v>149</v>
      </c>
      <c r="M61" s="203" t="s">
        <v>149</v>
      </c>
      <c r="N61" s="203"/>
      <c r="O61" s="203"/>
      <c r="P61" s="203"/>
      <c r="Q61" s="203"/>
      <c r="R61" s="203"/>
      <c r="S61" s="203"/>
      <c r="T61" s="203"/>
      <c r="U61" s="203"/>
      <c r="V61" s="203"/>
      <c r="W61" s="203"/>
      <c r="X61" s="203"/>
      <c r="Y61" s="203" t="s">
        <v>149</v>
      </c>
      <c r="Z61" s="203" t="s">
        <v>149</v>
      </c>
      <c r="AA61" s="203" t="s">
        <v>149</v>
      </c>
      <c r="AB61" s="203" t="s">
        <v>149</v>
      </c>
      <c r="AC61" s="203" t="s">
        <v>149</v>
      </c>
      <c r="AD61" s="203" t="s">
        <v>149</v>
      </c>
      <c r="AE61" s="203" t="s">
        <v>149</v>
      </c>
      <c r="AF61" s="203" t="s">
        <v>149</v>
      </c>
      <c r="AG61" s="203" t="s">
        <v>149</v>
      </c>
      <c r="AH61" s="203" t="s">
        <v>149</v>
      </c>
      <c r="AI61" s="203" t="s">
        <v>149</v>
      </c>
      <c r="AJ61" s="203" t="s">
        <v>149</v>
      </c>
      <c r="AK61" s="203" t="s">
        <v>149</v>
      </c>
      <c r="AL61" s="203" t="s">
        <v>149</v>
      </c>
      <c r="AM61" s="203" t="s">
        <v>149</v>
      </c>
      <c r="AN61" s="203" t="s">
        <v>149</v>
      </c>
      <c r="AO61" s="203" t="s">
        <v>149</v>
      </c>
      <c r="AP61" s="203"/>
      <c r="AQ61" s="203" t="s">
        <v>149</v>
      </c>
      <c r="AR61" s="203" t="s">
        <v>149</v>
      </c>
      <c r="AS61" s="203" t="s">
        <v>149</v>
      </c>
      <c r="AT61" s="203"/>
      <c r="AU61" s="203"/>
      <c r="AV61" s="203" t="s">
        <v>149</v>
      </c>
      <c r="AW61" s="203" t="s">
        <v>149</v>
      </c>
      <c r="AX61" s="203" t="s">
        <v>149</v>
      </c>
      <c r="AY61" s="203"/>
      <c r="AZ61" s="203" t="s">
        <v>149</v>
      </c>
      <c r="BA61" s="203" t="s">
        <v>149</v>
      </c>
      <c r="BB61" s="203" t="s">
        <v>149</v>
      </c>
      <c r="BC61" s="252"/>
      <c r="BD61" s="252"/>
      <c r="BE61" s="252"/>
      <c r="BF61" s="252"/>
      <c r="BG61" s="252"/>
      <c r="BH61" s="252"/>
      <c r="BI61" s="252"/>
      <c r="BJ61" s="252"/>
      <c r="BK61" s="252"/>
    </row>
    <row r="62" spans="1:63" ht="409.5">
      <c r="A62" s="124">
        <v>45380</v>
      </c>
      <c r="B62" s="125" t="s">
        <v>34</v>
      </c>
      <c r="C62" s="298" t="s">
        <v>357</v>
      </c>
      <c r="D62" s="125" t="s">
        <v>366</v>
      </c>
      <c r="E62" s="125" t="s">
        <v>367</v>
      </c>
      <c r="F62" s="126" t="s">
        <v>368</v>
      </c>
      <c r="G62" s="209" t="s">
        <v>361</v>
      </c>
      <c r="H62" s="212"/>
      <c r="I62" s="210" t="s">
        <v>149</v>
      </c>
      <c r="J62" s="203" t="s">
        <v>149</v>
      </c>
      <c r="K62" s="203"/>
      <c r="L62" s="203" t="s">
        <v>149</v>
      </c>
      <c r="M62" s="203" t="s">
        <v>149</v>
      </c>
      <c r="N62" s="203"/>
      <c r="O62" s="203"/>
      <c r="P62" s="203"/>
      <c r="Q62" s="203"/>
      <c r="R62" s="203"/>
      <c r="S62" s="203"/>
      <c r="T62" s="203"/>
      <c r="U62" s="203"/>
      <c r="V62" s="203"/>
      <c r="W62" s="203"/>
      <c r="X62" s="203"/>
      <c r="Y62" s="203" t="s">
        <v>149</v>
      </c>
      <c r="Z62" s="203" t="s">
        <v>149</v>
      </c>
      <c r="AA62" s="203" t="s">
        <v>149</v>
      </c>
      <c r="AB62" s="203" t="s">
        <v>149</v>
      </c>
      <c r="AC62" s="203" t="s">
        <v>149</v>
      </c>
      <c r="AD62" s="203" t="s">
        <v>149</v>
      </c>
      <c r="AE62" s="203" t="s">
        <v>149</v>
      </c>
      <c r="AF62" s="203" t="s">
        <v>149</v>
      </c>
      <c r="AG62" s="203" t="s">
        <v>149</v>
      </c>
      <c r="AH62" s="203" t="s">
        <v>149</v>
      </c>
      <c r="AI62" s="203" t="s">
        <v>149</v>
      </c>
      <c r="AJ62" s="203" t="s">
        <v>149</v>
      </c>
      <c r="AK62" s="203" t="s">
        <v>149</v>
      </c>
      <c r="AL62" s="203" t="s">
        <v>149</v>
      </c>
      <c r="AM62" s="203" t="s">
        <v>149</v>
      </c>
      <c r="AN62" s="203" t="s">
        <v>149</v>
      </c>
      <c r="AO62" s="203" t="s">
        <v>149</v>
      </c>
      <c r="AP62" s="203"/>
      <c r="AQ62" s="203" t="s">
        <v>149</v>
      </c>
      <c r="AR62" s="203" t="s">
        <v>149</v>
      </c>
      <c r="AS62" s="203" t="s">
        <v>149</v>
      </c>
      <c r="AT62" s="203"/>
      <c r="AU62" s="203"/>
      <c r="AV62" s="203" t="s">
        <v>149</v>
      </c>
      <c r="AW62" s="203" t="s">
        <v>149</v>
      </c>
      <c r="AX62" s="203" t="s">
        <v>149</v>
      </c>
      <c r="AY62" s="203"/>
      <c r="AZ62" s="203" t="s">
        <v>149</v>
      </c>
      <c r="BA62" s="203" t="s">
        <v>149</v>
      </c>
      <c r="BB62" s="203" t="s">
        <v>149</v>
      </c>
      <c r="BC62" s="203" t="s">
        <v>149</v>
      </c>
      <c r="BD62" s="203" t="s">
        <v>149</v>
      </c>
      <c r="BE62" s="203" t="s">
        <v>149</v>
      </c>
      <c r="BF62" s="252"/>
      <c r="BG62" s="252"/>
      <c r="BH62" s="252"/>
      <c r="BI62" s="252"/>
      <c r="BJ62" s="252"/>
      <c r="BK62" s="252"/>
    </row>
    <row r="63" spans="1:63" ht="225">
      <c r="A63" s="124">
        <v>45394</v>
      </c>
      <c r="B63" s="125" t="s">
        <v>34</v>
      </c>
      <c r="C63" s="298" t="s">
        <v>369</v>
      </c>
      <c r="D63" s="125" t="s">
        <v>370</v>
      </c>
      <c r="E63" s="125" t="s">
        <v>371</v>
      </c>
      <c r="F63" s="126" t="s">
        <v>372</v>
      </c>
      <c r="G63" s="209" t="s">
        <v>373</v>
      </c>
      <c r="H63" s="212"/>
      <c r="I63" s="210" t="s">
        <v>149</v>
      </c>
      <c r="J63" s="203" t="s">
        <v>149</v>
      </c>
      <c r="K63" s="203"/>
      <c r="L63" s="203" t="s">
        <v>149</v>
      </c>
      <c r="M63" s="203" t="s">
        <v>149</v>
      </c>
      <c r="N63" s="203"/>
      <c r="O63" s="203"/>
      <c r="P63" s="203"/>
      <c r="Q63" s="203"/>
      <c r="R63" s="203"/>
      <c r="S63" s="203"/>
      <c r="T63" s="203"/>
      <c r="U63" s="203"/>
      <c r="V63" s="203"/>
      <c r="W63" s="203"/>
      <c r="X63" s="203"/>
      <c r="Y63" s="203" t="s">
        <v>149</v>
      </c>
      <c r="Z63" s="203" t="s">
        <v>149</v>
      </c>
      <c r="AA63" s="203" t="s">
        <v>149</v>
      </c>
      <c r="AB63" s="203" t="s">
        <v>149</v>
      </c>
      <c r="AC63" s="203" t="s">
        <v>149</v>
      </c>
      <c r="AD63" s="203" t="s">
        <v>149</v>
      </c>
      <c r="AE63" s="203" t="s">
        <v>149</v>
      </c>
      <c r="AF63" s="203" t="s">
        <v>149</v>
      </c>
      <c r="AG63" s="203" t="s">
        <v>149</v>
      </c>
      <c r="AH63" s="203" t="s">
        <v>149</v>
      </c>
      <c r="AI63" s="203" t="s">
        <v>149</v>
      </c>
      <c r="AJ63" s="203" t="s">
        <v>149</v>
      </c>
      <c r="AK63" s="203" t="s">
        <v>149</v>
      </c>
      <c r="AL63" s="203" t="s">
        <v>149</v>
      </c>
      <c r="AM63" s="203" t="s">
        <v>149</v>
      </c>
      <c r="AN63" s="203" t="s">
        <v>149</v>
      </c>
      <c r="AO63" s="203" t="s">
        <v>149</v>
      </c>
      <c r="AP63" s="203"/>
      <c r="AQ63" s="203" t="s">
        <v>149</v>
      </c>
      <c r="AR63" s="203" t="s">
        <v>149</v>
      </c>
      <c r="AS63" s="203" t="s">
        <v>149</v>
      </c>
      <c r="AT63" s="203"/>
      <c r="AU63" s="203"/>
      <c r="AV63" s="203" t="s">
        <v>149</v>
      </c>
      <c r="AW63" s="203" t="s">
        <v>149</v>
      </c>
      <c r="AX63" s="203" t="s">
        <v>149</v>
      </c>
      <c r="AY63" s="203"/>
      <c r="AZ63" s="203" t="s">
        <v>149</v>
      </c>
      <c r="BA63" s="203" t="s">
        <v>149</v>
      </c>
      <c r="BB63" s="203" t="s">
        <v>149</v>
      </c>
      <c r="BC63" s="252"/>
      <c r="BD63" s="252"/>
      <c r="BE63" s="252"/>
      <c r="BF63" s="127" t="s">
        <v>149</v>
      </c>
      <c r="BG63" s="252"/>
      <c r="BH63" s="252"/>
      <c r="BI63" s="252"/>
      <c r="BJ63" s="252"/>
      <c r="BK63" s="252"/>
    </row>
    <row r="64" spans="1:63" ht="409.5">
      <c r="A64" s="124">
        <v>45394</v>
      </c>
      <c r="B64" s="125" t="s">
        <v>34</v>
      </c>
      <c r="C64" s="298" t="s">
        <v>374</v>
      </c>
      <c r="D64" s="125" t="s">
        <v>375</v>
      </c>
      <c r="E64" s="125" t="s">
        <v>376</v>
      </c>
      <c r="F64" s="126" t="s">
        <v>377</v>
      </c>
      <c r="G64" s="209" t="s">
        <v>378</v>
      </c>
      <c r="H64" s="212"/>
      <c r="I64" s="210" t="s">
        <v>149</v>
      </c>
      <c r="J64" s="203" t="s">
        <v>149</v>
      </c>
      <c r="K64" s="203"/>
      <c r="L64" s="203" t="s">
        <v>149</v>
      </c>
      <c r="M64" s="203" t="s">
        <v>149</v>
      </c>
      <c r="N64" s="203"/>
      <c r="O64" s="203"/>
      <c r="P64" s="203"/>
      <c r="Q64" s="203"/>
      <c r="R64" s="203"/>
      <c r="S64" s="203"/>
      <c r="T64" s="203"/>
      <c r="U64" s="203"/>
      <c r="V64" s="203"/>
      <c r="W64" s="203"/>
      <c r="X64" s="203"/>
      <c r="Y64" s="203" t="s">
        <v>149</v>
      </c>
      <c r="Z64" s="203" t="s">
        <v>149</v>
      </c>
      <c r="AA64" s="203" t="s">
        <v>149</v>
      </c>
      <c r="AB64" s="203" t="s">
        <v>149</v>
      </c>
      <c r="AC64" s="203" t="s">
        <v>149</v>
      </c>
      <c r="AD64" s="203" t="s">
        <v>149</v>
      </c>
      <c r="AE64" s="203" t="s">
        <v>149</v>
      </c>
      <c r="AF64" s="203" t="s">
        <v>149</v>
      </c>
      <c r="AG64" s="203" t="s">
        <v>149</v>
      </c>
      <c r="AH64" s="203" t="s">
        <v>149</v>
      </c>
      <c r="AI64" s="203" t="s">
        <v>149</v>
      </c>
      <c r="AJ64" s="203" t="s">
        <v>149</v>
      </c>
      <c r="AK64" s="203" t="s">
        <v>149</v>
      </c>
      <c r="AL64" s="203" t="s">
        <v>149</v>
      </c>
      <c r="AM64" s="203" t="s">
        <v>149</v>
      </c>
      <c r="AN64" s="203" t="s">
        <v>149</v>
      </c>
      <c r="AO64" s="203" t="s">
        <v>149</v>
      </c>
      <c r="AP64" s="203"/>
      <c r="AQ64" s="203" t="s">
        <v>149</v>
      </c>
      <c r="AR64" s="203" t="s">
        <v>149</v>
      </c>
      <c r="AS64" s="203" t="s">
        <v>149</v>
      </c>
      <c r="AT64" s="203"/>
      <c r="AU64" s="203"/>
      <c r="AV64" s="203" t="s">
        <v>149</v>
      </c>
      <c r="AW64" s="203" t="s">
        <v>149</v>
      </c>
      <c r="AX64" s="203" t="s">
        <v>149</v>
      </c>
      <c r="AY64" s="203"/>
      <c r="AZ64" s="203" t="s">
        <v>149</v>
      </c>
      <c r="BA64" s="203" t="s">
        <v>149</v>
      </c>
      <c r="BB64" s="203" t="s">
        <v>149</v>
      </c>
      <c r="BC64" s="203" t="s">
        <v>149</v>
      </c>
      <c r="BD64" s="203" t="s">
        <v>149</v>
      </c>
      <c r="BE64" s="203" t="s">
        <v>149</v>
      </c>
      <c r="BF64" s="203" t="s">
        <v>149</v>
      </c>
      <c r="BG64" s="252"/>
      <c r="BH64" s="252"/>
      <c r="BI64" s="252"/>
      <c r="BJ64" s="252"/>
      <c r="BK64" s="252"/>
    </row>
    <row r="65" spans="1:63" ht="409.5">
      <c r="A65" s="124">
        <v>45401</v>
      </c>
      <c r="B65" s="125" t="s">
        <v>34</v>
      </c>
      <c r="C65" s="298" t="s">
        <v>374</v>
      </c>
      <c r="D65" s="125" t="s">
        <v>379</v>
      </c>
      <c r="E65" s="125" t="s">
        <v>380</v>
      </c>
      <c r="F65" s="126" t="s">
        <v>381</v>
      </c>
      <c r="G65" s="209" t="s">
        <v>382</v>
      </c>
      <c r="H65" s="212"/>
      <c r="I65" s="210" t="s">
        <v>149</v>
      </c>
      <c r="J65" s="203" t="s">
        <v>149</v>
      </c>
      <c r="K65" s="203"/>
      <c r="L65" s="203" t="s">
        <v>149</v>
      </c>
      <c r="M65" s="203" t="s">
        <v>149</v>
      </c>
      <c r="N65" s="203"/>
      <c r="O65" s="203"/>
      <c r="P65" s="203"/>
      <c r="Q65" s="203"/>
      <c r="R65" s="203"/>
      <c r="S65" s="203"/>
      <c r="T65" s="203"/>
      <c r="U65" s="203"/>
      <c r="V65" s="203"/>
      <c r="W65" s="203"/>
      <c r="X65" s="203"/>
      <c r="Y65" s="203" t="s">
        <v>149</v>
      </c>
      <c r="Z65" s="203" t="s">
        <v>149</v>
      </c>
      <c r="AA65" s="203" t="s">
        <v>149</v>
      </c>
      <c r="AB65" s="203" t="s">
        <v>149</v>
      </c>
      <c r="AC65" s="203" t="s">
        <v>149</v>
      </c>
      <c r="AD65" s="203" t="s">
        <v>149</v>
      </c>
      <c r="AE65" s="203" t="s">
        <v>149</v>
      </c>
      <c r="AF65" s="203" t="s">
        <v>149</v>
      </c>
      <c r="AG65" s="203" t="s">
        <v>149</v>
      </c>
      <c r="AH65" s="203" t="s">
        <v>149</v>
      </c>
      <c r="AI65" s="203" t="s">
        <v>149</v>
      </c>
      <c r="AJ65" s="203" t="s">
        <v>149</v>
      </c>
      <c r="AK65" s="203" t="s">
        <v>149</v>
      </c>
      <c r="AL65" s="203" t="s">
        <v>149</v>
      </c>
      <c r="AM65" s="203" t="s">
        <v>149</v>
      </c>
      <c r="AN65" s="203" t="s">
        <v>149</v>
      </c>
      <c r="AO65" s="203" t="s">
        <v>149</v>
      </c>
      <c r="AP65" s="203"/>
      <c r="AQ65" s="203" t="s">
        <v>149</v>
      </c>
      <c r="AR65" s="203" t="s">
        <v>149</v>
      </c>
      <c r="AS65" s="203" t="s">
        <v>149</v>
      </c>
      <c r="AT65" s="203"/>
      <c r="AU65" s="203"/>
      <c r="AV65" s="203" t="s">
        <v>149</v>
      </c>
      <c r="AW65" s="203" t="s">
        <v>149</v>
      </c>
      <c r="AX65" s="203" t="s">
        <v>149</v>
      </c>
      <c r="AY65" s="203"/>
      <c r="AZ65" s="203" t="s">
        <v>149</v>
      </c>
      <c r="BA65" s="203" t="s">
        <v>149</v>
      </c>
      <c r="BB65" s="203" t="s">
        <v>149</v>
      </c>
      <c r="BC65" s="203" t="s">
        <v>149</v>
      </c>
      <c r="BD65" s="203" t="s">
        <v>149</v>
      </c>
      <c r="BE65" s="203" t="s">
        <v>149</v>
      </c>
      <c r="BF65" s="203" t="s">
        <v>149</v>
      </c>
      <c r="BG65" s="203" t="s">
        <v>149</v>
      </c>
      <c r="BH65" s="252"/>
      <c r="BI65" s="252"/>
      <c r="BJ65" s="252"/>
      <c r="BK65" s="252"/>
    </row>
    <row r="66" spans="1:63" ht="409.5">
      <c r="A66" s="124">
        <v>45401</v>
      </c>
      <c r="B66" s="125" t="s">
        <v>34</v>
      </c>
      <c r="C66" s="298" t="s">
        <v>374</v>
      </c>
      <c r="D66" s="125" t="s">
        <v>383</v>
      </c>
      <c r="E66" s="125" t="s">
        <v>384</v>
      </c>
      <c r="F66" s="126" t="s">
        <v>385</v>
      </c>
      <c r="G66" s="209" t="s">
        <v>382</v>
      </c>
      <c r="H66" s="212"/>
      <c r="I66" s="210" t="s">
        <v>149</v>
      </c>
      <c r="J66" s="203" t="s">
        <v>149</v>
      </c>
      <c r="K66" s="203"/>
      <c r="L66" s="203" t="s">
        <v>149</v>
      </c>
      <c r="M66" s="203" t="s">
        <v>149</v>
      </c>
      <c r="N66" s="203"/>
      <c r="O66" s="203"/>
      <c r="P66" s="203"/>
      <c r="Q66" s="203"/>
      <c r="R66" s="203"/>
      <c r="S66" s="203"/>
      <c r="T66" s="203"/>
      <c r="U66" s="203"/>
      <c r="V66" s="203"/>
      <c r="W66" s="203"/>
      <c r="X66" s="203"/>
      <c r="Y66" s="203" t="s">
        <v>149</v>
      </c>
      <c r="Z66" s="203" t="s">
        <v>149</v>
      </c>
      <c r="AA66" s="203" t="s">
        <v>149</v>
      </c>
      <c r="AB66" s="203" t="s">
        <v>149</v>
      </c>
      <c r="AC66" s="203" t="s">
        <v>149</v>
      </c>
      <c r="AD66" s="203" t="s">
        <v>149</v>
      </c>
      <c r="AE66" s="203" t="s">
        <v>149</v>
      </c>
      <c r="AF66" s="203" t="s">
        <v>149</v>
      </c>
      <c r="AG66" s="203" t="s">
        <v>149</v>
      </c>
      <c r="AH66" s="203" t="s">
        <v>149</v>
      </c>
      <c r="AI66" s="203" t="s">
        <v>149</v>
      </c>
      <c r="AJ66" s="203" t="s">
        <v>149</v>
      </c>
      <c r="AK66" s="203" t="s">
        <v>149</v>
      </c>
      <c r="AL66" s="203" t="s">
        <v>149</v>
      </c>
      <c r="AM66" s="203" t="s">
        <v>149</v>
      </c>
      <c r="AN66" s="203" t="s">
        <v>149</v>
      </c>
      <c r="AO66" s="203" t="s">
        <v>149</v>
      </c>
      <c r="AP66" s="203"/>
      <c r="AQ66" s="203" t="s">
        <v>149</v>
      </c>
      <c r="AR66" s="203" t="s">
        <v>149</v>
      </c>
      <c r="AS66" s="203" t="s">
        <v>149</v>
      </c>
      <c r="AT66" s="203"/>
      <c r="AU66" s="203"/>
      <c r="AV66" s="203" t="s">
        <v>149</v>
      </c>
      <c r="AW66" s="203" t="s">
        <v>149</v>
      </c>
      <c r="AX66" s="203" t="s">
        <v>149</v>
      </c>
      <c r="AY66" s="203"/>
      <c r="AZ66" s="203" t="s">
        <v>149</v>
      </c>
      <c r="BA66" s="203" t="s">
        <v>149</v>
      </c>
      <c r="BB66" s="203" t="s">
        <v>149</v>
      </c>
      <c r="BC66" s="203" t="s">
        <v>149</v>
      </c>
      <c r="BD66" s="203" t="s">
        <v>149</v>
      </c>
      <c r="BE66" s="203" t="s">
        <v>149</v>
      </c>
      <c r="BF66" s="203" t="s">
        <v>149</v>
      </c>
      <c r="BG66" s="203" t="s">
        <v>149</v>
      </c>
      <c r="BH66" s="252"/>
      <c r="BI66" s="252"/>
      <c r="BJ66" s="252"/>
      <c r="BK66" s="252"/>
    </row>
    <row r="67" spans="1:63" ht="409.5">
      <c r="A67" s="124">
        <v>45401</v>
      </c>
      <c r="B67" s="125" t="s">
        <v>34</v>
      </c>
      <c r="C67" s="298" t="s">
        <v>374</v>
      </c>
      <c r="D67" s="125" t="s">
        <v>386</v>
      </c>
      <c r="E67" s="125" t="s">
        <v>387</v>
      </c>
      <c r="F67" s="126" t="s">
        <v>388</v>
      </c>
      <c r="G67" s="209" t="s">
        <v>382</v>
      </c>
      <c r="H67" s="212"/>
      <c r="I67" s="210" t="s">
        <v>149</v>
      </c>
      <c r="J67" s="203" t="s">
        <v>149</v>
      </c>
      <c r="K67" s="203"/>
      <c r="L67" s="203" t="s">
        <v>149</v>
      </c>
      <c r="M67" s="203" t="s">
        <v>149</v>
      </c>
      <c r="N67" s="203"/>
      <c r="O67" s="203"/>
      <c r="P67" s="203"/>
      <c r="Q67" s="203"/>
      <c r="R67" s="203"/>
      <c r="S67" s="203"/>
      <c r="T67" s="203"/>
      <c r="U67" s="203"/>
      <c r="V67" s="203"/>
      <c r="W67" s="203"/>
      <c r="X67" s="203"/>
      <c r="Y67" s="203" t="s">
        <v>149</v>
      </c>
      <c r="Z67" s="203" t="s">
        <v>149</v>
      </c>
      <c r="AA67" s="203" t="s">
        <v>149</v>
      </c>
      <c r="AB67" s="203" t="s">
        <v>149</v>
      </c>
      <c r="AC67" s="203" t="s">
        <v>149</v>
      </c>
      <c r="AD67" s="203" t="s">
        <v>149</v>
      </c>
      <c r="AE67" s="203" t="s">
        <v>149</v>
      </c>
      <c r="AF67" s="203" t="s">
        <v>149</v>
      </c>
      <c r="AG67" s="203" t="s">
        <v>149</v>
      </c>
      <c r="AH67" s="203" t="s">
        <v>149</v>
      </c>
      <c r="AI67" s="203" t="s">
        <v>149</v>
      </c>
      <c r="AJ67" s="203" t="s">
        <v>149</v>
      </c>
      <c r="AK67" s="203" t="s">
        <v>149</v>
      </c>
      <c r="AL67" s="203" t="s">
        <v>149</v>
      </c>
      <c r="AM67" s="203" t="s">
        <v>149</v>
      </c>
      <c r="AN67" s="203" t="s">
        <v>149</v>
      </c>
      <c r="AO67" s="203" t="s">
        <v>149</v>
      </c>
      <c r="AP67" s="203"/>
      <c r="AQ67" s="203" t="s">
        <v>149</v>
      </c>
      <c r="AR67" s="203" t="s">
        <v>149</v>
      </c>
      <c r="AS67" s="203" t="s">
        <v>149</v>
      </c>
      <c r="AT67" s="203"/>
      <c r="AU67" s="203"/>
      <c r="AV67" s="203" t="s">
        <v>149</v>
      </c>
      <c r="AW67" s="203" t="s">
        <v>149</v>
      </c>
      <c r="AX67" s="203" t="s">
        <v>149</v>
      </c>
      <c r="AY67" s="203"/>
      <c r="AZ67" s="203" t="s">
        <v>149</v>
      </c>
      <c r="BA67" s="203" t="s">
        <v>149</v>
      </c>
      <c r="BB67" s="203" t="s">
        <v>149</v>
      </c>
      <c r="BC67" s="203" t="s">
        <v>149</v>
      </c>
      <c r="BD67" s="203" t="s">
        <v>149</v>
      </c>
      <c r="BE67" s="203" t="s">
        <v>149</v>
      </c>
      <c r="BF67" s="203" t="s">
        <v>149</v>
      </c>
      <c r="BG67" s="203" t="s">
        <v>149</v>
      </c>
      <c r="BH67" s="252"/>
      <c r="BI67" s="252"/>
      <c r="BJ67" s="252"/>
      <c r="BK67" s="252"/>
    </row>
    <row r="68" spans="1:63" ht="270">
      <c r="A68" s="124">
        <v>45408</v>
      </c>
      <c r="B68" s="125" t="s">
        <v>34</v>
      </c>
      <c r="C68" s="298" t="s">
        <v>374</v>
      </c>
      <c r="D68" s="125" t="s">
        <v>389</v>
      </c>
      <c r="E68" s="125" t="s">
        <v>390</v>
      </c>
      <c r="F68" s="126" t="s">
        <v>391</v>
      </c>
      <c r="G68" s="209" t="s">
        <v>382</v>
      </c>
      <c r="H68" s="212"/>
      <c r="I68" s="210" t="s">
        <v>149</v>
      </c>
      <c r="J68" s="203" t="s">
        <v>149</v>
      </c>
      <c r="K68" s="203"/>
      <c r="L68" s="203" t="s">
        <v>149</v>
      </c>
      <c r="M68" s="203" t="s">
        <v>149</v>
      </c>
      <c r="N68" s="203"/>
      <c r="O68" s="203"/>
      <c r="P68" s="203"/>
      <c r="Q68" s="203"/>
      <c r="R68" s="203"/>
      <c r="S68" s="203"/>
      <c r="T68" s="203"/>
      <c r="U68" s="203"/>
      <c r="V68" s="203"/>
      <c r="W68" s="203"/>
      <c r="X68" s="203"/>
      <c r="Y68" s="203" t="s">
        <v>149</v>
      </c>
      <c r="Z68" s="203" t="s">
        <v>149</v>
      </c>
      <c r="AA68" s="203" t="s">
        <v>149</v>
      </c>
      <c r="AB68" s="203" t="s">
        <v>149</v>
      </c>
      <c r="AC68" s="203" t="s">
        <v>149</v>
      </c>
      <c r="AD68" s="203" t="s">
        <v>149</v>
      </c>
      <c r="AE68" s="203" t="s">
        <v>149</v>
      </c>
      <c r="AF68" s="203" t="s">
        <v>149</v>
      </c>
      <c r="AG68" s="203" t="s">
        <v>149</v>
      </c>
      <c r="AH68" s="203" t="s">
        <v>149</v>
      </c>
      <c r="AI68" s="203" t="s">
        <v>149</v>
      </c>
      <c r="AJ68" s="203" t="s">
        <v>149</v>
      </c>
      <c r="AK68" s="203" t="s">
        <v>149</v>
      </c>
      <c r="AL68" s="203" t="s">
        <v>149</v>
      </c>
      <c r="AM68" s="203" t="s">
        <v>149</v>
      </c>
      <c r="AN68" s="203" t="s">
        <v>149</v>
      </c>
      <c r="AO68" s="203" t="s">
        <v>149</v>
      </c>
      <c r="AP68" s="203"/>
      <c r="AQ68" s="203" t="s">
        <v>149</v>
      </c>
      <c r="AR68" s="203" t="s">
        <v>149</v>
      </c>
      <c r="AS68" s="203" t="s">
        <v>149</v>
      </c>
      <c r="AT68" s="203"/>
      <c r="AU68" s="203"/>
      <c r="AV68" s="203" t="s">
        <v>149</v>
      </c>
      <c r="AW68" s="203" t="s">
        <v>149</v>
      </c>
      <c r="AX68" s="203" t="s">
        <v>149</v>
      </c>
      <c r="AY68" s="203"/>
      <c r="AZ68" s="203" t="s">
        <v>149</v>
      </c>
      <c r="BA68" s="203" t="s">
        <v>149</v>
      </c>
      <c r="BB68" s="203" t="s">
        <v>149</v>
      </c>
      <c r="BC68" s="203" t="s">
        <v>149</v>
      </c>
      <c r="BD68" s="203" t="s">
        <v>149</v>
      </c>
      <c r="BE68" s="203" t="s">
        <v>149</v>
      </c>
      <c r="BF68" s="203" t="s">
        <v>149</v>
      </c>
      <c r="BG68" s="203" t="s">
        <v>149</v>
      </c>
      <c r="BH68" s="252"/>
      <c r="BI68" s="252"/>
      <c r="BJ68" s="252"/>
      <c r="BK68" s="252"/>
    </row>
    <row r="69" spans="1:63" ht="270">
      <c r="A69" s="124">
        <v>45408</v>
      </c>
      <c r="B69" s="125" t="s">
        <v>34</v>
      </c>
      <c r="C69" s="298" t="s">
        <v>374</v>
      </c>
      <c r="D69" s="125" t="s">
        <v>392</v>
      </c>
      <c r="E69" s="125" t="s">
        <v>393</v>
      </c>
      <c r="F69" s="126" t="s">
        <v>394</v>
      </c>
      <c r="G69" s="209" t="s">
        <v>382</v>
      </c>
      <c r="H69" s="212"/>
      <c r="I69" s="210" t="s">
        <v>149</v>
      </c>
      <c r="J69" s="203" t="s">
        <v>149</v>
      </c>
      <c r="K69" s="203"/>
      <c r="L69" s="203" t="s">
        <v>149</v>
      </c>
      <c r="M69" s="203" t="s">
        <v>149</v>
      </c>
      <c r="N69" s="203"/>
      <c r="O69" s="203"/>
      <c r="P69" s="203"/>
      <c r="Q69" s="203"/>
      <c r="R69" s="203"/>
      <c r="S69" s="203"/>
      <c r="T69" s="203"/>
      <c r="U69" s="203"/>
      <c r="V69" s="203"/>
      <c r="W69" s="203"/>
      <c r="X69" s="203"/>
      <c r="Y69" s="203" t="s">
        <v>149</v>
      </c>
      <c r="Z69" s="203" t="s">
        <v>149</v>
      </c>
      <c r="AA69" s="203" t="s">
        <v>149</v>
      </c>
      <c r="AB69" s="203" t="s">
        <v>149</v>
      </c>
      <c r="AC69" s="203" t="s">
        <v>149</v>
      </c>
      <c r="AD69" s="203" t="s">
        <v>149</v>
      </c>
      <c r="AE69" s="203" t="s">
        <v>149</v>
      </c>
      <c r="AF69" s="203" t="s">
        <v>149</v>
      </c>
      <c r="AG69" s="203" t="s">
        <v>149</v>
      </c>
      <c r="AH69" s="203" t="s">
        <v>149</v>
      </c>
      <c r="AI69" s="203" t="s">
        <v>149</v>
      </c>
      <c r="AJ69" s="203" t="s">
        <v>149</v>
      </c>
      <c r="AK69" s="203" t="s">
        <v>149</v>
      </c>
      <c r="AL69" s="203" t="s">
        <v>149</v>
      </c>
      <c r="AM69" s="203" t="s">
        <v>149</v>
      </c>
      <c r="AN69" s="203" t="s">
        <v>149</v>
      </c>
      <c r="AO69" s="203" t="s">
        <v>149</v>
      </c>
      <c r="AP69" s="203"/>
      <c r="AQ69" s="203" t="s">
        <v>149</v>
      </c>
      <c r="AR69" s="203" t="s">
        <v>149</v>
      </c>
      <c r="AS69" s="203" t="s">
        <v>149</v>
      </c>
      <c r="AT69" s="203"/>
      <c r="AU69" s="203"/>
      <c r="AV69" s="203" t="s">
        <v>149</v>
      </c>
      <c r="AW69" s="203" t="s">
        <v>149</v>
      </c>
      <c r="AX69" s="203" t="s">
        <v>149</v>
      </c>
      <c r="AY69" s="203"/>
      <c r="AZ69" s="203" t="s">
        <v>149</v>
      </c>
      <c r="BA69" s="203" t="s">
        <v>149</v>
      </c>
      <c r="BB69" s="203" t="s">
        <v>149</v>
      </c>
      <c r="BC69" s="203" t="s">
        <v>149</v>
      </c>
      <c r="BD69" s="203" t="s">
        <v>149</v>
      </c>
      <c r="BE69" s="203" t="s">
        <v>149</v>
      </c>
      <c r="BF69" s="203" t="s">
        <v>149</v>
      </c>
      <c r="BG69" s="203" t="s">
        <v>149</v>
      </c>
      <c r="BH69" s="252"/>
      <c r="BI69" s="252"/>
      <c r="BJ69" s="252"/>
      <c r="BK69" s="252"/>
    </row>
    <row r="70" spans="1:63" ht="270">
      <c r="A70" s="124">
        <v>45408</v>
      </c>
      <c r="B70" s="125" t="s">
        <v>34</v>
      </c>
      <c r="C70" s="298" t="s">
        <v>374</v>
      </c>
      <c r="D70" s="125" t="s">
        <v>395</v>
      </c>
      <c r="E70" s="125" t="s">
        <v>396</v>
      </c>
      <c r="F70" s="126" t="s">
        <v>397</v>
      </c>
      <c r="G70" s="209" t="s">
        <v>382</v>
      </c>
      <c r="H70" s="212"/>
      <c r="I70" s="210" t="s">
        <v>149</v>
      </c>
      <c r="J70" s="203" t="s">
        <v>149</v>
      </c>
      <c r="K70" s="203"/>
      <c r="L70" s="203" t="s">
        <v>149</v>
      </c>
      <c r="M70" s="203" t="s">
        <v>149</v>
      </c>
      <c r="N70" s="203"/>
      <c r="O70" s="203"/>
      <c r="P70" s="203"/>
      <c r="Q70" s="203"/>
      <c r="R70" s="203"/>
      <c r="S70" s="203"/>
      <c r="T70" s="203"/>
      <c r="U70" s="203"/>
      <c r="V70" s="203"/>
      <c r="W70" s="203"/>
      <c r="X70" s="203"/>
      <c r="Y70" s="203" t="s">
        <v>149</v>
      </c>
      <c r="Z70" s="203" t="s">
        <v>149</v>
      </c>
      <c r="AA70" s="203" t="s">
        <v>149</v>
      </c>
      <c r="AB70" s="203" t="s">
        <v>149</v>
      </c>
      <c r="AC70" s="203" t="s">
        <v>149</v>
      </c>
      <c r="AD70" s="203" t="s">
        <v>149</v>
      </c>
      <c r="AE70" s="203" t="s">
        <v>149</v>
      </c>
      <c r="AF70" s="203" t="s">
        <v>149</v>
      </c>
      <c r="AG70" s="203" t="s">
        <v>149</v>
      </c>
      <c r="AH70" s="203" t="s">
        <v>149</v>
      </c>
      <c r="AI70" s="203" t="s">
        <v>149</v>
      </c>
      <c r="AJ70" s="203" t="s">
        <v>149</v>
      </c>
      <c r="AK70" s="203" t="s">
        <v>149</v>
      </c>
      <c r="AL70" s="203" t="s">
        <v>149</v>
      </c>
      <c r="AM70" s="203" t="s">
        <v>149</v>
      </c>
      <c r="AN70" s="203" t="s">
        <v>149</v>
      </c>
      <c r="AO70" s="203" t="s">
        <v>149</v>
      </c>
      <c r="AP70" s="203"/>
      <c r="AQ70" s="203" t="s">
        <v>149</v>
      </c>
      <c r="AR70" s="203" t="s">
        <v>149</v>
      </c>
      <c r="AS70" s="203" t="s">
        <v>149</v>
      </c>
      <c r="AT70" s="203"/>
      <c r="AU70" s="203"/>
      <c r="AV70" s="203" t="s">
        <v>149</v>
      </c>
      <c r="AW70" s="203" t="s">
        <v>149</v>
      </c>
      <c r="AX70" s="203" t="s">
        <v>149</v>
      </c>
      <c r="AY70" s="203"/>
      <c r="AZ70" s="203" t="s">
        <v>149</v>
      </c>
      <c r="BA70" s="203" t="s">
        <v>149</v>
      </c>
      <c r="BB70" s="203" t="s">
        <v>149</v>
      </c>
      <c r="BC70" s="203" t="s">
        <v>149</v>
      </c>
      <c r="BD70" s="203" t="s">
        <v>149</v>
      </c>
      <c r="BE70" s="203" t="s">
        <v>149</v>
      </c>
      <c r="BF70" s="203" t="s">
        <v>149</v>
      </c>
      <c r="BG70" s="203" t="s">
        <v>149</v>
      </c>
      <c r="BH70" s="252"/>
      <c r="BI70" s="252"/>
      <c r="BJ70" s="252"/>
      <c r="BK70" s="252"/>
    </row>
    <row r="71" spans="1:63" ht="390">
      <c r="A71" s="124">
        <v>45415</v>
      </c>
      <c r="B71" s="125" t="s">
        <v>34</v>
      </c>
      <c r="C71" s="298" t="s">
        <v>374</v>
      </c>
      <c r="D71" s="125" t="s">
        <v>398</v>
      </c>
      <c r="E71" s="125" t="s">
        <v>399</v>
      </c>
      <c r="F71" s="126" t="s">
        <v>400</v>
      </c>
      <c r="G71" s="209" t="s">
        <v>382</v>
      </c>
      <c r="H71" s="212"/>
      <c r="I71" s="210" t="s">
        <v>149</v>
      </c>
      <c r="J71" s="203" t="s">
        <v>149</v>
      </c>
      <c r="K71" s="203"/>
      <c r="L71" s="203" t="s">
        <v>149</v>
      </c>
      <c r="M71" s="203" t="s">
        <v>149</v>
      </c>
      <c r="N71" s="203"/>
      <c r="O71" s="203"/>
      <c r="P71" s="203"/>
      <c r="Q71" s="203"/>
      <c r="R71" s="203"/>
      <c r="S71" s="203"/>
      <c r="T71" s="203"/>
      <c r="U71" s="203"/>
      <c r="V71" s="203"/>
      <c r="W71" s="203"/>
      <c r="X71" s="203"/>
      <c r="Y71" s="203" t="s">
        <v>149</v>
      </c>
      <c r="Z71" s="203" t="s">
        <v>149</v>
      </c>
      <c r="AA71" s="203" t="s">
        <v>149</v>
      </c>
      <c r="AB71" s="203" t="s">
        <v>149</v>
      </c>
      <c r="AC71" s="203" t="s">
        <v>149</v>
      </c>
      <c r="AD71" s="203" t="s">
        <v>149</v>
      </c>
      <c r="AE71" s="203" t="s">
        <v>149</v>
      </c>
      <c r="AF71" s="203" t="s">
        <v>149</v>
      </c>
      <c r="AG71" s="203" t="s">
        <v>149</v>
      </c>
      <c r="AH71" s="203" t="s">
        <v>149</v>
      </c>
      <c r="AI71" s="203" t="s">
        <v>149</v>
      </c>
      <c r="AJ71" s="203" t="s">
        <v>149</v>
      </c>
      <c r="AK71" s="203" t="s">
        <v>149</v>
      </c>
      <c r="AL71" s="203" t="s">
        <v>149</v>
      </c>
      <c r="AM71" s="203" t="s">
        <v>149</v>
      </c>
      <c r="AN71" s="203" t="s">
        <v>149</v>
      </c>
      <c r="AO71" s="203" t="s">
        <v>149</v>
      </c>
      <c r="AP71" s="203"/>
      <c r="AQ71" s="203" t="s">
        <v>149</v>
      </c>
      <c r="AR71" s="203" t="s">
        <v>149</v>
      </c>
      <c r="AS71" s="203" t="s">
        <v>149</v>
      </c>
      <c r="AT71" s="203"/>
      <c r="AU71" s="203"/>
      <c r="AV71" s="203" t="s">
        <v>149</v>
      </c>
      <c r="AW71" s="203" t="s">
        <v>149</v>
      </c>
      <c r="AX71" s="203" t="s">
        <v>149</v>
      </c>
      <c r="AY71" s="203"/>
      <c r="AZ71" s="203" t="s">
        <v>149</v>
      </c>
      <c r="BA71" s="203" t="s">
        <v>149</v>
      </c>
      <c r="BB71" s="203" t="s">
        <v>149</v>
      </c>
      <c r="BC71" s="203" t="s">
        <v>149</v>
      </c>
      <c r="BD71" s="203" t="s">
        <v>149</v>
      </c>
      <c r="BE71" s="203" t="s">
        <v>149</v>
      </c>
      <c r="BF71" s="203" t="s">
        <v>149</v>
      </c>
      <c r="BG71" s="203" t="s">
        <v>149</v>
      </c>
      <c r="BH71" s="252"/>
      <c r="BI71" s="252"/>
      <c r="BJ71" s="252"/>
      <c r="BK71" s="252"/>
    </row>
    <row r="72" spans="1:63" ht="390">
      <c r="A72" s="124">
        <v>45415</v>
      </c>
      <c r="B72" s="125" t="s">
        <v>34</v>
      </c>
      <c r="C72" s="298" t="s">
        <v>374</v>
      </c>
      <c r="D72" s="125" t="s">
        <v>401</v>
      </c>
      <c r="E72" s="125" t="s">
        <v>402</v>
      </c>
      <c r="F72" s="126" t="s">
        <v>403</v>
      </c>
      <c r="G72" s="209" t="s">
        <v>382</v>
      </c>
      <c r="H72" s="212"/>
      <c r="I72" s="210" t="s">
        <v>149</v>
      </c>
      <c r="J72" s="203" t="s">
        <v>149</v>
      </c>
      <c r="K72" s="203"/>
      <c r="L72" s="203" t="s">
        <v>149</v>
      </c>
      <c r="M72" s="203" t="s">
        <v>149</v>
      </c>
      <c r="N72" s="203"/>
      <c r="O72" s="203"/>
      <c r="P72" s="203"/>
      <c r="Q72" s="203"/>
      <c r="R72" s="203"/>
      <c r="S72" s="203"/>
      <c r="T72" s="203"/>
      <c r="U72" s="203"/>
      <c r="V72" s="203"/>
      <c r="W72" s="203"/>
      <c r="X72" s="203"/>
      <c r="Y72" s="203" t="s">
        <v>149</v>
      </c>
      <c r="Z72" s="203" t="s">
        <v>149</v>
      </c>
      <c r="AA72" s="203" t="s">
        <v>149</v>
      </c>
      <c r="AB72" s="203" t="s">
        <v>149</v>
      </c>
      <c r="AC72" s="203" t="s">
        <v>149</v>
      </c>
      <c r="AD72" s="203" t="s">
        <v>149</v>
      </c>
      <c r="AE72" s="203" t="s">
        <v>149</v>
      </c>
      <c r="AF72" s="203" t="s">
        <v>149</v>
      </c>
      <c r="AG72" s="203" t="s">
        <v>149</v>
      </c>
      <c r="AH72" s="203" t="s">
        <v>149</v>
      </c>
      <c r="AI72" s="203" t="s">
        <v>149</v>
      </c>
      <c r="AJ72" s="203" t="s">
        <v>149</v>
      </c>
      <c r="AK72" s="203" t="s">
        <v>149</v>
      </c>
      <c r="AL72" s="203" t="s">
        <v>149</v>
      </c>
      <c r="AM72" s="203" t="s">
        <v>149</v>
      </c>
      <c r="AN72" s="203" t="s">
        <v>149</v>
      </c>
      <c r="AO72" s="203" t="s">
        <v>149</v>
      </c>
      <c r="AP72" s="203"/>
      <c r="AQ72" s="203" t="s">
        <v>149</v>
      </c>
      <c r="AR72" s="203" t="s">
        <v>149</v>
      </c>
      <c r="AS72" s="203" t="s">
        <v>149</v>
      </c>
      <c r="AT72" s="203"/>
      <c r="AU72" s="203"/>
      <c r="AV72" s="203" t="s">
        <v>149</v>
      </c>
      <c r="AW72" s="203" t="s">
        <v>149</v>
      </c>
      <c r="AX72" s="203" t="s">
        <v>149</v>
      </c>
      <c r="AY72" s="203"/>
      <c r="AZ72" s="203" t="s">
        <v>149</v>
      </c>
      <c r="BA72" s="203" t="s">
        <v>149</v>
      </c>
      <c r="BB72" s="203" t="s">
        <v>149</v>
      </c>
      <c r="BC72" s="203" t="s">
        <v>149</v>
      </c>
      <c r="BD72" s="203" t="s">
        <v>149</v>
      </c>
      <c r="BE72" s="203" t="s">
        <v>149</v>
      </c>
      <c r="BF72" s="203" t="s">
        <v>149</v>
      </c>
      <c r="BG72" s="203" t="s">
        <v>149</v>
      </c>
      <c r="BH72" s="252"/>
      <c r="BI72" s="252"/>
      <c r="BJ72" s="252"/>
      <c r="BK72" s="252"/>
    </row>
    <row r="73" spans="1:63" ht="405">
      <c r="A73" s="124">
        <v>45415</v>
      </c>
      <c r="B73" s="125" t="s">
        <v>34</v>
      </c>
      <c r="C73" s="298" t="s">
        <v>374</v>
      </c>
      <c r="D73" s="125" t="s">
        <v>404</v>
      </c>
      <c r="E73" s="125" t="s">
        <v>405</v>
      </c>
      <c r="F73" s="126" t="s">
        <v>406</v>
      </c>
      <c r="G73" s="209" t="s">
        <v>382</v>
      </c>
      <c r="H73" s="212"/>
      <c r="I73" s="210" t="s">
        <v>149</v>
      </c>
      <c r="J73" s="203" t="s">
        <v>149</v>
      </c>
      <c r="K73" s="203"/>
      <c r="L73" s="203" t="s">
        <v>149</v>
      </c>
      <c r="M73" s="203" t="s">
        <v>149</v>
      </c>
      <c r="N73" s="203"/>
      <c r="O73" s="203"/>
      <c r="P73" s="203"/>
      <c r="Q73" s="203"/>
      <c r="R73" s="203"/>
      <c r="S73" s="203"/>
      <c r="T73" s="203"/>
      <c r="U73" s="203"/>
      <c r="V73" s="203"/>
      <c r="W73" s="203"/>
      <c r="X73" s="203"/>
      <c r="Y73" s="203" t="s">
        <v>149</v>
      </c>
      <c r="Z73" s="203" t="s">
        <v>149</v>
      </c>
      <c r="AA73" s="203" t="s">
        <v>149</v>
      </c>
      <c r="AB73" s="203" t="s">
        <v>149</v>
      </c>
      <c r="AC73" s="203" t="s">
        <v>149</v>
      </c>
      <c r="AD73" s="203" t="s">
        <v>149</v>
      </c>
      <c r="AE73" s="203" t="s">
        <v>149</v>
      </c>
      <c r="AF73" s="203" t="s">
        <v>149</v>
      </c>
      <c r="AG73" s="203" t="s">
        <v>149</v>
      </c>
      <c r="AH73" s="203" t="s">
        <v>149</v>
      </c>
      <c r="AI73" s="203" t="s">
        <v>149</v>
      </c>
      <c r="AJ73" s="203" t="s">
        <v>149</v>
      </c>
      <c r="AK73" s="203" t="s">
        <v>149</v>
      </c>
      <c r="AL73" s="203" t="s">
        <v>149</v>
      </c>
      <c r="AM73" s="203" t="s">
        <v>149</v>
      </c>
      <c r="AN73" s="203" t="s">
        <v>149</v>
      </c>
      <c r="AO73" s="203" t="s">
        <v>149</v>
      </c>
      <c r="AP73" s="203"/>
      <c r="AQ73" s="203" t="s">
        <v>149</v>
      </c>
      <c r="AR73" s="203" t="s">
        <v>149</v>
      </c>
      <c r="AS73" s="203" t="s">
        <v>149</v>
      </c>
      <c r="AT73" s="203"/>
      <c r="AU73" s="203"/>
      <c r="AV73" s="203" t="s">
        <v>149</v>
      </c>
      <c r="AW73" s="203" t="s">
        <v>149</v>
      </c>
      <c r="AX73" s="203" t="s">
        <v>149</v>
      </c>
      <c r="AY73" s="203"/>
      <c r="AZ73" s="203" t="s">
        <v>149</v>
      </c>
      <c r="BA73" s="203" t="s">
        <v>149</v>
      </c>
      <c r="BB73" s="203" t="s">
        <v>149</v>
      </c>
      <c r="BC73" s="203" t="s">
        <v>149</v>
      </c>
      <c r="BD73" s="203" t="s">
        <v>149</v>
      </c>
      <c r="BE73" s="203" t="s">
        <v>149</v>
      </c>
      <c r="BF73" s="203" t="s">
        <v>149</v>
      </c>
      <c r="BG73" s="203" t="s">
        <v>149</v>
      </c>
      <c r="BH73" s="252"/>
      <c r="BI73" s="252"/>
      <c r="BJ73" s="252"/>
      <c r="BK73" s="252"/>
    </row>
    <row r="74" spans="1:63" ht="315">
      <c r="A74" s="124">
        <v>45422</v>
      </c>
      <c r="B74" s="125" t="s">
        <v>34</v>
      </c>
      <c r="C74" s="298" t="s">
        <v>407</v>
      </c>
      <c r="D74" s="125" t="s">
        <v>408</v>
      </c>
      <c r="E74" s="125" t="s">
        <v>409</v>
      </c>
      <c r="F74" s="126" t="s">
        <v>410</v>
      </c>
      <c r="G74" s="209" t="s">
        <v>382</v>
      </c>
      <c r="H74" s="212"/>
      <c r="I74" s="210" t="s">
        <v>149</v>
      </c>
      <c r="J74" s="203" t="s">
        <v>149</v>
      </c>
      <c r="K74" s="203"/>
      <c r="L74" s="203" t="s">
        <v>149</v>
      </c>
      <c r="M74" s="203" t="s">
        <v>149</v>
      </c>
      <c r="N74" s="203"/>
      <c r="O74" s="203"/>
      <c r="P74" s="203"/>
      <c r="Q74" s="203"/>
      <c r="R74" s="203"/>
      <c r="S74" s="203"/>
      <c r="T74" s="203"/>
      <c r="U74" s="203"/>
      <c r="V74" s="203"/>
      <c r="W74" s="203"/>
      <c r="X74" s="203"/>
      <c r="Y74" s="203" t="s">
        <v>149</v>
      </c>
      <c r="Z74" s="203" t="s">
        <v>149</v>
      </c>
      <c r="AA74" s="203" t="s">
        <v>149</v>
      </c>
      <c r="AB74" s="203" t="s">
        <v>149</v>
      </c>
      <c r="AC74" s="203" t="s">
        <v>149</v>
      </c>
      <c r="AD74" s="203" t="s">
        <v>149</v>
      </c>
      <c r="AE74" s="203" t="s">
        <v>149</v>
      </c>
      <c r="AF74" s="203" t="s">
        <v>149</v>
      </c>
      <c r="AG74" s="203" t="s">
        <v>149</v>
      </c>
      <c r="AH74" s="203" t="s">
        <v>149</v>
      </c>
      <c r="AI74" s="203" t="s">
        <v>149</v>
      </c>
      <c r="AJ74" s="203" t="s">
        <v>149</v>
      </c>
      <c r="AK74" s="203" t="s">
        <v>149</v>
      </c>
      <c r="AL74" s="203" t="s">
        <v>149</v>
      </c>
      <c r="AM74" s="203" t="s">
        <v>149</v>
      </c>
      <c r="AN74" s="203" t="s">
        <v>149</v>
      </c>
      <c r="AO74" s="203" t="s">
        <v>149</v>
      </c>
      <c r="AP74" s="203"/>
      <c r="AQ74" s="203" t="s">
        <v>149</v>
      </c>
      <c r="AR74" s="203" t="s">
        <v>149</v>
      </c>
      <c r="AS74" s="203" t="s">
        <v>149</v>
      </c>
      <c r="AT74" s="203"/>
      <c r="AU74" s="203"/>
      <c r="AV74" s="203" t="s">
        <v>149</v>
      </c>
      <c r="AW74" s="203" t="s">
        <v>149</v>
      </c>
      <c r="AX74" s="203" t="s">
        <v>149</v>
      </c>
      <c r="AY74" s="203"/>
      <c r="AZ74" s="203" t="s">
        <v>149</v>
      </c>
      <c r="BA74" s="203" t="s">
        <v>149</v>
      </c>
      <c r="BB74" s="203" t="s">
        <v>149</v>
      </c>
      <c r="BC74" s="203" t="s">
        <v>149</v>
      </c>
      <c r="BD74" s="203" t="s">
        <v>149</v>
      </c>
      <c r="BE74" s="203" t="s">
        <v>149</v>
      </c>
      <c r="BF74" s="203" t="s">
        <v>149</v>
      </c>
      <c r="BG74" s="203" t="s">
        <v>149</v>
      </c>
      <c r="BH74" s="252"/>
      <c r="BI74" s="252"/>
      <c r="BJ74" s="252"/>
      <c r="BK74" s="252"/>
    </row>
    <row r="75" spans="1:63" ht="285">
      <c r="A75" s="124">
        <v>45422</v>
      </c>
      <c r="B75" s="125" t="s">
        <v>34</v>
      </c>
      <c r="C75" s="298" t="s">
        <v>407</v>
      </c>
      <c r="D75" s="125" t="s">
        <v>411</v>
      </c>
      <c r="E75" s="125" t="s">
        <v>412</v>
      </c>
      <c r="F75" s="126" t="s">
        <v>413</v>
      </c>
      <c r="G75" s="209" t="s">
        <v>414</v>
      </c>
      <c r="H75" s="212"/>
      <c r="I75" s="210" t="s">
        <v>149</v>
      </c>
      <c r="J75" s="203" t="s">
        <v>149</v>
      </c>
      <c r="K75" s="203"/>
      <c r="L75" s="203" t="s">
        <v>149</v>
      </c>
      <c r="M75" s="203" t="s">
        <v>149</v>
      </c>
      <c r="N75" s="203" t="s">
        <v>149</v>
      </c>
      <c r="O75" s="203" t="s">
        <v>149</v>
      </c>
      <c r="P75" s="203" t="s">
        <v>149</v>
      </c>
      <c r="Q75" s="203" t="s">
        <v>149</v>
      </c>
      <c r="R75" s="203"/>
      <c r="S75" s="203"/>
      <c r="T75" s="203"/>
      <c r="U75" s="203"/>
      <c r="V75" s="203"/>
      <c r="W75" s="203"/>
      <c r="X75" s="203"/>
      <c r="Y75" s="203" t="s">
        <v>149</v>
      </c>
      <c r="Z75" s="203" t="s">
        <v>149</v>
      </c>
      <c r="AA75" s="203" t="s">
        <v>149</v>
      </c>
      <c r="AB75" s="203" t="s">
        <v>149</v>
      </c>
      <c r="AC75" s="203" t="s">
        <v>149</v>
      </c>
      <c r="AD75" s="203" t="s">
        <v>149</v>
      </c>
      <c r="AE75" s="203" t="s">
        <v>149</v>
      </c>
      <c r="AF75" s="203" t="s">
        <v>149</v>
      </c>
      <c r="AG75" s="203" t="s">
        <v>149</v>
      </c>
      <c r="AH75" s="203" t="s">
        <v>149</v>
      </c>
      <c r="AI75" s="203" t="s">
        <v>149</v>
      </c>
      <c r="AJ75" s="203" t="s">
        <v>149</v>
      </c>
      <c r="AK75" s="203" t="s">
        <v>149</v>
      </c>
      <c r="AL75" s="203" t="s">
        <v>149</v>
      </c>
      <c r="AM75" s="203" t="s">
        <v>149</v>
      </c>
      <c r="AN75" s="203" t="s">
        <v>149</v>
      </c>
      <c r="AO75" s="203" t="s">
        <v>149</v>
      </c>
      <c r="AP75" s="203"/>
      <c r="AQ75" s="203" t="s">
        <v>149</v>
      </c>
      <c r="AR75" s="203" t="s">
        <v>149</v>
      </c>
      <c r="AS75" s="203" t="s">
        <v>149</v>
      </c>
      <c r="AT75" s="203"/>
      <c r="AU75" s="203"/>
      <c r="AV75" s="203" t="s">
        <v>149</v>
      </c>
      <c r="AW75" s="203" t="s">
        <v>149</v>
      </c>
      <c r="AX75" s="203" t="s">
        <v>149</v>
      </c>
      <c r="AY75" s="203"/>
      <c r="AZ75" s="203" t="s">
        <v>149</v>
      </c>
      <c r="BA75" s="203" t="s">
        <v>149</v>
      </c>
      <c r="BB75" s="203" t="s">
        <v>149</v>
      </c>
      <c r="BC75" s="203" t="s">
        <v>149</v>
      </c>
      <c r="BD75" s="203" t="s">
        <v>149</v>
      </c>
      <c r="BE75" s="203" t="s">
        <v>149</v>
      </c>
      <c r="BF75" s="203" t="s">
        <v>149</v>
      </c>
      <c r="BG75" s="203" t="s">
        <v>149</v>
      </c>
      <c r="BH75" s="252"/>
      <c r="BI75" s="252"/>
      <c r="BJ75" s="252"/>
      <c r="BK75" s="252"/>
    </row>
    <row r="76" spans="1:63" ht="409.5">
      <c r="A76" s="124">
        <v>45429</v>
      </c>
      <c r="B76" s="125" t="s">
        <v>34</v>
      </c>
      <c r="C76" s="298" t="s">
        <v>407</v>
      </c>
      <c r="D76" s="125" t="s">
        <v>415</v>
      </c>
      <c r="E76" s="125" t="s">
        <v>416</v>
      </c>
      <c r="F76" s="126" t="s">
        <v>417</v>
      </c>
      <c r="G76" s="209" t="s">
        <v>382</v>
      </c>
      <c r="H76" s="212"/>
      <c r="I76" s="210" t="s">
        <v>149</v>
      </c>
      <c r="J76" s="203" t="s">
        <v>149</v>
      </c>
      <c r="K76" s="203"/>
      <c r="L76" s="203" t="s">
        <v>149</v>
      </c>
      <c r="M76" s="203" t="s">
        <v>149</v>
      </c>
      <c r="N76" s="203"/>
      <c r="O76" s="203"/>
      <c r="P76" s="203"/>
      <c r="Q76" s="203"/>
      <c r="R76" s="203"/>
      <c r="S76" s="203"/>
      <c r="T76" s="203"/>
      <c r="U76" s="203"/>
      <c r="V76" s="203"/>
      <c r="W76" s="203"/>
      <c r="X76" s="203"/>
      <c r="Y76" s="203" t="s">
        <v>149</v>
      </c>
      <c r="Z76" s="203" t="s">
        <v>149</v>
      </c>
      <c r="AA76" s="203" t="s">
        <v>149</v>
      </c>
      <c r="AB76" s="203" t="s">
        <v>149</v>
      </c>
      <c r="AC76" s="203" t="s">
        <v>149</v>
      </c>
      <c r="AD76" s="203" t="s">
        <v>149</v>
      </c>
      <c r="AE76" s="203" t="s">
        <v>149</v>
      </c>
      <c r="AF76" s="203" t="s">
        <v>149</v>
      </c>
      <c r="AG76" s="203" t="s">
        <v>149</v>
      </c>
      <c r="AH76" s="203" t="s">
        <v>149</v>
      </c>
      <c r="AI76" s="203" t="s">
        <v>149</v>
      </c>
      <c r="AJ76" s="203" t="s">
        <v>149</v>
      </c>
      <c r="AK76" s="203" t="s">
        <v>149</v>
      </c>
      <c r="AL76" s="203" t="s">
        <v>149</v>
      </c>
      <c r="AM76" s="203" t="s">
        <v>149</v>
      </c>
      <c r="AN76" s="203" t="s">
        <v>149</v>
      </c>
      <c r="AO76" s="203" t="s">
        <v>149</v>
      </c>
      <c r="AP76" s="203"/>
      <c r="AQ76" s="203" t="s">
        <v>149</v>
      </c>
      <c r="AR76" s="203" t="s">
        <v>149</v>
      </c>
      <c r="AS76" s="203" t="s">
        <v>149</v>
      </c>
      <c r="AT76" s="203"/>
      <c r="AU76" s="203"/>
      <c r="AV76" s="203" t="s">
        <v>149</v>
      </c>
      <c r="AW76" s="203" t="s">
        <v>149</v>
      </c>
      <c r="AX76" s="203" t="s">
        <v>149</v>
      </c>
      <c r="AY76" s="203"/>
      <c r="AZ76" s="203" t="s">
        <v>149</v>
      </c>
      <c r="BA76" s="203" t="s">
        <v>149</v>
      </c>
      <c r="BB76" s="203" t="s">
        <v>149</v>
      </c>
      <c r="BC76" s="203" t="s">
        <v>149</v>
      </c>
      <c r="BD76" s="203" t="s">
        <v>149</v>
      </c>
      <c r="BE76" s="203" t="s">
        <v>149</v>
      </c>
      <c r="BF76" s="203" t="s">
        <v>149</v>
      </c>
      <c r="BG76" s="203" t="s">
        <v>149</v>
      </c>
      <c r="BH76" s="252"/>
      <c r="BI76" s="252"/>
      <c r="BJ76" s="252"/>
      <c r="BK76" s="252"/>
    </row>
    <row r="77" spans="1:63" ht="405">
      <c r="A77" s="124">
        <v>45429</v>
      </c>
      <c r="B77" s="125" t="s">
        <v>34</v>
      </c>
      <c r="C77" s="298" t="s">
        <v>407</v>
      </c>
      <c r="D77" s="125" t="s">
        <v>418</v>
      </c>
      <c r="E77" s="125" t="s">
        <v>419</v>
      </c>
      <c r="F77" s="126" t="s">
        <v>420</v>
      </c>
      <c r="G77" s="209" t="s">
        <v>414</v>
      </c>
      <c r="H77" s="212"/>
      <c r="I77" s="210" t="s">
        <v>149</v>
      </c>
      <c r="J77" s="203" t="s">
        <v>149</v>
      </c>
      <c r="K77" s="203"/>
      <c r="L77" s="203" t="s">
        <v>149</v>
      </c>
      <c r="M77" s="203" t="s">
        <v>149</v>
      </c>
      <c r="N77" s="203" t="s">
        <v>149</v>
      </c>
      <c r="O77" s="203" t="s">
        <v>149</v>
      </c>
      <c r="P77" s="203" t="s">
        <v>149</v>
      </c>
      <c r="Q77" s="203" t="s">
        <v>149</v>
      </c>
      <c r="R77" s="203"/>
      <c r="S77" s="203"/>
      <c r="T77" s="203"/>
      <c r="U77" s="203"/>
      <c r="V77" s="203"/>
      <c r="W77" s="203"/>
      <c r="X77" s="203"/>
      <c r="Y77" s="203" t="s">
        <v>149</v>
      </c>
      <c r="Z77" s="203" t="s">
        <v>149</v>
      </c>
      <c r="AA77" s="203" t="s">
        <v>149</v>
      </c>
      <c r="AB77" s="203" t="s">
        <v>149</v>
      </c>
      <c r="AC77" s="203" t="s">
        <v>149</v>
      </c>
      <c r="AD77" s="203" t="s">
        <v>149</v>
      </c>
      <c r="AE77" s="203" t="s">
        <v>149</v>
      </c>
      <c r="AF77" s="203" t="s">
        <v>149</v>
      </c>
      <c r="AG77" s="203" t="s">
        <v>149</v>
      </c>
      <c r="AH77" s="203" t="s">
        <v>149</v>
      </c>
      <c r="AI77" s="203" t="s">
        <v>149</v>
      </c>
      <c r="AJ77" s="203" t="s">
        <v>149</v>
      </c>
      <c r="AK77" s="203" t="s">
        <v>149</v>
      </c>
      <c r="AL77" s="203" t="s">
        <v>149</v>
      </c>
      <c r="AM77" s="203" t="s">
        <v>149</v>
      </c>
      <c r="AN77" s="203" t="s">
        <v>149</v>
      </c>
      <c r="AO77" s="203" t="s">
        <v>149</v>
      </c>
      <c r="AP77" s="203"/>
      <c r="AQ77" s="203" t="s">
        <v>149</v>
      </c>
      <c r="AR77" s="203" t="s">
        <v>149</v>
      </c>
      <c r="AS77" s="203" t="s">
        <v>149</v>
      </c>
      <c r="AT77" s="203"/>
      <c r="AU77" s="203"/>
      <c r="AV77" s="203" t="s">
        <v>149</v>
      </c>
      <c r="AW77" s="203" t="s">
        <v>149</v>
      </c>
      <c r="AX77" s="203" t="s">
        <v>149</v>
      </c>
      <c r="AY77" s="203"/>
      <c r="AZ77" s="203" t="s">
        <v>149</v>
      </c>
      <c r="BA77" s="203" t="s">
        <v>149</v>
      </c>
      <c r="BB77" s="203" t="s">
        <v>149</v>
      </c>
      <c r="BC77" s="203" t="s">
        <v>149</v>
      </c>
      <c r="BD77" s="203" t="s">
        <v>149</v>
      </c>
      <c r="BE77" s="203" t="s">
        <v>149</v>
      </c>
      <c r="BF77" s="203" t="s">
        <v>149</v>
      </c>
      <c r="BG77" s="203" t="s">
        <v>149</v>
      </c>
      <c r="BH77" s="252"/>
      <c r="BI77" s="252"/>
      <c r="BJ77" s="252"/>
      <c r="BK77" s="252"/>
    </row>
    <row r="78" spans="1:63" ht="409.5">
      <c r="A78" s="124">
        <v>45436</v>
      </c>
      <c r="B78" s="125" t="s">
        <v>34</v>
      </c>
      <c r="C78" s="298" t="s">
        <v>407</v>
      </c>
      <c r="D78" s="125" t="s">
        <v>421</v>
      </c>
      <c r="E78" s="125" t="s">
        <v>422</v>
      </c>
      <c r="F78" s="126" t="s">
        <v>423</v>
      </c>
      <c r="G78" s="209" t="s">
        <v>382</v>
      </c>
      <c r="H78" s="212"/>
      <c r="I78" s="210" t="s">
        <v>149</v>
      </c>
      <c r="J78" s="203" t="s">
        <v>149</v>
      </c>
      <c r="K78" s="203"/>
      <c r="L78" s="203" t="s">
        <v>149</v>
      </c>
      <c r="M78" s="203" t="s">
        <v>149</v>
      </c>
      <c r="N78" s="203"/>
      <c r="O78" s="203"/>
      <c r="P78" s="203"/>
      <c r="Q78" s="203"/>
      <c r="R78" s="203"/>
      <c r="S78" s="203"/>
      <c r="T78" s="203"/>
      <c r="U78" s="203"/>
      <c r="V78" s="203"/>
      <c r="W78" s="203"/>
      <c r="X78" s="203"/>
      <c r="Y78" s="203" t="s">
        <v>149</v>
      </c>
      <c r="Z78" s="203" t="s">
        <v>149</v>
      </c>
      <c r="AA78" s="203" t="s">
        <v>149</v>
      </c>
      <c r="AB78" s="203" t="s">
        <v>149</v>
      </c>
      <c r="AC78" s="203" t="s">
        <v>149</v>
      </c>
      <c r="AD78" s="203" t="s">
        <v>149</v>
      </c>
      <c r="AE78" s="203" t="s">
        <v>149</v>
      </c>
      <c r="AF78" s="203" t="s">
        <v>149</v>
      </c>
      <c r="AG78" s="203" t="s">
        <v>149</v>
      </c>
      <c r="AH78" s="203" t="s">
        <v>149</v>
      </c>
      <c r="AI78" s="203" t="s">
        <v>149</v>
      </c>
      <c r="AJ78" s="203" t="s">
        <v>149</v>
      </c>
      <c r="AK78" s="203" t="s">
        <v>149</v>
      </c>
      <c r="AL78" s="203" t="s">
        <v>149</v>
      </c>
      <c r="AM78" s="203" t="s">
        <v>149</v>
      </c>
      <c r="AN78" s="203" t="s">
        <v>149</v>
      </c>
      <c r="AO78" s="203" t="s">
        <v>149</v>
      </c>
      <c r="AP78" s="203"/>
      <c r="AQ78" s="203" t="s">
        <v>149</v>
      </c>
      <c r="AR78" s="203" t="s">
        <v>149</v>
      </c>
      <c r="AS78" s="203" t="s">
        <v>149</v>
      </c>
      <c r="AT78" s="203"/>
      <c r="AU78" s="203"/>
      <c r="AV78" s="203" t="s">
        <v>149</v>
      </c>
      <c r="AW78" s="203" t="s">
        <v>149</v>
      </c>
      <c r="AX78" s="203" t="s">
        <v>149</v>
      </c>
      <c r="AY78" s="203"/>
      <c r="AZ78" s="203" t="s">
        <v>149</v>
      </c>
      <c r="BA78" s="203" t="s">
        <v>149</v>
      </c>
      <c r="BB78" s="203" t="s">
        <v>149</v>
      </c>
      <c r="BC78" s="203" t="s">
        <v>149</v>
      </c>
      <c r="BD78" s="203" t="s">
        <v>149</v>
      </c>
      <c r="BE78" s="203" t="s">
        <v>149</v>
      </c>
      <c r="BF78" s="203" t="s">
        <v>149</v>
      </c>
      <c r="BG78" s="203" t="s">
        <v>149</v>
      </c>
      <c r="BH78" s="252"/>
      <c r="BI78" s="252"/>
      <c r="BJ78" s="252"/>
      <c r="BK78" s="252"/>
    </row>
    <row r="79" spans="1:63" ht="409.5">
      <c r="A79" s="124">
        <v>45436</v>
      </c>
      <c r="B79" s="125" t="s">
        <v>34</v>
      </c>
      <c r="C79" s="298" t="s">
        <v>407</v>
      </c>
      <c r="D79" s="125" t="s">
        <v>424</v>
      </c>
      <c r="E79" s="125" t="s">
        <v>425</v>
      </c>
      <c r="F79" s="126" t="s">
        <v>426</v>
      </c>
      <c r="G79" s="209" t="s">
        <v>414</v>
      </c>
      <c r="H79" s="212"/>
      <c r="I79" s="210" t="s">
        <v>149</v>
      </c>
      <c r="J79" s="203" t="s">
        <v>149</v>
      </c>
      <c r="K79" s="203"/>
      <c r="L79" s="203" t="s">
        <v>149</v>
      </c>
      <c r="M79" s="203" t="s">
        <v>149</v>
      </c>
      <c r="N79" s="203" t="s">
        <v>149</v>
      </c>
      <c r="O79" s="203" t="s">
        <v>149</v>
      </c>
      <c r="P79" s="203" t="s">
        <v>149</v>
      </c>
      <c r="Q79" s="203" t="s">
        <v>149</v>
      </c>
      <c r="R79" s="203"/>
      <c r="S79" s="203"/>
      <c r="T79" s="203"/>
      <c r="U79" s="203"/>
      <c r="V79" s="203"/>
      <c r="W79" s="203"/>
      <c r="X79" s="203"/>
      <c r="Y79" s="203" t="s">
        <v>149</v>
      </c>
      <c r="Z79" s="203" t="s">
        <v>149</v>
      </c>
      <c r="AA79" s="203" t="s">
        <v>149</v>
      </c>
      <c r="AB79" s="203" t="s">
        <v>149</v>
      </c>
      <c r="AC79" s="203" t="s">
        <v>149</v>
      </c>
      <c r="AD79" s="203" t="s">
        <v>149</v>
      </c>
      <c r="AE79" s="203" t="s">
        <v>149</v>
      </c>
      <c r="AF79" s="203" t="s">
        <v>149</v>
      </c>
      <c r="AG79" s="203" t="s">
        <v>149</v>
      </c>
      <c r="AH79" s="203" t="s">
        <v>149</v>
      </c>
      <c r="AI79" s="203" t="s">
        <v>149</v>
      </c>
      <c r="AJ79" s="203" t="s">
        <v>149</v>
      </c>
      <c r="AK79" s="203" t="s">
        <v>149</v>
      </c>
      <c r="AL79" s="203" t="s">
        <v>149</v>
      </c>
      <c r="AM79" s="203" t="s">
        <v>149</v>
      </c>
      <c r="AN79" s="203" t="s">
        <v>149</v>
      </c>
      <c r="AO79" s="203" t="s">
        <v>149</v>
      </c>
      <c r="AP79" s="203"/>
      <c r="AQ79" s="203" t="s">
        <v>149</v>
      </c>
      <c r="AR79" s="203" t="s">
        <v>149</v>
      </c>
      <c r="AS79" s="203" t="s">
        <v>149</v>
      </c>
      <c r="AT79" s="203"/>
      <c r="AU79" s="203"/>
      <c r="AV79" s="203" t="s">
        <v>149</v>
      </c>
      <c r="AW79" s="203" t="s">
        <v>149</v>
      </c>
      <c r="AX79" s="203" t="s">
        <v>149</v>
      </c>
      <c r="AY79" s="203"/>
      <c r="AZ79" s="203" t="s">
        <v>149</v>
      </c>
      <c r="BA79" s="203" t="s">
        <v>149</v>
      </c>
      <c r="BB79" s="203" t="s">
        <v>149</v>
      </c>
      <c r="BC79" s="203" t="s">
        <v>149</v>
      </c>
      <c r="BD79" s="203" t="s">
        <v>149</v>
      </c>
      <c r="BE79" s="203" t="s">
        <v>149</v>
      </c>
      <c r="BF79" s="203" t="s">
        <v>149</v>
      </c>
      <c r="BG79" s="203" t="s">
        <v>149</v>
      </c>
      <c r="BH79" s="252"/>
      <c r="BI79" s="252"/>
      <c r="BJ79" s="252"/>
      <c r="BK79" s="252"/>
    </row>
    <row r="80" spans="1:63" ht="240">
      <c r="A80" s="124">
        <v>45443</v>
      </c>
      <c r="B80" s="125" t="s">
        <v>34</v>
      </c>
      <c r="C80" s="298" t="s">
        <v>427</v>
      </c>
      <c r="D80" s="125" t="s">
        <v>428</v>
      </c>
      <c r="E80" s="125" t="s">
        <v>429</v>
      </c>
      <c r="F80" s="126" t="s">
        <v>430</v>
      </c>
      <c r="G80" s="209" t="s">
        <v>382</v>
      </c>
      <c r="H80" s="212"/>
      <c r="I80" s="210" t="s">
        <v>149</v>
      </c>
      <c r="J80" s="203" t="s">
        <v>149</v>
      </c>
      <c r="K80" s="203"/>
      <c r="L80" s="203" t="s">
        <v>149</v>
      </c>
      <c r="M80" s="203" t="s">
        <v>149</v>
      </c>
      <c r="N80" s="203"/>
      <c r="O80" s="203"/>
      <c r="P80" s="203"/>
      <c r="Q80" s="203"/>
      <c r="R80" s="203"/>
      <c r="S80" s="203"/>
      <c r="T80" s="203"/>
      <c r="U80" s="203"/>
      <c r="V80" s="203"/>
      <c r="W80" s="203"/>
      <c r="X80" s="203"/>
      <c r="Y80" s="203" t="s">
        <v>149</v>
      </c>
      <c r="Z80" s="203" t="s">
        <v>149</v>
      </c>
      <c r="AA80" s="203" t="s">
        <v>149</v>
      </c>
      <c r="AB80" s="203" t="s">
        <v>149</v>
      </c>
      <c r="AC80" s="203" t="s">
        <v>149</v>
      </c>
      <c r="AD80" s="203" t="s">
        <v>149</v>
      </c>
      <c r="AE80" s="203" t="s">
        <v>149</v>
      </c>
      <c r="AF80" s="203" t="s">
        <v>149</v>
      </c>
      <c r="AG80" s="203" t="s">
        <v>149</v>
      </c>
      <c r="AH80" s="203" t="s">
        <v>149</v>
      </c>
      <c r="AI80" s="203" t="s">
        <v>149</v>
      </c>
      <c r="AJ80" s="203" t="s">
        <v>149</v>
      </c>
      <c r="AK80" s="203" t="s">
        <v>149</v>
      </c>
      <c r="AL80" s="203" t="s">
        <v>149</v>
      </c>
      <c r="AM80" s="203" t="s">
        <v>149</v>
      </c>
      <c r="AN80" s="203" t="s">
        <v>149</v>
      </c>
      <c r="AO80" s="203" t="s">
        <v>149</v>
      </c>
      <c r="AP80" s="203"/>
      <c r="AQ80" s="203" t="s">
        <v>149</v>
      </c>
      <c r="AR80" s="203" t="s">
        <v>149</v>
      </c>
      <c r="AS80" s="203" t="s">
        <v>149</v>
      </c>
      <c r="AT80" s="203"/>
      <c r="AU80" s="203"/>
      <c r="AV80" s="203" t="s">
        <v>149</v>
      </c>
      <c r="AW80" s="203" t="s">
        <v>149</v>
      </c>
      <c r="AX80" s="203" t="s">
        <v>149</v>
      </c>
      <c r="AY80" s="203"/>
      <c r="AZ80" s="203" t="s">
        <v>149</v>
      </c>
      <c r="BA80" s="203" t="s">
        <v>149</v>
      </c>
      <c r="BB80" s="203" t="s">
        <v>149</v>
      </c>
      <c r="BC80" s="203" t="s">
        <v>149</v>
      </c>
      <c r="BD80" s="203" t="s">
        <v>149</v>
      </c>
      <c r="BE80" s="203" t="s">
        <v>149</v>
      </c>
      <c r="BF80" s="203" t="s">
        <v>149</v>
      </c>
      <c r="BG80" s="203" t="s">
        <v>149</v>
      </c>
      <c r="BH80" s="252"/>
      <c r="BI80" s="252"/>
      <c r="BJ80" s="252"/>
      <c r="BK80" s="252"/>
    </row>
    <row r="81" spans="1:63" ht="285">
      <c r="A81" s="124">
        <v>45443</v>
      </c>
      <c r="B81" s="125" t="s">
        <v>34</v>
      </c>
      <c r="C81" s="298" t="s">
        <v>407</v>
      </c>
      <c r="D81" s="125" t="s">
        <v>431</v>
      </c>
      <c r="E81" s="125" t="s">
        <v>432</v>
      </c>
      <c r="F81" s="126" t="s">
        <v>433</v>
      </c>
      <c r="G81" s="209" t="s">
        <v>382</v>
      </c>
      <c r="H81" s="212"/>
      <c r="I81" s="210" t="s">
        <v>149</v>
      </c>
      <c r="J81" s="203" t="s">
        <v>149</v>
      </c>
      <c r="K81" s="203"/>
      <c r="L81" s="203" t="s">
        <v>149</v>
      </c>
      <c r="M81" s="203" t="s">
        <v>149</v>
      </c>
      <c r="N81" s="203"/>
      <c r="O81" s="203"/>
      <c r="P81" s="203"/>
      <c r="Q81" s="203"/>
      <c r="R81" s="203"/>
      <c r="S81" s="203"/>
      <c r="T81" s="203"/>
      <c r="U81" s="203"/>
      <c r="V81" s="203"/>
      <c r="W81" s="203"/>
      <c r="X81" s="203"/>
      <c r="Y81" s="203" t="s">
        <v>149</v>
      </c>
      <c r="Z81" s="203" t="s">
        <v>149</v>
      </c>
      <c r="AA81" s="203" t="s">
        <v>149</v>
      </c>
      <c r="AB81" s="203" t="s">
        <v>149</v>
      </c>
      <c r="AC81" s="203" t="s">
        <v>149</v>
      </c>
      <c r="AD81" s="203" t="s">
        <v>149</v>
      </c>
      <c r="AE81" s="203" t="s">
        <v>149</v>
      </c>
      <c r="AF81" s="203" t="s">
        <v>149</v>
      </c>
      <c r="AG81" s="203" t="s">
        <v>149</v>
      </c>
      <c r="AH81" s="203" t="s">
        <v>149</v>
      </c>
      <c r="AI81" s="203" t="s">
        <v>149</v>
      </c>
      <c r="AJ81" s="203" t="s">
        <v>149</v>
      </c>
      <c r="AK81" s="203" t="s">
        <v>149</v>
      </c>
      <c r="AL81" s="203" t="s">
        <v>149</v>
      </c>
      <c r="AM81" s="203" t="s">
        <v>149</v>
      </c>
      <c r="AN81" s="203" t="s">
        <v>149</v>
      </c>
      <c r="AO81" s="203" t="s">
        <v>149</v>
      </c>
      <c r="AP81" s="203"/>
      <c r="AQ81" s="203" t="s">
        <v>149</v>
      </c>
      <c r="AR81" s="203" t="s">
        <v>149</v>
      </c>
      <c r="AS81" s="203" t="s">
        <v>149</v>
      </c>
      <c r="AT81" s="203"/>
      <c r="AU81" s="203"/>
      <c r="AV81" s="203" t="s">
        <v>149</v>
      </c>
      <c r="AW81" s="203" t="s">
        <v>149</v>
      </c>
      <c r="AX81" s="203" t="s">
        <v>149</v>
      </c>
      <c r="AY81" s="203"/>
      <c r="AZ81" s="203" t="s">
        <v>149</v>
      </c>
      <c r="BA81" s="203" t="s">
        <v>149</v>
      </c>
      <c r="BB81" s="203" t="s">
        <v>149</v>
      </c>
      <c r="BC81" s="203" t="s">
        <v>149</v>
      </c>
      <c r="BD81" s="203" t="s">
        <v>149</v>
      </c>
      <c r="BE81" s="203" t="s">
        <v>149</v>
      </c>
      <c r="BF81" s="203" t="s">
        <v>149</v>
      </c>
      <c r="BG81" s="203" t="s">
        <v>149</v>
      </c>
      <c r="BH81" s="252"/>
      <c r="BI81" s="252"/>
      <c r="BJ81" s="252"/>
      <c r="BK81" s="252"/>
    </row>
    <row r="82" spans="1:63" ht="345">
      <c r="A82" s="124">
        <v>45450</v>
      </c>
      <c r="B82" s="125" t="s">
        <v>34</v>
      </c>
      <c r="C82" s="298" t="s">
        <v>434</v>
      </c>
      <c r="D82" s="125" t="s">
        <v>435</v>
      </c>
      <c r="E82" s="125" t="s">
        <v>436</v>
      </c>
      <c r="F82" s="126" t="s">
        <v>437</v>
      </c>
      <c r="G82" s="209" t="s">
        <v>382</v>
      </c>
      <c r="H82" s="212"/>
      <c r="I82" s="210" t="s">
        <v>149</v>
      </c>
      <c r="J82" s="203" t="s">
        <v>149</v>
      </c>
      <c r="K82" s="203"/>
      <c r="L82" s="203" t="s">
        <v>149</v>
      </c>
      <c r="M82" s="203" t="s">
        <v>149</v>
      </c>
      <c r="N82" s="203"/>
      <c r="O82" s="203"/>
      <c r="P82" s="203"/>
      <c r="Q82" s="203"/>
      <c r="R82" s="203"/>
      <c r="S82" s="203"/>
      <c r="T82" s="203"/>
      <c r="U82" s="203"/>
      <c r="V82" s="203"/>
      <c r="W82" s="203"/>
      <c r="X82" s="203"/>
      <c r="Y82" s="203" t="s">
        <v>149</v>
      </c>
      <c r="Z82" s="203" t="s">
        <v>149</v>
      </c>
      <c r="AA82" s="203" t="s">
        <v>149</v>
      </c>
      <c r="AB82" s="203" t="s">
        <v>149</v>
      </c>
      <c r="AC82" s="203" t="s">
        <v>149</v>
      </c>
      <c r="AD82" s="203" t="s">
        <v>149</v>
      </c>
      <c r="AE82" s="203" t="s">
        <v>149</v>
      </c>
      <c r="AF82" s="203" t="s">
        <v>149</v>
      </c>
      <c r="AG82" s="203" t="s">
        <v>149</v>
      </c>
      <c r="AH82" s="203" t="s">
        <v>149</v>
      </c>
      <c r="AI82" s="203" t="s">
        <v>149</v>
      </c>
      <c r="AJ82" s="203" t="s">
        <v>149</v>
      </c>
      <c r="AK82" s="203" t="s">
        <v>149</v>
      </c>
      <c r="AL82" s="203" t="s">
        <v>149</v>
      </c>
      <c r="AM82" s="203" t="s">
        <v>149</v>
      </c>
      <c r="AN82" s="203" t="s">
        <v>149</v>
      </c>
      <c r="AO82" s="203" t="s">
        <v>149</v>
      </c>
      <c r="AP82" s="203"/>
      <c r="AQ82" s="203" t="s">
        <v>149</v>
      </c>
      <c r="AR82" s="203" t="s">
        <v>149</v>
      </c>
      <c r="AS82" s="203" t="s">
        <v>149</v>
      </c>
      <c r="AT82" s="203"/>
      <c r="AU82" s="203"/>
      <c r="AV82" s="203" t="s">
        <v>149</v>
      </c>
      <c r="AW82" s="203" t="s">
        <v>149</v>
      </c>
      <c r="AX82" s="203" t="s">
        <v>149</v>
      </c>
      <c r="AY82" s="203"/>
      <c r="AZ82" s="203" t="s">
        <v>149</v>
      </c>
      <c r="BA82" s="203" t="s">
        <v>149</v>
      </c>
      <c r="BB82" s="203" t="s">
        <v>149</v>
      </c>
      <c r="BC82" s="203" t="s">
        <v>149</v>
      </c>
      <c r="BD82" s="203" t="s">
        <v>149</v>
      </c>
      <c r="BE82" s="203" t="s">
        <v>149</v>
      </c>
      <c r="BF82" s="203" t="s">
        <v>149</v>
      </c>
      <c r="BG82" s="203" t="s">
        <v>149</v>
      </c>
      <c r="BH82" s="252"/>
      <c r="BI82" s="252"/>
      <c r="BJ82" s="252"/>
      <c r="BK82" s="252"/>
    </row>
    <row r="83" spans="1:63" ht="240">
      <c r="A83" s="124">
        <v>45457</v>
      </c>
      <c r="B83" s="125" t="s">
        <v>34</v>
      </c>
      <c r="C83" s="298" t="s">
        <v>438</v>
      </c>
      <c r="D83" s="125" t="s">
        <v>439</v>
      </c>
      <c r="E83" s="125" t="s">
        <v>440</v>
      </c>
      <c r="F83" s="126" t="s">
        <v>441</v>
      </c>
      <c r="G83" s="209" t="s">
        <v>382</v>
      </c>
      <c r="H83" s="212"/>
      <c r="I83" s="210" t="s">
        <v>149</v>
      </c>
      <c r="J83" s="203" t="s">
        <v>149</v>
      </c>
      <c r="K83" s="203"/>
      <c r="L83" s="203" t="s">
        <v>149</v>
      </c>
      <c r="M83" s="203" t="s">
        <v>149</v>
      </c>
      <c r="N83" s="203"/>
      <c r="O83" s="203"/>
      <c r="P83" s="203"/>
      <c r="Q83" s="203"/>
      <c r="R83" s="203"/>
      <c r="S83" s="203"/>
      <c r="T83" s="203"/>
      <c r="U83" s="203"/>
      <c r="V83" s="203"/>
      <c r="W83" s="203"/>
      <c r="X83" s="203"/>
      <c r="Y83" s="203" t="s">
        <v>149</v>
      </c>
      <c r="Z83" s="203" t="s">
        <v>149</v>
      </c>
      <c r="AA83" s="203" t="s">
        <v>149</v>
      </c>
      <c r="AB83" s="203" t="s">
        <v>149</v>
      </c>
      <c r="AC83" s="203" t="s">
        <v>149</v>
      </c>
      <c r="AD83" s="203" t="s">
        <v>149</v>
      </c>
      <c r="AE83" s="203" t="s">
        <v>149</v>
      </c>
      <c r="AF83" s="203" t="s">
        <v>149</v>
      </c>
      <c r="AG83" s="203" t="s">
        <v>149</v>
      </c>
      <c r="AH83" s="203" t="s">
        <v>149</v>
      </c>
      <c r="AI83" s="203" t="s">
        <v>149</v>
      </c>
      <c r="AJ83" s="203" t="s">
        <v>149</v>
      </c>
      <c r="AK83" s="203" t="s">
        <v>149</v>
      </c>
      <c r="AL83" s="203" t="s">
        <v>149</v>
      </c>
      <c r="AM83" s="203" t="s">
        <v>149</v>
      </c>
      <c r="AN83" s="203" t="s">
        <v>149</v>
      </c>
      <c r="AO83" s="203" t="s">
        <v>149</v>
      </c>
      <c r="AP83" s="203"/>
      <c r="AQ83" s="203" t="s">
        <v>149</v>
      </c>
      <c r="AR83" s="203" t="s">
        <v>149</v>
      </c>
      <c r="AS83" s="203" t="s">
        <v>149</v>
      </c>
      <c r="AT83" s="203"/>
      <c r="AU83" s="203"/>
      <c r="AV83" s="203" t="s">
        <v>149</v>
      </c>
      <c r="AW83" s="203" t="s">
        <v>149</v>
      </c>
      <c r="AX83" s="203" t="s">
        <v>149</v>
      </c>
      <c r="AY83" s="203"/>
      <c r="AZ83" s="203" t="s">
        <v>149</v>
      </c>
      <c r="BA83" s="203" t="s">
        <v>149</v>
      </c>
      <c r="BB83" s="203" t="s">
        <v>149</v>
      </c>
      <c r="BC83" s="203" t="s">
        <v>149</v>
      </c>
      <c r="BD83" s="203" t="s">
        <v>149</v>
      </c>
      <c r="BE83" s="203" t="s">
        <v>149</v>
      </c>
      <c r="BF83" s="203" t="s">
        <v>149</v>
      </c>
      <c r="BG83" s="203" t="s">
        <v>149</v>
      </c>
      <c r="BH83" s="252"/>
      <c r="BI83" s="252"/>
      <c r="BJ83" s="252"/>
      <c r="BK83" s="252"/>
    </row>
    <row r="84" spans="1:63" ht="360">
      <c r="A84" s="124">
        <v>45457</v>
      </c>
      <c r="B84" s="125" t="s">
        <v>34</v>
      </c>
      <c r="C84" s="298" t="s">
        <v>434</v>
      </c>
      <c r="D84" s="125" t="s">
        <v>442</v>
      </c>
      <c r="E84" s="125" t="s">
        <v>443</v>
      </c>
      <c r="F84" s="126" t="s">
        <v>444</v>
      </c>
      <c r="G84" s="209" t="s">
        <v>382</v>
      </c>
      <c r="H84" s="212"/>
      <c r="I84" s="210" t="s">
        <v>149</v>
      </c>
      <c r="J84" s="203" t="s">
        <v>149</v>
      </c>
      <c r="K84" s="203"/>
      <c r="L84" s="203" t="s">
        <v>149</v>
      </c>
      <c r="M84" s="203" t="s">
        <v>149</v>
      </c>
      <c r="N84" s="203"/>
      <c r="O84" s="203"/>
      <c r="P84" s="203"/>
      <c r="Q84" s="203"/>
      <c r="R84" s="203"/>
      <c r="S84" s="203"/>
      <c r="T84" s="203"/>
      <c r="U84" s="203"/>
      <c r="V84" s="203"/>
      <c r="W84" s="203"/>
      <c r="X84" s="203"/>
      <c r="Y84" s="203" t="s">
        <v>149</v>
      </c>
      <c r="Z84" s="203" t="s">
        <v>149</v>
      </c>
      <c r="AA84" s="203" t="s">
        <v>149</v>
      </c>
      <c r="AB84" s="203" t="s">
        <v>149</v>
      </c>
      <c r="AC84" s="203" t="s">
        <v>149</v>
      </c>
      <c r="AD84" s="203" t="s">
        <v>149</v>
      </c>
      <c r="AE84" s="203" t="s">
        <v>149</v>
      </c>
      <c r="AF84" s="203" t="s">
        <v>149</v>
      </c>
      <c r="AG84" s="203" t="s">
        <v>149</v>
      </c>
      <c r="AH84" s="203" t="s">
        <v>149</v>
      </c>
      <c r="AI84" s="203" t="s">
        <v>149</v>
      </c>
      <c r="AJ84" s="203" t="s">
        <v>149</v>
      </c>
      <c r="AK84" s="203" t="s">
        <v>149</v>
      </c>
      <c r="AL84" s="203" t="s">
        <v>149</v>
      </c>
      <c r="AM84" s="203" t="s">
        <v>149</v>
      </c>
      <c r="AN84" s="203" t="s">
        <v>149</v>
      </c>
      <c r="AO84" s="203" t="s">
        <v>149</v>
      </c>
      <c r="AP84" s="203"/>
      <c r="AQ84" s="203" t="s">
        <v>149</v>
      </c>
      <c r="AR84" s="203" t="s">
        <v>149</v>
      </c>
      <c r="AS84" s="203" t="s">
        <v>149</v>
      </c>
      <c r="AT84" s="203"/>
      <c r="AU84" s="203"/>
      <c r="AV84" s="203" t="s">
        <v>149</v>
      </c>
      <c r="AW84" s="203" t="s">
        <v>149</v>
      </c>
      <c r="AX84" s="203" t="s">
        <v>149</v>
      </c>
      <c r="AY84" s="203"/>
      <c r="AZ84" s="203" t="s">
        <v>149</v>
      </c>
      <c r="BA84" s="203" t="s">
        <v>149</v>
      </c>
      <c r="BB84" s="203" t="s">
        <v>149</v>
      </c>
      <c r="BC84" s="203" t="s">
        <v>149</v>
      </c>
      <c r="BD84" s="203" t="s">
        <v>149</v>
      </c>
      <c r="BE84" s="203" t="s">
        <v>149</v>
      </c>
      <c r="BF84" s="203" t="s">
        <v>149</v>
      </c>
      <c r="BG84" s="203" t="s">
        <v>149</v>
      </c>
      <c r="BH84" s="252"/>
      <c r="BI84" s="252"/>
      <c r="BJ84" s="252"/>
      <c r="BK84" s="252"/>
    </row>
    <row r="85" spans="1:63" ht="345">
      <c r="A85" s="124">
        <v>45464</v>
      </c>
      <c r="B85" s="125" t="s">
        <v>34</v>
      </c>
      <c r="C85" s="298" t="s">
        <v>434</v>
      </c>
      <c r="D85" s="125" t="s">
        <v>445</v>
      </c>
      <c r="E85" s="125" t="s">
        <v>446</v>
      </c>
      <c r="F85" s="126" t="s">
        <v>447</v>
      </c>
      <c r="G85" s="209" t="s">
        <v>382</v>
      </c>
      <c r="H85" s="212"/>
      <c r="I85" s="210" t="s">
        <v>149</v>
      </c>
      <c r="J85" s="203" t="s">
        <v>149</v>
      </c>
      <c r="K85" s="203"/>
      <c r="L85" s="203" t="s">
        <v>149</v>
      </c>
      <c r="M85" s="203" t="s">
        <v>149</v>
      </c>
      <c r="N85" s="203"/>
      <c r="O85" s="203"/>
      <c r="P85" s="203"/>
      <c r="Q85" s="203"/>
      <c r="R85" s="203"/>
      <c r="S85" s="203"/>
      <c r="T85" s="203"/>
      <c r="U85" s="203"/>
      <c r="V85" s="203"/>
      <c r="W85" s="203"/>
      <c r="X85" s="203"/>
      <c r="Y85" s="203" t="s">
        <v>149</v>
      </c>
      <c r="Z85" s="203" t="s">
        <v>149</v>
      </c>
      <c r="AA85" s="203" t="s">
        <v>149</v>
      </c>
      <c r="AB85" s="203" t="s">
        <v>149</v>
      </c>
      <c r="AC85" s="203" t="s">
        <v>149</v>
      </c>
      <c r="AD85" s="203" t="s">
        <v>149</v>
      </c>
      <c r="AE85" s="203" t="s">
        <v>149</v>
      </c>
      <c r="AF85" s="203" t="s">
        <v>149</v>
      </c>
      <c r="AG85" s="203" t="s">
        <v>149</v>
      </c>
      <c r="AH85" s="203" t="s">
        <v>149</v>
      </c>
      <c r="AI85" s="203" t="s">
        <v>149</v>
      </c>
      <c r="AJ85" s="203" t="s">
        <v>149</v>
      </c>
      <c r="AK85" s="203" t="s">
        <v>149</v>
      </c>
      <c r="AL85" s="203" t="s">
        <v>149</v>
      </c>
      <c r="AM85" s="203" t="s">
        <v>149</v>
      </c>
      <c r="AN85" s="203" t="s">
        <v>149</v>
      </c>
      <c r="AO85" s="203" t="s">
        <v>149</v>
      </c>
      <c r="AP85" s="203"/>
      <c r="AQ85" s="203" t="s">
        <v>149</v>
      </c>
      <c r="AR85" s="203" t="s">
        <v>149</v>
      </c>
      <c r="AS85" s="203" t="s">
        <v>149</v>
      </c>
      <c r="AT85" s="203"/>
      <c r="AU85" s="203"/>
      <c r="AV85" s="203" t="s">
        <v>149</v>
      </c>
      <c r="AW85" s="203" t="s">
        <v>149</v>
      </c>
      <c r="AX85" s="203" t="s">
        <v>149</v>
      </c>
      <c r="AY85" s="203"/>
      <c r="AZ85" s="203" t="s">
        <v>149</v>
      </c>
      <c r="BA85" s="203" t="s">
        <v>149</v>
      </c>
      <c r="BB85" s="203" t="s">
        <v>149</v>
      </c>
      <c r="BC85" s="203" t="s">
        <v>149</v>
      </c>
      <c r="BD85" s="203" t="s">
        <v>149</v>
      </c>
      <c r="BE85" s="203" t="s">
        <v>149</v>
      </c>
      <c r="BF85" s="203" t="s">
        <v>149</v>
      </c>
      <c r="BG85" s="203" t="s">
        <v>149</v>
      </c>
      <c r="BH85" s="252"/>
      <c r="BI85" s="252"/>
      <c r="BJ85" s="252"/>
      <c r="BK85" s="252"/>
    </row>
    <row r="86" spans="1:63" ht="405">
      <c r="A86" s="124">
        <v>45471</v>
      </c>
      <c r="B86" s="125" t="s">
        <v>34</v>
      </c>
      <c r="C86" s="298" t="s">
        <v>434</v>
      </c>
      <c r="D86" s="125" t="s">
        <v>448</v>
      </c>
      <c r="E86" s="125" t="s">
        <v>449</v>
      </c>
      <c r="F86" s="126" t="s">
        <v>450</v>
      </c>
      <c r="G86" s="209" t="s">
        <v>382</v>
      </c>
      <c r="H86" s="212"/>
      <c r="I86" s="210" t="s">
        <v>149</v>
      </c>
      <c r="J86" s="203" t="s">
        <v>149</v>
      </c>
      <c r="K86" s="203"/>
      <c r="L86" s="203" t="s">
        <v>149</v>
      </c>
      <c r="M86" s="203" t="s">
        <v>149</v>
      </c>
      <c r="N86" s="203"/>
      <c r="O86" s="203"/>
      <c r="P86" s="203"/>
      <c r="Q86" s="203"/>
      <c r="R86" s="203"/>
      <c r="S86" s="203"/>
      <c r="T86" s="203"/>
      <c r="U86" s="203"/>
      <c r="V86" s="203"/>
      <c r="W86" s="203"/>
      <c r="X86" s="203"/>
      <c r="Y86" s="203" t="s">
        <v>149</v>
      </c>
      <c r="Z86" s="203" t="s">
        <v>149</v>
      </c>
      <c r="AA86" s="203" t="s">
        <v>149</v>
      </c>
      <c r="AB86" s="203" t="s">
        <v>149</v>
      </c>
      <c r="AC86" s="203" t="s">
        <v>149</v>
      </c>
      <c r="AD86" s="203" t="s">
        <v>149</v>
      </c>
      <c r="AE86" s="203" t="s">
        <v>149</v>
      </c>
      <c r="AF86" s="203" t="s">
        <v>149</v>
      </c>
      <c r="AG86" s="203" t="s">
        <v>149</v>
      </c>
      <c r="AH86" s="203" t="s">
        <v>149</v>
      </c>
      <c r="AI86" s="203" t="s">
        <v>149</v>
      </c>
      <c r="AJ86" s="203" t="s">
        <v>149</v>
      </c>
      <c r="AK86" s="203" t="s">
        <v>149</v>
      </c>
      <c r="AL86" s="203" t="s">
        <v>149</v>
      </c>
      <c r="AM86" s="203" t="s">
        <v>149</v>
      </c>
      <c r="AN86" s="203" t="s">
        <v>149</v>
      </c>
      <c r="AO86" s="203" t="s">
        <v>149</v>
      </c>
      <c r="AP86" s="203"/>
      <c r="AQ86" s="203" t="s">
        <v>149</v>
      </c>
      <c r="AR86" s="203" t="s">
        <v>149</v>
      </c>
      <c r="AS86" s="203" t="s">
        <v>149</v>
      </c>
      <c r="AT86" s="203"/>
      <c r="AU86" s="203"/>
      <c r="AV86" s="203" t="s">
        <v>149</v>
      </c>
      <c r="AW86" s="203" t="s">
        <v>149</v>
      </c>
      <c r="AX86" s="203" t="s">
        <v>149</v>
      </c>
      <c r="AY86" s="203"/>
      <c r="AZ86" s="203" t="s">
        <v>149</v>
      </c>
      <c r="BA86" s="203" t="s">
        <v>149</v>
      </c>
      <c r="BB86" s="203" t="s">
        <v>149</v>
      </c>
      <c r="BC86" s="203" t="s">
        <v>149</v>
      </c>
      <c r="BD86" s="203" t="s">
        <v>149</v>
      </c>
      <c r="BE86" s="203" t="s">
        <v>149</v>
      </c>
      <c r="BF86" s="203" t="s">
        <v>149</v>
      </c>
      <c r="BG86" s="203" t="s">
        <v>149</v>
      </c>
      <c r="BH86" s="252"/>
      <c r="BI86" s="252"/>
      <c r="BJ86" s="252"/>
      <c r="BK86" s="252"/>
    </row>
    <row r="87" spans="1:63" ht="409.5">
      <c r="A87" s="124">
        <v>45471</v>
      </c>
      <c r="B87" s="125" t="s">
        <v>34</v>
      </c>
      <c r="C87" s="298" t="s">
        <v>451</v>
      </c>
      <c r="D87" s="125" t="s">
        <v>452</v>
      </c>
      <c r="E87" s="125" t="s">
        <v>453</v>
      </c>
      <c r="F87" s="126" t="s">
        <v>454</v>
      </c>
      <c r="G87" s="209" t="s">
        <v>382</v>
      </c>
      <c r="H87" s="212"/>
      <c r="I87" s="210" t="s">
        <v>149</v>
      </c>
      <c r="J87" s="203" t="s">
        <v>149</v>
      </c>
      <c r="K87" s="203"/>
      <c r="L87" s="203" t="s">
        <v>149</v>
      </c>
      <c r="M87" s="203" t="s">
        <v>149</v>
      </c>
      <c r="N87" s="203"/>
      <c r="O87" s="203"/>
      <c r="P87" s="203"/>
      <c r="Q87" s="203"/>
      <c r="R87" s="203"/>
      <c r="S87" s="203"/>
      <c r="T87" s="203"/>
      <c r="U87" s="203"/>
      <c r="V87" s="203"/>
      <c r="W87" s="203"/>
      <c r="X87" s="203"/>
      <c r="Y87" s="203" t="s">
        <v>149</v>
      </c>
      <c r="Z87" s="203" t="s">
        <v>149</v>
      </c>
      <c r="AA87" s="203" t="s">
        <v>149</v>
      </c>
      <c r="AB87" s="203" t="s">
        <v>149</v>
      </c>
      <c r="AC87" s="203" t="s">
        <v>149</v>
      </c>
      <c r="AD87" s="203" t="s">
        <v>149</v>
      </c>
      <c r="AE87" s="203" t="s">
        <v>149</v>
      </c>
      <c r="AF87" s="203" t="s">
        <v>149</v>
      </c>
      <c r="AG87" s="203" t="s">
        <v>149</v>
      </c>
      <c r="AH87" s="203" t="s">
        <v>149</v>
      </c>
      <c r="AI87" s="203" t="s">
        <v>149</v>
      </c>
      <c r="AJ87" s="203" t="s">
        <v>149</v>
      </c>
      <c r="AK87" s="203" t="s">
        <v>149</v>
      </c>
      <c r="AL87" s="203" t="s">
        <v>149</v>
      </c>
      <c r="AM87" s="203" t="s">
        <v>149</v>
      </c>
      <c r="AN87" s="203" t="s">
        <v>149</v>
      </c>
      <c r="AO87" s="203" t="s">
        <v>149</v>
      </c>
      <c r="AP87" s="203"/>
      <c r="AQ87" s="203" t="s">
        <v>149</v>
      </c>
      <c r="AR87" s="203" t="s">
        <v>149</v>
      </c>
      <c r="AS87" s="203" t="s">
        <v>149</v>
      </c>
      <c r="AT87" s="203"/>
      <c r="AU87" s="203"/>
      <c r="AV87" s="203" t="s">
        <v>149</v>
      </c>
      <c r="AW87" s="203" t="s">
        <v>149</v>
      </c>
      <c r="AX87" s="203" t="s">
        <v>149</v>
      </c>
      <c r="AY87" s="203"/>
      <c r="AZ87" s="203" t="s">
        <v>149</v>
      </c>
      <c r="BA87" s="203" t="s">
        <v>149</v>
      </c>
      <c r="BB87" s="203" t="s">
        <v>149</v>
      </c>
      <c r="BC87" s="203" t="s">
        <v>149</v>
      </c>
      <c r="BD87" s="203" t="s">
        <v>149</v>
      </c>
      <c r="BE87" s="203" t="s">
        <v>149</v>
      </c>
      <c r="BF87" s="203" t="s">
        <v>149</v>
      </c>
      <c r="BG87" s="203" t="s">
        <v>149</v>
      </c>
      <c r="BH87" s="252"/>
      <c r="BI87" s="252"/>
      <c r="BJ87" s="252"/>
      <c r="BK87" s="252"/>
    </row>
    <row r="88" spans="1:63" ht="270">
      <c r="A88" s="124">
        <v>45478</v>
      </c>
      <c r="B88" s="125" t="s">
        <v>34</v>
      </c>
      <c r="C88" s="298" t="s">
        <v>455</v>
      </c>
      <c r="D88" s="125" t="s">
        <v>456</v>
      </c>
      <c r="E88" s="125" t="s">
        <v>457</v>
      </c>
      <c r="F88" s="126" t="s">
        <v>458</v>
      </c>
      <c r="G88" s="209" t="s">
        <v>382</v>
      </c>
      <c r="H88" s="212"/>
      <c r="I88" s="210" t="s">
        <v>149</v>
      </c>
      <c r="J88" s="203" t="s">
        <v>149</v>
      </c>
      <c r="K88" s="203"/>
      <c r="L88" s="203" t="s">
        <v>149</v>
      </c>
      <c r="M88" s="203" t="s">
        <v>149</v>
      </c>
      <c r="N88" s="203"/>
      <c r="O88" s="203"/>
      <c r="P88" s="203"/>
      <c r="Q88" s="203"/>
      <c r="R88" s="203"/>
      <c r="S88" s="203"/>
      <c r="T88" s="203"/>
      <c r="U88" s="203"/>
      <c r="V88" s="203"/>
      <c r="W88" s="203"/>
      <c r="X88" s="203"/>
      <c r="Y88" s="203" t="s">
        <v>149</v>
      </c>
      <c r="Z88" s="203" t="s">
        <v>149</v>
      </c>
      <c r="AA88" s="203" t="s">
        <v>149</v>
      </c>
      <c r="AB88" s="203" t="s">
        <v>149</v>
      </c>
      <c r="AC88" s="203" t="s">
        <v>149</v>
      </c>
      <c r="AD88" s="203" t="s">
        <v>149</v>
      </c>
      <c r="AE88" s="203" t="s">
        <v>149</v>
      </c>
      <c r="AF88" s="203" t="s">
        <v>149</v>
      </c>
      <c r="AG88" s="203" t="s">
        <v>149</v>
      </c>
      <c r="AH88" s="203" t="s">
        <v>149</v>
      </c>
      <c r="AI88" s="203" t="s">
        <v>149</v>
      </c>
      <c r="AJ88" s="203" t="s">
        <v>149</v>
      </c>
      <c r="AK88" s="203" t="s">
        <v>149</v>
      </c>
      <c r="AL88" s="203" t="s">
        <v>149</v>
      </c>
      <c r="AM88" s="203" t="s">
        <v>149</v>
      </c>
      <c r="AN88" s="203" t="s">
        <v>149</v>
      </c>
      <c r="AO88" s="203" t="s">
        <v>149</v>
      </c>
      <c r="AP88" s="203"/>
      <c r="AQ88" s="203" t="s">
        <v>149</v>
      </c>
      <c r="AR88" s="203" t="s">
        <v>149</v>
      </c>
      <c r="AS88" s="203" t="s">
        <v>149</v>
      </c>
      <c r="AT88" s="203"/>
      <c r="AU88" s="203"/>
      <c r="AV88" s="203" t="s">
        <v>149</v>
      </c>
      <c r="AW88" s="203" t="s">
        <v>149</v>
      </c>
      <c r="AX88" s="203" t="s">
        <v>149</v>
      </c>
      <c r="AY88" s="203"/>
      <c r="AZ88" s="203" t="s">
        <v>149</v>
      </c>
      <c r="BA88" s="203" t="s">
        <v>149</v>
      </c>
      <c r="BB88" s="203" t="s">
        <v>149</v>
      </c>
      <c r="BC88" s="203" t="s">
        <v>149</v>
      </c>
      <c r="BD88" s="203" t="s">
        <v>149</v>
      </c>
      <c r="BE88" s="203" t="s">
        <v>149</v>
      </c>
      <c r="BF88" s="203" t="s">
        <v>149</v>
      </c>
      <c r="BG88" s="203" t="s">
        <v>149</v>
      </c>
      <c r="BH88" s="252"/>
      <c r="BI88" s="252"/>
      <c r="BJ88" s="252"/>
      <c r="BK88" s="252"/>
    </row>
    <row r="89" spans="1:63" ht="240">
      <c r="A89" s="124">
        <v>45478</v>
      </c>
      <c r="B89" s="125" t="s">
        <v>34</v>
      </c>
      <c r="C89" s="298" t="s">
        <v>459</v>
      </c>
      <c r="D89" s="125" t="s">
        <v>460</v>
      </c>
      <c r="E89" s="125" t="s">
        <v>461</v>
      </c>
      <c r="F89" s="126" t="s">
        <v>462</v>
      </c>
      <c r="G89" s="209" t="s">
        <v>382</v>
      </c>
      <c r="H89" s="212"/>
      <c r="I89" s="210" t="s">
        <v>149</v>
      </c>
      <c r="J89" s="203" t="s">
        <v>149</v>
      </c>
      <c r="K89" s="203"/>
      <c r="L89" s="203" t="s">
        <v>149</v>
      </c>
      <c r="M89" s="203" t="s">
        <v>149</v>
      </c>
      <c r="N89" s="203"/>
      <c r="O89" s="203"/>
      <c r="P89" s="203"/>
      <c r="Q89" s="203"/>
      <c r="R89" s="203"/>
      <c r="S89" s="203"/>
      <c r="T89" s="203"/>
      <c r="U89" s="203"/>
      <c r="V89" s="203"/>
      <c r="W89" s="203"/>
      <c r="X89" s="203"/>
      <c r="Y89" s="203" t="s">
        <v>149</v>
      </c>
      <c r="Z89" s="203" t="s">
        <v>149</v>
      </c>
      <c r="AA89" s="203" t="s">
        <v>149</v>
      </c>
      <c r="AB89" s="203" t="s">
        <v>149</v>
      </c>
      <c r="AC89" s="203" t="s">
        <v>149</v>
      </c>
      <c r="AD89" s="203" t="s">
        <v>149</v>
      </c>
      <c r="AE89" s="203" t="s">
        <v>149</v>
      </c>
      <c r="AF89" s="203" t="s">
        <v>149</v>
      </c>
      <c r="AG89" s="203" t="s">
        <v>149</v>
      </c>
      <c r="AH89" s="203" t="s">
        <v>149</v>
      </c>
      <c r="AI89" s="203" t="s">
        <v>149</v>
      </c>
      <c r="AJ89" s="203" t="s">
        <v>149</v>
      </c>
      <c r="AK89" s="203" t="s">
        <v>149</v>
      </c>
      <c r="AL89" s="203" t="s">
        <v>149</v>
      </c>
      <c r="AM89" s="203" t="s">
        <v>149</v>
      </c>
      <c r="AN89" s="203" t="s">
        <v>149</v>
      </c>
      <c r="AO89" s="203" t="s">
        <v>149</v>
      </c>
      <c r="AP89" s="203"/>
      <c r="AQ89" s="203" t="s">
        <v>149</v>
      </c>
      <c r="AR89" s="203" t="s">
        <v>149</v>
      </c>
      <c r="AS89" s="203" t="s">
        <v>149</v>
      </c>
      <c r="AT89" s="203"/>
      <c r="AU89" s="203"/>
      <c r="AV89" s="203" t="s">
        <v>149</v>
      </c>
      <c r="AW89" s="203" t="s">
        <v>149</v>
      </c>
      <c r="AX89" s="203" t="s">
        <v>149</v>
      </c>
      <c r="AY89" s="203"/>
      <c r="AZ89" s="203" t="s">
        <v>149</v>
      </c>
      <c r="BA89" s="203" t="s">
        <v>149</v>
      </c>
      <c r="BB89" s="203" t="s">
        <v>149</v>
      </c>
      <c r="BC89" s="203" t="s">
        <v>149</v>
      </c>
      <c r="BD89" s="203" t="s">
        <v>149</v>
      </c>
      <c r="BE89" s="203" t="s">
        <v>149</v>
      </c>
      <c r="BF89" s="203" t="s">
        <v>149</v>
      </c>
      <c r="BG89" s="203" t="s">
        <v>149</v>
      </c>
      <c r="BH89" s="252"/>
      <c r="BI89" s="252"/>
      <c r="BJ89" s="252"/>
      <c r="BK89" s="252"/>
    </row>
    <row r="90" spans="1:63" ht="225">
      <c r="A90" s="124">
        <v>45485</v>
      </c>
      <c r="B90" s="125" t="s">
        <v>34</v>
      </c>
      <c r="C90" s="298" t="s">
        <v>463</v>
      </c>
      <c r="D90" s="125" t="s">
        <v>464</v>
      </c>
      <c r="E90" s="125" t="s">
        <v>465</v>
      </c>
      <c r="F90" s="126" t="s">
        <v>466</v>
      </c>
      <c r="G90" s="209" t="s">
        <v>467</v>
      </c>
      <c r="H90" s="212"/>
      <c r="I90" s="210" t="s">
        <v>149</v>
      </c>
      <c r="J90" s="203" t="s">
        <v>149</v>
      </c>
      <c r="K90" s="203"/>
      <c r="L90" s="203" t="s">
        <v>149</v>
      </c>
      <c r="M90" s="203" t="s">
        <v>149</v>
      </c>
      <c r="N90" s="203"/>
      <c r="O90" s="203"/>
      <c r="P90" s="203"/>
      <c r="Q90" s="203"/>
      <c r="R90" s="203"/>
      <c r="S90" s="203"/>
      <c r="T90" s="203"/>
      <c r="U90" s="203"/>
      <c r="V90" s="203"/>
      <c r="W90" s="203"/>
      <c r="X90" s="203"/>
      <c r="Y90" s="203" t="s">
        <v>149</v>
      </c>
      <c r="Z90" s="203" t="s">
        <v>149</v>
      </c>
      <c r="AA90" s="203" t="s">
        <v>149</v>
      </c>
      <c r="AB90" s="203" t="s">
        <v>149</v>
      </c>
      <c r="AC90" s="203" t="s">
        <v>149</v>
      </c>
      <c r="AD90" s="203" t="s">
        <v>149</v>
      </c>
      <c r="AE90" s="203" t="s">
        <v>149</v>
      </c>
      <c r="AF90" s="203" t="s">
        <v>149</v>
      </c>
      <c r="AG90" s="203" t="s">
        <v>149</v>
      </c>
      <c r="AH90" s="203" t="s">
        <v>149</v>
      </c>
      <c r="AI90" s="203" t="s">
        <v>149</v>
      </c>
      <c r="AJ90" s="203" t="s">
        <v>149</v>
      </c>
      <c r="AK90" s="203" t="s">
        <v>149</v>
      </c>
      <c r="AL90" s="203" t="s">
        <v>149</v>
      </c>
      <c r="AM90" s="203" t="s">
        <v>149</v>
      </c>
      <c r="AN90" s="203" t="s">
        <v>149</v>
      </c>
      <c r="AO90" s="203" t="s">
        <v>149</v>
      </c>
      <c r="AP90" s="203"/>
      <c r="AQ90" s="203" t="s">
        <v>149</v>
      </c>
      <c r="AR90" s="203" t="s">
        <v>149</v>
      </c>
      <c r="AS90" s="203" t="s">
        <v>149</v>
      </c>
      <c r="AT90" s="203"/>
      <c r="AU90" s="203"/>
      <c r="AV90" s="203" t="s">
        <v>149</v>
      </c>
      <c r="AW90" s="203" t="s">
        <v>149</v>
      </c>
      <c r="AX90" s="203" t="s">
        <v>149</v>
      </c>
      <c r="AY90" s="203"/>
      <c r="AZ90" s="203" t="s">
        <v>149</v>
      </c>
      <c r="BA90" s="203" t="s">
        <v>149</v>
      </c>
      <c r="BB90" s="203" t="s">
        <v>149</v>
      </c>
      <c r="BC90" s="203" t="s">
        <v>149</v>
      </c>
      <c r="BD90" s="203" t="s">
        <v>149</v>
      </c>
      <c r="BE90" s="203" t="s">
        <v>149</v>
      </c>
      <c r="BF90" s="203" t="s">
        <v>149</v>
      </c>
      <c r="BG90" s="203" t="s">
        <v>149</v>
      </c>
      <c r="BH90" s="252"/>
      <c r="BI90" s="252"/>
      <c r="BJ90" s="252"/>
      <c r="BK90" s="252"/>
    </row>
    <row r="91" spans="1:63" ht="255">
      <c r="A91" s="124">
        <v>45485</v>
      </c>
      <c r="B91" s="125" t="s">
        <v>34</v>
      </c>
      <c r="C91" s="298" t="s">
        <v>459</v>
      </c>
      <c r="D91" s="125" t="s">
        <v>468</v>
      </c>
      <c r="E91" s="125" t="s">
        <v>469</v>
      </c>
      <c r="F91" s="126" t="s">
        <v>470</v>
      </c>
      <c r="G91" s="209" t="s">
        <v>467</v>
      </c>
      <c r="H91" s="212"/>
      <c r="I91" s="210" t="s">
        <v>149</v>
      </c>
      <c r="J91" s="203" t="s">
        <v>149</v>
      </c>
      <c r="K91" s="203"/>
      <c r="L91" s="203" t="s">
        <v>149</v>
      </c>
      <c r="M91" s="203" t="s">
        <v>149</v>
      </c>
      <c r="N91" s="203"/>
      <c r="O91" s="203"/>
      <c r="P91" s="203"/>
      <c r="Q91" s="203"/>
      <c r="R91" s="203"/>
      <c r="S91" s="203"/>
      <c r="T91" s="203"/>
      <c r="U91" s="203"/>
      <c r="V91" s="203"/>
      <c r="W91" s="203"/>
      <c r="X91" s="203"/>
      <c r="Y91" s="203" t="s">
        <v>149</v>
      </c>
      <c r="Z91" s="203" t="s">
        <v>149</v>
      </c>
      <c r="AA91" s="203" t="s">
        <v>149</v>
      </c>
      <c r="AB91" s="203" t="s">
        <v>149</v>
      </c>
      <c r="AC91" s="203" t="s">
        <v>149</v>
      </c>
      <c r="AD91" s="203" t="s">
        <v>149</v>
      </c>
      <c r="AE91" s="203" t="s">
        <v>149</v>
      </c>
      <c r="AF91" s="203" t="s">
        <v>149</v>
      </c>
      <c r="AG91" s="203" t="s">
        <v>149</v>
      </c>
      <c r="AH91" s="203" t="s">
        <v>149</v>
      </c>
      <c r="AI91" s="203" t="s">
        <v>149</v>
      </c>
      <c r="AJ91" s="203" t="s">
        <v>149</v>
      </c>
      <c r="AK91" s="203" t="s">
        <v>149</v>
      </c>
      <c r="AL91" s="203" t="s">
        <v>149</v>
      </c>
      <c r="AM91" s="203" t="s">
        <v>149</v>
      </c>
      <c r="AN91" s="203" t="s">
        <v>149</v>
      </c>
      <c r="AO91" s="203" t="s">
        <v>149</v>
      </c>
      <c r="AP91" s="203"/>
      <c r="AQ91" s="203" t="s">
        <v>149</v>
      </c>
      <c r="AR91" s="203" t="s">
        <v>149</v>
      </c>
      <c r="AS91" s="203" t="s">
        <v>149</v>
      </c>
      <c r="AT91" s="203"/>
      <c r="AU91" s="203"/>
      <c r="AV91" s="203" t="s">
        <v>149</v>
      </c>
      <c r="AW91" s="203" t="s">
        <v>149</v>
      </c>
      <c r="AX91" s="203" t="s">
        <v>149</v>
      </c>
      <c r="AY91" s="203"/>
      <c r="AZ91" s="203" t="s">
        <v>149</v>
      </c>
      <c r="BA91" s="203" t="s">
        <v>149</v>
      </c>
      <c r="BB91" s="203" t="s">
        <v>149</v>
      </c>
      <c r="BC91" s="203" t="s">
        <v>149</v>
      </c>
      <c r="BD91" s="203" t="s">
        <v>149</v>
      </c>
      <c r="BE91" s="203" t="s">
        <v>149</v>
      </c>
      <c r="BF91" s="203" t="s">
        <v>149</v>
      </c>
      <c r="BG91" s="203" t="s">
        <v>149</v>
      </c>
      <c r="BH91" s="252"/>
      <c r="BI91" s="252"/>
      <c r="BJ91" s="252"/>
      <c r="BK91" s="252"/>
    </row>
    <row r="92" spans="1:63" ht="409.5">
      <c r="A92" s="124">
        <v>45492</v>
      </c>
      <c r="B92" s="125" t="s">
        <v>34</v>
      </c>
      <c r="C92" s="298" t="s">
        <v>459</v>
      </c>
      <c r="D92" s="125" t="s">
        <v>471</v>
      </c>
      <c r="E92" s="125" t="s">
        <v>472</v>
      </c>
      <c r="F92" s="126" t="s">
        <v>473</v>
      </c>
      <c r="G92" s="209" t="s">
        <v>474</v>
      </c>
      <c r="H92" s="212"/>
      <c r="I92" s="210" t="s">
        <v>149</v>
      </c>
      <c r="J92" s="203" t="s">
        <v>149</v>
      </c>
      <c r="K92" s="203"/>
      <c r="L92" s="203" t="s">
        <v>149</v>
      </c>
      <c r="M92" s="203" t="s">
        <v>149</v>
      </c>
      <c r="N92" s="203" t="s">
        <v>149</v>
      </c>
      <c r="O92" s="203" t="s">
        <v>149</v>
      </c>
      <c r="P92" s="203" t="s">
        <v>149</v>
      </c>
      <c r="Q92" s="203" t="s">
        <v>149</v>
      </c>
      <c r="R92" s="203"/>
      <c r="S92" s="203"/>
      <c r="T92" s="203"/>
      <c r="U92" s="203"/>
      <c r="V92" s="203"/>
      <c r="W92" s="203"/>
      <c r="X92" s="203"/>
      <c r="Y92" s="203" t="s">
        <v>149</v>
      </c>
      <c r="Z92" s="203" t="s">
        <v>149</v>
      </c>
      <c r="AA92" s="203" t="s">
        <v>149</v>
      </c>
      <c r="AB92" s="203" t="s">
        <v>149</v>
      </c>
      <c r="AC92" s="203" t="s">
        <v>149</v>
      </c>
      <c r="AD92" s="203" t="s">
        <v>149</v>
      </c>
      <c r="AE92" s="203" t="s">
        <v>149</v>
      </c>
      <c r="AF92" s="203" t="s">
        <v>149</v>
      </c>
      <c r="AG92" s="203" t="s">
        <v>149</v>
      </c>
      <c r="AH92" s="203" t="s">
        <v>149</v>
      </c>
      <c r="AI92" s="203" t="s">
        <v>149</v>
      </c>
      <c r="AJ92" s="203" t="s">
        <v>149</v>
      </c>
      <c r="AK92" s="203" t="s">
        <v>149</v>
      </c>
      <c r="AL92" s="203" t="s">
        <v>149</v>
      </c>
      <c r="AM92" s="203" t="s">
        <v>149</v>
      </c>
      <c r="AN92" s="203" t="s">
        <v>149</v>
      </c>
      <c r="AO92" s="203" t="s">
        <v>149</v>
      </c>
      <c r="AP92" s="203"/>
      <c r="AQ92" s="203" t="s">
        <v>149</v>
      </c>
      <c r="AR92" s="203" t="s">
        <v>149</v>
      </c>
      <c r="AS92" s="203" t="s">
        <v>149</v>
      </c>
      <c r="AT92" s="203"/>
      <c r="AU92" s="203"/>
      <c r="AV92" s="203" t="s">
        <v>149</v>
      </c>
      <c r="AW92" s="203" t="s">
        <v>149</v>
      </c>
      <c r="AX92" s="203" t="s">
        <v>149</v>
      </c>
      <c r="AY92" s="203"/>
      <c r="AZ92" s="203" t="s">
        <v>149</v>
      </c>
      <c r="BA92" s="203" t="s">
        <v>149</v>
      </c>
      <c r="BB92" s="203" t="s">
        <v>149</v>
      </c>
      <c r="BC92" s="203" t="s">
        <v>149</v>
      </c>
      <c r="BD92" s="203" t="s">
        <v>149</v>
      </c>
      <c r="BE92" s="203" t="s">
        <v>149</v>
      </c>
      <c r="BF92" s="203" t="s">
        <v>149</v>
      </c>
      <c r="BG92" s="203" t="s">
        <v>149</v>
      </c>
      <c r="BH92" s="252"/>
      <c r="BI92" s="252"/>
      <c r="BJ92" s="252"/>
      <c r="BK92" s="252"/>
    </row>
    <row r="93" spans="1:63" ht="405">
      <c r="A93" s="124">
        <v>45499</v>
      </c>
      <c r="B93" s="125" t="s">
        <v>34</v>
      </c>
      <c r="C93" s="298" t="s">
        <v>459</v>
      </c>
      <c r="D93" s="125" t="s">
        <v>475</v>
      </c>
      <c r="E93" s="125" t="s">
        <v>476</v>
      </c>
      <c r="F93" s="126" t="s">
        <v>477</v>
      </c>
      <c r="G93" s="209" t="s">
        <v>474</v>
      </c>
      <c r="H93" s="212"/>
      <c r="I93" s="210" t="s">
        <v>149</v>
      </c>
      <c r="J93" s="203" t="s">
        <v>149</v>
      </c>
      <c r="K93" s="203"/>
      <c r="L93" s="203" t="s">
        <v>149</v>
      </c>
      <c r="M93" s="203" t="s">
        <v>149</v>
      </c>
      <c r="N93" s="203" t="s">
        <v>149</v>
      </c>
      <c r="O93" s="203" t="s">
        <v>149</v>
      </c>
      <c r="P93" s="203" t="s">
        <v>149</v>
      </c>
      <c r="Q93" s="203" t="s">
        <v>149</v>
      </c>
      <c r="R93" s="203"/>
      <c r="S93" s="203"/>
      <c r="T93" s="203"/>
      <c r="U93" s="203"/>
      <c r="V93" s="203"/>
      <c r="W93" s="203"/>
      <c r="X93" s="203"/>
      <c r="Y93" s="203" t="s">
        <v>149</v>
      </c>
      <c r="Z93" s="203" t="s">
        <v>149</v>
      </c>
      <c r="AA93" s="203" t="s">
        <v>149</v>
      </c>
      <c r="AB93" s="203" t="s">
        <v>149</v>
      </c>
      <c r="AC93" s="203" t="s">
        <v>149</v>
      </c>
      <c r="AD93" s="203" t="s">
        <v>149</v>
      </c>
      <c r="AE93" s="203" t="s">
        <v>149</v>
      </c>
      <c r="AF93" s="203" t="s">
        <v>149</v>
      </c>
      <c r="AG93" s="203" t="s">
        <v>149</v>
      </c>
      <c r="AH93" s="203" t="s">
        <v>149</v>
      </c>
      <c r="AI93" s="203" t="s">
        <v>149</v>
      </c>
      <c r="AJ93" s="203" t="s">
        <v>149</v>
      </c>
      <c r="AK93" s="203" t="s">
        <v>149</v>
      </c>
      <c r="AL93" s="203" t="s">
        <v>149</v>
      </c>
      <c r="AM93" s="203" t="s">
        <v>149</v>
      </c>
      <c r="AN93" s="203" t="s">
        <v>149</v>
      </c>
      <c r="AO93" s="203" t="s">
        <v>149</v>
      </c>
      <c r="AP93" s="203"/>
      <c r="AQ93" s="203" t="s">
        <v>149</v>
      </c>
      <c r="AR93" s="203" t="s">
        <v>149</v>
      </c>
      <c r="AS93" s="203" t="s">
        <v>149</v>
      </c>
      <c r="AT93" s="203"/>
      <c r="AU93" s="203"/>
      <c r="AV93" s="203" t="s">
        <v>149</v>
      </c>
      <c r="AW93" s="203" t="s">
        <v>149</v>
      </c>
      <c r="AX93" s="203" t="s">
        <v>149</v>
      </c>
      <c r="AY93" s="203"/>
      <c r="AZ93" s="203" t="s">
        <v>149</v>
      </c>
      <c r="BA93" s="203" t="s">
        <v>149</v>
      </c>
      <c r="BB93" s="203" t="s">
        <v>149</v>
      </c>
      <c r="BC93" s="203" t="s">
        <v>149</v>
      </c>
      <c r="BD93" s="203" t="s">
        <v>149</v>
      </c>
      <c r="BE93" s="203" t="s">
        <v>149</v>
      </c>
      <c r="BF93" s="203" t="s">
        <v>149</v>
      </c>
      <c r="BG93" s="203" t="s">
        <v>149</v>
      </c>
      <c r="BH93" s="252"/>
      <c r="BI93" s="252"/>
      <c r="BJ93" s="252"/>
      <c r="BK93" s="252"/>
    </row>
    <row r="94" spans="1:63" ht="255">
      <c r="A94" s="124">
        <v>45506</v>
      </c>
      <c r="B94" s="125" t="s">
        <v>34</v>
      </c>
      <c r="C94" s="298" t="s">
        <v>459</v>
      </c>
      <c r="D94" s="125" t="s">
        <v>478</v>
      </c>
      <c r="E94" s="125" t="s">
        <v>479</v>
      </c>
      <c r="F94" s="126" t="s">
        <v>480</v>
      </c>
      <c r="G94" s="209" t="s">
        <v>474</v>
      </c>
      <c r="H94" s="212"/>
      <c r="I94" s="210" t="s">
        <v>149</v>
      </c>
      <c r="J94" s="203" t="s">
        <v>149</v>
      </c>
      <c r="K94" s="203"/>
      <c r="L94" s="203" t="s">
        <v>149</v>
      </c>
      <c r="M94" s="203" t="s">
        <v>149</v>
      </c>
      <c r="N94" s="203" t="s">
        <v>149</v>
      </c>
      <c r="O94" s="203" t="s">
        <v>149</v>
      </c>
      <c r="P94" s="203" t="s">
        <v>149</v>
      </c>
      <c r="Q94" s="203" t="s">
        <v>149</v>
      </c>
      <c r="R94" s="203"/>
      <c r="S94" s="203"/>
      <c r="T94" s="203"/>
      <c r="U94" s="203"/>
      <c r="V94" s="203"/>
      <c r="W94" s="203"/>
      <c r="X94" s="203"/>
      <c r="Y94" s="203" t="s">
        <v>149</v>
      </c>
      <c r="Z94" s="203" t="s">
        <v>149</v>
      </c>
      <c r="AA94" s="203" t="s">
        <v>149</v>
      </c>
      <c r="AB94" s="203" t="s">
        <v>149</v>
      </c>
      <c r="AC94" s="203" t="s">
        <v>149</v>
      </c>
      <c r="AD94" s="203" t="s">
        <v>149</v>
      </c>
      <c r="AE94" s="203" t="s">
        <v>149</v>
      </c>
      <c r="AF94" s="203" t="s">
        <v>149</v>
      </c>
      <c r="AG94" s="203" t="s">
        <v>149</v>
      </c>
      <c r="AH94" s="203" t="s">
        <v>149</v>
      </c>
      <c r="AI94" s="203" t="s">
        <v>149</v>
      </c>
      <c r="AJ94" s="203" t="s">
        <v>149</v>
      </c>
      <c r="AK94" s="203" t="s">
        <v>149</v>
      </c>
      <c r="AL94" s="203" t="s">
        <v>149</v>
      </c>
      <c r="AM94" s="203" t="s">
        <v>149</v>
      </c>
      <c r="AN94" s="203" t="s">
        <v>149</v>
      </c>
      <c r="AO94" s="203" t="s">
        <v>149</v>
      </c>
      <c r="AP94" s="203"/>
      <c r="AQ94" s="203" t="s">
        <v>149</v>
      </c>
      <c r="AR94" s="203" t="s">
        <v>149</v>
      </c>
      <c r="AS94" s="203" t="s">
        <v>149</v>
      </c>
      <c r="AT94" s="203"/>
      <c r="AU94" s="203"/>
      <c r="AV94" s="203" t="s">
        <v>149</v>
      </c>
      <c r="AW94" s="203" t="s">
        <v>149</v>
      </c>
      <c r="AX94" s="203" t="s">
        <v>149</v>
      </c>
      <c r="AY94" s="203"/>
      <c r="AZ94" s="203" t="s">
        <v>149</v>
      </c>
      <c r="BA94" s="203" t="s">
        <v>149</v>
      </c>
      <c r="BB94" s="203" t="s">
        <v>149</v>
      </c>
      <c r="BC94" s="203" t="s">
        <v>149</v>
      </c>
      <c r="BD94" s="203" t="s">
        <v>149</v>
      </c>
      <c r="BE94" s="203" t="s">
        <v>149</v>
      </c>
      <c r="BF94" s="203" t="s">
        <v>149</v>
      </c>
      <c r="BG94" s="203" t="s">
        <v>149</v>
      </c>
      <c r="BH94" s="252"/>
      <c r="BI94" s="252"/>
      <c r="BJ94" s="252"/>
      <c r="BK94" s="252"/>
    </row>
    <row r="95" spans="1:63" ht="225">
      <c r="A95" s="124">
        <v>45506</v>
      </c>
      <c r="B95" s="125" t="s">
        <v>34</v>
      </c>
      <c r="C95" s="298" t="s">
        <v>463</v>
      </c>
      <c r="D95" s="125" t="s">
        <v>464</v>
      </c>
      <c r="E95" s="125" t="s">
        <v>465</v>
      </c>
      <c r="F95" s="126" t="s">
        <v>481</v>
      </c>
      <c r="G95" s="209" t="s">
        <v>467</v>
      </c>
      <c r="H95" s="212"/>
      <c r="I95" s="210" t="s">
        <v>149</v>
      </c>
      <c r="J95" s="203" t="s">
        <v>149</v>
      </c>
      <c r="K95" s="203"/>
      <c r="L95" s="203" t="s">
        <v>149</v>
      </c>
      <c r="M95" s="203" t="s">
        <v>149</v>
      </c>
      <c r="N95" s="203"/>
      <c r="O95" s="203"/>
      <c r="P95" s="203"/>
      <c r="Q95" s="203"/>
      <c r="R95" s="203"/>
      <c r="S95" s="203"/>
      <c r="T95" s="203"/>
      <c r="U95" s="203"/>
      <c r="V95" s="203"/>
      <c r="W95" s="203"/>
      <c r="X95" s="203"/>
      <c r="Y95" s="203" t="s">
        <v>149</v>
      </c>
      <c r="Z95" s="203" t="s">
        <v>149</v>
      </c>
      <c r="AA95" s="203" t="s">
        <v>149</v>
      </c>
      <c r="AB95" s="203" t="s">
        <v>149</v>
      </c>
      <c r="AC95" s="203" t="s">
        <v>149</v>
      </c>
      <c r="AD95" s="203" t="s">
        <v>149</v>
      </c>
      <c r="AE95" s="203" t="s">
        <v>149</v>
      </c>
      <c r="AF95" s="203" t="s">
        <v>149</v>
      </c>
      <c r="AG95" s="203" t="s">
        <v>149</v>
      </c>
      <c r="AH95" s="203" t="s">
        <v>149</v>
      </c>
      <c r="AI95" s="203" t="s">
        <v>149</v>
      </c>
      <c r="AJ95" s="203" t="s">
        <v>149</v>
      </c>
      <c r="AK95" s="203" t="s">
        <v>149</v>
      </c>
      <c r="AL95" s="203" t="s">
        <v>149</v>
      </c>
      <c r="AM95" s="203" t="s">
        <v>149</v>
      </c>
      <c r="AN95" s="203" t="s">
        <v>149</v>
      </c>
      <c r="AO95" s="203" t="s">
        <v>149</v>
      </c>
      <c r="AP95" s="203"/>
      <c r="AQ95" s="203" t="s">
        <v>149</v>
      </c>
      <c r="AR95" s="203" t="s">
        <v>149</v>
      </c>
      <c r="AS95" s="203" t="s">
        <v>149</v>
      </c>
      <c r="AT95" s="203"/>
      <c r="AU95" s="203"/>
      <c r="AV95" s="203" t="s">
        <v>149</v>
      </c>
      <c r="AW95" s="203" t="s">
        <v>149</v>
      </c>
      <c r="AX95" s="203" t="s">
        <v>149</v>
      </c>
      <c r="AY95" s="203"/>
      <c r="AZ95" s="203" t="s">
        <v>149</v>
      </c>
      <c r="BA95" s="203" t="s">
        <v>149</v>
      </c>
      <c r="BB95" s="203" t="s">
        <v>149</v>
      </c>
      <c r="BC95" s="203" t="s">
        <v>149</v>
      </c>
      <c r="BD95" s="203" t="s">
        <v>149</v>
      </c>
      <c r="BE95" s="203" t="s">
        <v>149</v>
      </c>
      <c r="BF95" s="203" t="s">
        <v>149</v>
      </c>
      <c r="BG95" s="203" t="s">
        <v>149</v>
      </c>
      <c r="BH95" s="252"/>
      <c r="BI95" s="252"/>
      <c r="BJ95" s="252"/>
      <c r="BK95" s="252"/>
    </row>
    <row r="96" spans="1:63" ht="409.5">
      <c r="A96" s="124">
        <v>45513</v>
      </c>
      <c r="B96" s="125" t="s">
        <v>34</v>
      </c>
      <c r="C96" s="298" t="s">
        <v>459</v>
      </c>
      <c r="D96" s="125" t="s">
        <v>482</v>
      </c>
      <c r="E96" s="125" t="s">
        <v>483</v>
      </c>
      <c r="F96" s="126" t="s">
        <v>484</v>
      </c>
      <c r="G96" s="209" t="s">
        <v>474</v>
      </c>
      <c r="H96" s="212"/>
      <c r="I96" s="210" t="s">
        <v>149</v>
      </c>
      <c r="J96" s="203" t="s">
        <v>149</v>
      </c>
      <c r="K96" s="203"/>
      <c r="L96" s="203" t="s">
        <v>149</v>
      </c>
      <c r="M96" s="203" t="s">
        <v>149</v>
      </c>
      <c r="N96" s="203" t="s">
        <v>149</v>
      </c>
      <c r="O96" s="203" t="s">
        <v>149</v>
      </c>
      <c r="P96" s="203" t="s">
        <v>149</v>
      </c>
      <c r="Q96" s="203" t="s">
        <v>149</v>
      </c>
      <c r="R96" s="203"/>
      <c r="S96" s="203"/>
      <c r="T96" s="203"/>
      <c r="U96" s="203"/>
      <c r="V96" s="203"/>
      <c r="W96" s="203"/>
      <c r="X96" s="203"/>
      <c r="Y96" s="203" t="s">
        <v>149</v>
      </c>
      <c r="Z96" s="203" t="s">
        <v>149</v>
      </c>
      <c r="AA96" s="203" t="s">
        <v>149</v>
      </c>
      <c r="AB96" s="203" t="s">
        <v>149</v>
      </c>
      <c r="AC96" s="203" t="s">
        <v>149</v>
      </c>
      <c r="AD96" s="203" t="s">
        <v>149</v>
      </c>
      <c r="AE96" s="203" t="s">
        <v>149</v>
      </c>
      <c r="AF96" s="203" t="s">
        <v>149</v>
      </c>
      <c r="AG96" s="203" t="s">
        <v>149</v>
      </c>
      <c r="AH96" s="203" t="s">
        <v>149</v>
      </c>
      <c r="AI96" s="203" t="s">
        <v>149</v>
      </c>
      <c r="AJ96" s="203" t="s">
        <v>149</v>
      </c>
      <c r="AK96" s="203" t="s">
        <v>149</v>
      </c>
      <c r="AL96" s="203" t="s">
        <v>149</v>
      </c>
      <c r="AM96" s="203" t="s">
        <v>149</v>
      </c>
      <c r="AN96" s="203" t="s">
        <v>149</v>
      </c>
      <c r="AO96" s="203" t="s">
        <v>149</v>
      </c>
      <c r="AP96" s="203"/>
      <c r="AQ96" s="203" t="s">
        <v>149</v>
      </c>
      <c r="AR96" s="203" t="s">
        <v>149</v>
      </c>
      <c r="AS96" s="203" t="s">
        <v>149</v>
      </c>
      <c r="AT96" s="203"/>
      <c r="AU96" s="203"/>
      <c r="AV96" s="203" t="s">
        <v>149</v>
      </c>
      <c r="AW96" s="203" t="s">
        <v>149</v>
      </c>
      <c r="AX96" s="203" t="s">
        <v>149</v>
      </c>
      <c r="AY96" s="203"/>
      <c r="AZ96" s="203" t="s">
        <v>149</v>
      </c>
      <c r="BA96" s="203" t="s">
        <v>149</v>
      </c>
      <c r="BB96" s="203" t="s">
        <v>149</v>
      </c>
      <c r="BC96" s="203" t="s">
        <v>149</v>
      </c>
      <c r="BD96" s="203" t="s">
        <v>149</v>
      </c>
      <c r="BE96" s="203" t="s">
        <v>149</v>
      </c>
      <c r="BF96" s="203" t="s">
        <v>149</v>
      </c>
      <c r="BG96" s="203" t="s">
        <v>149</v>
      </c>
      <c r="BH96" s="252"/>
      <c r="BI96" s="252"/>
      <c r="BJ96" s="252"/>
      <c r="BK96" s="252"/>
    </row>
    <row r="97" spans="1:63" ht="225">
      <c r="A97" s="124">
        <v>45513</v>
      </c>
      <c r="B97" s="125" t="s">
        <v>34</v>
      </c>
      <c r="C97" s="298" t="s">
        <v>485</v>
      </c>
      <c r="D97" s="125" t="s">
        <v>486</v>
      </c>
      <c r="E97" s="125" t="s">
        <v>487</v>
      </c>
      <c r="F97" s="126" t="s">
        <v>488</v>
      </c>
      <c r="G97" s="209" t="s">
        <v>467</v>
      </c>
      <c r="H97" s="212"/>
      <c r="I97" s="210" t="s">
        <v>149</v>
      </c>
      <c r="J97" s="203" t="s">
        <v>149</v>
      </c>
      <c r="K97" s="203"/>
      <c r="L97" s="203" t="s">
        <v>149</v>
      </c>
      <c r="M97" s="203" t="s">
        <v>149</v>
      </c>
      <c r="N97" s="203"/>
      <c r="O97" s="203"/>
      <c r="P97" s="203"/>
      <c r="Q97" s="203"/>
      <c r="R97" s="203"/>
      <c r="S97" s="203"/>
      <c r="T97" s="203"/>
      <c r="U97" s="203"/>
      <c r="V97" s="203"/>
      <c r="W97" s="203"/>
      <c r="X97" s="203"/>
      <c r="Y97" s="203" t="s">
        <v>149</v>
      </c>
      <c r="Z97" s="203" t="s">
        <v>149</v>
      </c>
      <c r="AA97" s="203" t="s">
        <v>149</v>
      </c>
      <c r="AB97" s="203" t="s">
        <v>149</v>
      </c>
      <c r="AC97" s="203" t="s">
        <v>149</v>
      </c>
      <c r="AD97" s="203" t="s">
        <v>149</v>
      </c>
      <c r="AE97" s="203" t="s">
        <v>149</v>
      </c>
      <c r="AF97" s="203" t="s">
        <v>149</v>
      </c>
      <c r="AG97" s="203" t="s">
        <v>149</v>
      </c>
      <c r="AH97" s="203" t="s">
        <v>149</v>
      </c>
      <c r="AI97" s="203" t="s">
        <v>149</v>
      </c>
      <c r="AJ97" s="203" t="s">
        <v>149</v>
      </c>
      <c r="AK97" s="203" t="s">
        <v>149</v>
      </c>
      <c r="AL97" s="203" t="s">
        <v>149</v>
      </c>
      <c r="AM97" s="203" t="s">
        <v>149</v>
      </c>
      <c r="AN97" s="203" t="s">
        <v>149</v>
      </c>
      <c r="AO97" s="203" t="s">
        <v>149</v>
      </c>
      <c r="AP97" s="203"/>
      <c r="AQ97" s="203" t="s">
        <v>149</v>
      </c>
      <c r="AR97" s="203" t="s">
        <v>149</v>
      </c>
      <c r="AS97" s="203" t="s">
        <v>149</v>
      </c>
      <c r="AT97" s="203"/>
      <c r="AU97" s="203"/>
      <c r="AV97" s="203" t="s">
        <v>149</v>
      </c>
      <c r="AW97" s="203" t="s">
        <v>149</v>
      </c>
      <c r="AX97" s="203" t="s">
        <v>149</v>
      </c>
      <c r="AY97" s="203"/>
      <c r="AZ97" s="203" t="s">
        <v>149</v>
      </c>
      <c r="BA97" s="203" t="s">
        <v>149</v>
      </c>
      <c r="BB97" s="203" t="s">
        <v>149</v>
      </c>
      <c r="BC97" s="203" t="s">
        <v>149</v>
      </c>
      <c r="BD97" s="203" t="s">
        <v>149</v>
      </c>
      <c r="BE97" s="203" t="s">
        <v>149</v>
      </c>
      <c r="BF97" s="203" t="s">
        <v>149</v>
      </c>
      <c r="BG97" s="203" t="s">
        <v>149</v>
      </c>
      <c r="BH97" s="252"/>
      <c r="BI97" s="252"/>
      <c r="BJ97" s="252"/>
      <c r="BK97" s="252"/>
    </row>
    <row r="98" spans="1:63" ht="375">
      <c r="A98" s="124">
        <v>45520</v>
      </c>
      <c r="B98" s="125" t="s">
        <v>34</v>
      </c>
      <c r="C98" s="298" t="s">
        <v>489</v>
      </c>
      <c r="D98" s="125" t="s">
        <v>490</v>
      </c>
      <c r="E98" s="125" t="s">
        <v>491</v>
      </c>
      <c r="F98" s="126" t="s">
        <v>492</v>
      </c>
      <c r="G98" s="209" t="s">
        <v>474</v>
      </c>
      <c r="H98" s="212"/>
      <c r="I98" s="210" t="s">
        <v>149</v>
      </c>
      <c r="J98" s="203" t="s">
        <v>149</v>
      </c>
      <c r="K98" s="203"/>
      <c r="L98" s="203" t="s">
        <v>149</v>
      </c>
      <c r="M98" s="203" t="s">
        <v>149</v>
      </c>
      <c r="N98" s="203" t="s">
        <v>149</v>
      </c>
      <c r="O98" s="203" t="s">
        <v>149</v>
      </c>
      <c r="P98" s="203" t="s">
        <v>149</v>
      </c>
      <c r="Q98" s="203" t="s">
        <v>149</v>
      </c>
      <c r="R98" s="203"/>
      <c r="S98" s="203"/>
      <c r="T98" s="203"/>
      <c r="U98" s="203"/>
      <c r="V98" s="203"/>
      <c r="W98" s="203"/>
      <c r="X98" s="203" t="s">
        <v>149</v>
      </c>
      <c r="Y98" s="203" t="s">
        <v>149</v>
      </c>
      <c r="Z98" s="203" t="s">
        <v>149</v>
      </c>
      <c r="AA98" s="203" t="s">
        <v>149</v>
      </c>
      <c r="AB98" s="203" t="s">
        <v>149</v>
      </c>
      <c r="AC98" s="203" t="s">
        <v>149</v>
      </c>
      <c r="AD98" s="203" t="s">
        <v>149</v>
      </c>
      <c r="AE98" s="203" t="s">
        <v>149</v>
      </c>
      <c r="AF98" s="203" t="s">
        <v>149</v>
      </c>
      <c r="AG98" s="203" t="s">
        <v>149</v>
      </c>
      <c r="AH98" s="203" t="s">
        <v>149</v>
      </c>
      <c r="AI98" s="203" t="s">
        <v>149</v>
      </c>
      <c r="AJ98" s="203" t="s">
        <v>149</v>
      </c>
      <c r="AK98" s="203" t="s">
        <v>149</v>
      </c>
      <c r="AL98" s="203" t="s">
        <v>149</v>
      </c>
      <c r="AM98" s="203" t="s">
        <v>149</v>
      </c>
      <c r="AN98" s="203" t="s">
        <v>149</v>
      </c>
      <c r="AO98" s="203" t="s">
        <v>149</v>
      </c>
      <c r="AP98" s="203"/>
      <c r="AQ98" s="203" t="s">
        <v>149</v>
      </c>
      <c r="AR98" s="203" t="s">
        <v>149</v>
      </c>
      <c r="AS98" s="203" t="s">
        <v>149</v>
      </c>
      <c r="AT98" s="203"/>
      <c r="AU98" s="203"/>
      <c r="AV98" s="203" t="s">
        <v>149</v>
      </c>
      <c r="AW98" s="203" t="s">
        <v>149</v>
      </c>
      <c r="AX98" s="203" t="s">
        <v>149</v>
      </c>
      <c r="AY98" s="203"/>
      <c r="AZ98" s="203" t="s">
        <v>149</v>
      </c>
      <c r="BA98" s="203" t="s">
        <v>149</v>
      </c>
      <c r="BB98" s="203" t="s">
        <v>149</v>
      </c>
      <c r="BC98" s="203" t="s">
        <v>149</v>
      </c>
      <c r="BD98" s="203" t="s">
        <v>149</v>
      </c>
      <c r="BE98" s="203" t="s">
        <v>149</v>
      </c>
      <c r="BF98" s="203" t="s">
        <v>149</v>
      </c>
      <c r="BG98" s="203" t="s">
        <v>149</v>
      </c>
      <c r="BH98" s="252"/>
      <c r="BI98" s="252"/>
      <c r="BJ98" s="252"/>
      <c r="BK98" s="252"/>
    </row>
    <row r="99" spans="1:63" ht="300">
      <c r="A99" s="124">
        <v>45527</v>
      </c>
      <c r="B99" s="125" t="s">
        <v>34</v>
      </c>
      <c r="C99" s="298" t="s">
        <v>489</v>
      </c>
      <c r="D99" s="125" t="s">
        <v>493</v>
      </c>
      <c r="E99" s="125" t="s">
        <v>494</v>
      </c>
      <c r="F99" s="126" t="s">
        <v>495</v>
      </c>
      <c r="G99" s="209" t="s">
        <v>474</v>
      </c>
      <c r="H99" s="212"/>
      <c r="I99" s="210" t="s">
        <v>149</v>
      </c>
      <c r="J99" s="203" t="s">
        <v>149</v>
      </c>
      <c r="K99" s="203"/>
      <c r="L99" s="203" t="s">
        <v>149</v>
      </c>
      <c r="M99" s="203" t="s">
        <v>149</v>
      </c>
      <c r="N99" s="203" t="s">
        <v>149</v>
      </c>
      <c r="O99" s="203" t="s">
        <v>149</v>
      </c>
      <c r="P99" s="203" t="s">
        <v>149</v>
      </c>
      <c r="Q99" s="203" t="s">
        <v>149</v>
      </c>
      <c r="R99" s="203"/>
      <c r="S99" s="203"/>
      <c r="T99" s="203"/>
      <c r="U99" s="203"/>
      <c r="V99" s="203"/>
      <c r="W99" s="203"/>
      <c r="X99" s="203" t="s">
        <v>149</v>
      </c>
      <c r="Y99" s="203" t="s">
        <v>149</v>
      </c>
      <c r="Z99" s="203" t="s">
        <v>149</v>
      </c>
      <c r="AA99" s="203" t="s">
        <v>149</v>
      </c>
      <c r="AB99" s="203" t="s">
        <v>149</v>
      </c>
      <c r="AC99" s="203" t="s">
        <v>149</v>
      </c>
      <c r="AD99" s="203" t="s">
        <v>149</v>
      </c>
      <c r="AE99" s="203" t="s">
        <v>149</v>
      </c>
      <c r="AF99" s="203" t="s">
        <v>149</v>
      </c>
      <c r="AG99" s="203" t="s">
        <v>149</v>
      </c>
      <c r="AH99" s="203" t="s">
        <v>149</v>
      </c>
      <c r="AI99" s="203" t="s">
        <v>149</v>
      </c>
      <c r="AJ99" s="203" t="s">
        <v>149</v>
      </c>
      <c r="AK99" s="203" t="s">
        <v>149</v>
      </c>
      <c r="AL99" s="203" t="s">
        <v>149</v>
      </c>
      <c r="AM99" s="203" t="s">
        <v>149</v>
      </c>
      <c r="AN99" s="203" t="s">
        <v>149</v>
      </c>
      <c r="AO99" s="203" t="s">
        <v>149</v>
      </c>
      <c r="AP99" s="203"/>
      <c r="AQ99" s="203" t="s">
        <v>149</v>
      </c>
      <c r="AR99" s="203" t="s">
        <v>149</v>
      </c>
      <c r="AS99" s="203" t="s">
        <v>149</v>
      </c>
      <c r="AT99" s="203"/>
      <c r="AU99" s="203"/>
      <c r="AV99" s="203" t="s">
        <v>149</v>
      </c>
      <c r="AW99" s="203" t="s">
        <v>149</v>
      </c>
      <c r="AX99" s="203" t="s">
        <v>149</v>
      </c>
      <c r="AY99" s="203"/>
      <c r="AZ99" s="203" t="s">
        <v>149</v>
      </c>
      <c r="BA99" s="203" t="s">
        <v>149</v>
      </c>
      <c r="BB99" s="203" t="s">
        <v>149</v>
      </c>
      <c r="BC99" s="203" t="s">
        <v>149</v>
      </c>
      <c r="BD99" s="203" t="s">
        <v>149</v>
      </c>
      <c r="BE99" s="203" t="s">
        <v>149</v>
      </c>
      <c r="BF99" s="203" t="s">
        <v>149</v>
      </c>
      <c r="BG99" s="203" t="s">
        <v>149</v>
      </c>
      <c r="BH99" s="252"/>
      <c r="BI99" s="252"/>
      <c r="BJ99" s="252"/>
      <c r="BK99" s="252"/>
    </row>
    <row r="100" spans="1:63" ht="409.5">
      <c r="A100" s="124">
        <v>45534</v>
      </c>
      <c r="B100" s="125" t="s">
        <v>34</v>
      </c>
      <c r="C100" s="298" t="s">
        <v>489</v>
      </c>
      <c r="D100" s="125" t="s">
        <v>496</v>
      </c>
      <c r="E100" s="125" t="s">
        <v>497</v>
      </c>
      <c r="F100" s="126" t="s">
        <v>498</v>
      </c>
      <c r="G100" s="209" t="s">
        <v>474</v>
      </c>
      <c r="H100" s="212"/>
      <c r="I100" s="210" t="s">
        <v>149</v>
      </c>
      <c r="J100" s="203" t="s">
        <v>149</v>
      </c>
      <c r="K100" s="203"/>
      <c r="L100" s="203" t="s">
        <v>149</v>
      </c>
      <c r="M100" s="203" t="s">
        <v>149</v>
      </c>
      <c r="N100" s="203" t="s">
        <v>149</v>
      </c>
      <c r="O100" s="203" t="s">
        <v>149</v>
      </c>
      <c r="P100" s="203" t="s">
        <v>149</v>
      </c>
      <c r="Q100" s="203" t="s">
        <v>149</v>
      </c>
      <c r="R100" s="203"/>
      <c r="S100" s="203"/>
      <c r="T100" s="203"/>
      <c r="U100" s="203"/>
      <c r="V100" s="203"/>
      <c r="W100" s="203"/>
      <c r="X100" s="203" t="s">
        <v>149</v>
      </c>
      <c r="Y100" s="203" t="s">
        <v>149</v>
      </c>
      <c r="Z100" s="203" t="s">
        <v>149</v>
      </c>
      <c r="AA100" s="203" t="s">
        <v>149</v>
      </c>
      <c r="AB100" s="203" t="s">
        <v>149</v>
      </c>
      <c r="AC100" s="203" t="s">
        <v>149</v>
      </c>
      <c r="AD100" s="203" t="s">
        <v>149</v>
      </c>
      <c r="AE100" s="203" t="s">
        <v>149</v>
      </c>
      <c r="AF100" s="203" t="s">
        <v>149</v>
      </c>
      <c r="AG100" s="203" t="s">
        <v>149</v>
      </c>
      <c r="AH100" s="203" t="s">
        <v>149</v>
      </c>
      <c r="AI100" s="203" t="s">
        <v>149</v>
      </c>
      <c r="AJ100" s="203" t="s">
        <v>149</v>
      </c>
      <c r="AK100" s="203" t="s">
        <v>149</v>
      </c>
      <c r="AL100" s="203" t="s">
        <v>149</v>
      </c>
      <c r="AM100" s="203" t="s">
        <v>149</v>
      </c>
      <c r="AN100" s="203" t="s">
        <v>149</v>
      </c>
      <c r="AO100" s="203" t="s">
        <v>149</v>
      </c>
      <c r="AP100" s="203"/>
      <c r="AQ100" s="203" t="s">
        <v>149</v>
      </c>
      <c r="AR100" s="203" t="s">
        <v>149</v>
      </c>
      <c r="AS100" s="203" t="s">
        <v>149</v>
      </c>
      <c r="AT100" s="203"/>
      <c r="AU100" s="203"/>
      <c r="AV100" s="203" t="s">
        <v>149</v>
      </c>
      <c r="AW100" s="203" t="s">
        <v>149</v>
      </c>
      <c r="AX100" s="203" t="s">
        <v>149</v>
      </c>
      <c r="AY100" s="203"/>
      <c r="AZ100" s="203" t="s">
        <v>149</v>
      </c>
      <c r="BA100" s="203" t="s">
        <v>149</v>
      </c>
      <c r="BB100" s="203" t="s">
        <v>149</v>
      </c>
      <c r="BC100" s="203" t="s">
        <v>149</v>
      </c>
      <c r="BD100" s="203" t="s">
        <v>149</v>
      </c>
      <c r="BE100" s="203" t="s">
        <v>149</v>
      </c>
      <c r="BF100" s="203" t="s">
        <v>149</v>
      </c>
      <c r="BG100" s="203" t="s">
        <v>149</v>
      </c>
      <c r="BH100" s="252"/>
      <c r="BI100" s="252"/>
      <c r="BJ100" s="252"/>
      <c r="BK100" s="252"/>
    </row>
    <row r="101" spans="1:63" ht="409.5">
      <c r="A101" s="124">
        <v>45541</v>
      </c>
      <c r="B101" s="125" t="s">
        <v>34</v>
      </c>
      <c r="C101" s="298" t="s">
        <v>258</v>
      </c>
      <c r="D101" s="125" t="s">
        <v>499</v>
      </c>
      <c r="E101" s="125" t="s">
        <v>500</v>
      </c>
      <c r="F101" s="126" t="s">
        <v>501</v>
      </c>
      <c r="G101" s="209" t="s">
        <v>474</v>
      </c>
      <c r="H101" s="212"/>
      <c r="I101" s="210" t="s">
        <v>149</v>
      </c>
      <c r="J101" s="203" t="s">
        <v>149</v>
      </c>
      <c r="K101" s="203"/>
      <c r="L101" s="203" t="s">
        <v>149</v>
      </c>
      <c r="M101" s="203" t="s">
        <v>149</v>
      </c>
      <c r="N101" s="203" t="s">
        <v>149</v>
      </c>
      <c r="O101" s="203" t="s">
        <v>149</v>
      </c>
      <c r="P101" s="203" t="s">
        <v>149</v>
      </c>
      <c r="Q101" s="203" t="s">
        <v>149</v>
      </c>
      <c r="R101" s="203"/>
      <c r="S101" s="203"/>
      <c r="T101" s="203"/>
      <c r="U101" s="203"/>
      <c r="V101" s="203"/>
      <c r="W101" s="203"/>
      <c r="X101" s="203" t="s">
        <v>149</v>
      </c>
      <c r="Y101" s="203" t="s">
        <v>149</v>
      </c>
      <c r="Z101" s="203" t="s">
        <v>149</v>
      </c>
      <c r="AA101" s="203" t="s">
        <v>149</v>
      </c>
      <c r="AB101" s="203" t="s">
        <v>149</v>
      </c>
      <c r="AC101" s="203" t="s">
        <v>149</v>
      </c>
      <c r="AD101" s="203" t="s">
        <v>149</v>
      </c>
      <c r="AE101" s="203" t="s">
        <v>149</v>
      </c>
      <c r="AF101" s="203" t="s">
        <v>149</v>
      </c>
      <c r="AG101" s="203" t="s">
        <v>149</v>
      </c>
      <c r="AH101" s="203" t="s">
        <v>149</v>
      </c>
      <c r="AI101" s="203" t="s">
        <v>149</v>
      </c>
      <c r="AJ101" s="203" t="s">
        <v>149</v>
      </c>
      <c r="AK101" s="203" t="s">
        <v>149</v>
      </c>
      <c r="AL101" s="203" t="s">
        <v>149</v>
      </c>
      <c r="AM101" s="203" t="s">
        <v>149</v>
      </c>
      <c r="AN101" s="203" t="s">
        <v>149</v>
      </c>
      <c r="AO101" s="203" t="s">
        <v>149</v>
      </c>
      <c r="AP101" s="203"/>
      <c r="AQ101" s="203" t="s">
        <v>149</v>
      </c>
      <c r="AR101" s="203" t="s">
        <v>149</v>
      </c>
      <c r="AS101" s="203" t="s">
        <v>149</v>
      </c>
      <c r="AT101" s="203"/>
      <c r="AU101" s="203"/>
      <c r="AV101" s="203" t="s">
        <v>149</v>
      </c>
      <c r="AW101" s="203" t="s">
        <v>149</v>
      </c>
      <c r="AX101" s="203" t="s">
        <v>149</v>
      </c>
      <c r="AY101" s="203"/>
      <c r="AZ101" s="203" t="s">
        <v>149</v>
      </c>
      <c r="BA101" s="203" t="s">
        <v>149</v>
      </c>
      <c r="BB101" s="203" t="s">
        <v>149</v>
      </c>
      <c r="BC101" s="203" t="s">
        <v>149</v>
      </c>
      <c r="BD101" s="203" t="s">
        <v>149</v>
      </c>
      <c r="BE101" s="203" t="s">
        <v>149</v>
      </c>
      <c r="BF101" s="203" t="s">
        <v>149</v>
      </c>
      <c r="BG101" s="203" t="s">
        <v>149</v>
      </c>
      <c r="BH101" s="252"/>
      <c r="BI101" s="252"/>
      <c r="BJ101" s="252"/>
      <c r="BK101" s="252"/>
    </row>
    <row r="102" spans="1:63" ht="225">
      <c r="A102" s="124">
        <v>45541</v>
      </c>
      <c r="B102" s="125" t="s">
        <v>34</v>
      </c>
      <c r="C102" s="298" t="s">
        <v>502</v>
      </c>
      <c r="D102" s="125" t="s">
        <v>503</v>
      </c>
      <c r="E102" s="125" t="s">
        <v>504</v>
      </c>
      <c r="F102" s="126" t="s">
        <v>505</v>
      </c>
      <c r="G102" s="209" t="s">
        <v>506</v>
      </c>
      <c r="H102" s="212"/>
      <c r="I102" s="210"/>
      <c r="J102" s="203"/>
      <c r="K102" s="203"/>
      <c r="L102" s="203" t="s">
        <v>149</v>
      </c>
      <c r="M102" s="203"/>
      <c r="N102" s="203"/>
      <c r="O102" s="203"/>
      <c r="P102" s="203"/>
      <c r="Q102" s="203"/>
      <c r="R102" s="203"/>
      <c r="S102" s="203"/>
      <c r="T102" s="203"/>
      <c r="U102" s="203"/>
      <c r="V102" s="203"/>
      <c r="W102" s="203"/>
      <c r="X102" s="203"/>
      <c r="Y102" s="203" t="s">
        <v>149</v>
      </c>
      <c r="Z102" s="203" t="s">
        <v>149</v>
      </c>
      <c r="AA102" s="203" t="s">
        <v>149</v>
      </c>
      <c r="AB102" s="203" t="s">
        <v>149</v>
      </c>
      <c r="AC102" s="203" t="s">
        <v>149</v>
      </c>
      <c r="AD102" s="203" t="s">
        <v>149</v>
      </c>
      <c r="AE102" s="203" t="s">
        <v>149</v>
      </c>
      <c r="AF102" s="203" t="s">
        <v>149</v>
      </c>
      <c r="AG102" s="203" t="s">
        <v>149</v>
      </c>
      <c r="AH102" s="203" t="s">
        <v>149</v>
      </c>
      <c r="AI102" s="203" t="s">
        <v>149</v>
      </c>
      <c r="AJ102" s="203" t="s">
        <v>149</v>
      </c>
      <c r="AK102" s="203" t="s">
        <v>149</v>
      </c>
      <c r="AL102" s="203" t="s">
        <v>149</v>
      </c>
      <c r="AM102" s="203" t="s">
        <v>149</v>
      </c>
      <c r="AN102" s="203" t="s">
        <v>149</v>
      </c>
      <c r="AO102" s="203" t="s">
        <v>149</v>
      </c>
      <c r="AP102" s="203"/>
      <c r="AQ102" s="203" t="s">
        <v>149</v>
      </c>
      <c r="AR102" s="203"/>
      <c r="AS102" s="203"/>
      <c r="AT102" s="203"/>
      <c r="AU102" s="203"/>
      <c r="AV102" s="203" t="s">
        <v>149</v>
      </c>
      <c r="AW102" s="203" t="s">
        <v>149</v>
      </c>
      <c r="AX102" s="203"/>
      <c r="AY102" s="203"/>
      <c r="AZ102" s="203"/>
      <c r="BA102" s="203" t="s">
        <v>149</v>
      </c>
      <c r="BB102" s="203"/>
      <c r="BC102" s="203"/>
      <c r="BD102" s="203"/>
      <c r="BE102" s="203"/>
      <c r="BF102" s="203" t="s">
        <v>149</v>
      </c>
      <c r="BG102" s="203"/>
      <c r="BH102" s="252"/>
      <c r="BI102" s="252"/>
      <c r="BJ102" s="252"/>
      <c r="BK102" s="252"/>
    </row>
    <row r="103" spans="1:63" ht="225">
      <c r="A103" s="124">
        <v>45548</v>
      </c>
      <c r="B103" s="125" t="s">
        <v>34</v>
      </c>
      <c r="C103" s="298" t="s">
        <v>507</v>
      </c>
      <c r="D103" s="125" t="s">
        <v>508</v>
      </c>
      <c r="E103" s="125" t="s">
        <v>509</v>
      </c>
      <c r="F103" s="126" t="s">
        <v>510</v>
      </c>
      <c r="G103" s="209" t="s">
        <v>467</v>
      </c>
      <c r="H103" s="212"/>
      <c r="I103" s="210" t="s">
        <v>149</v>
      </c>
      <c r="J103" s="203" t="s">
        <v>149</v>
      </c>
      <c r="K103" s="203"/>
      <c r="L103" s="203" t="s">
        <v>149</v>
      </c>
      <c r="M103" s="203" t="s">
        <v>149</v>
      </c>
      <c r="N103" s="203"/>
      <c r="O103" s="203"/>
      <c r="P103" s="203"/>
      <c r="Q103" s="203"/>
      <c r="R103" s="203"/>
      <c r="S103" s="203"/>
      <c r="T103" s="203"/>
      <c r="U103" s="203"/>
      <c r="V103" s="203"/>
      <c r="W103" s="203"/>
      <c r="X103" s="203"/>
      <c r="Y103" s="203" t="s">
        <v>149</v>
      </c>
      <c r="Z103" s="203" t="s">
        <v>149</v>
      </c>
      <c r="AA103" s="203" t="s">
        <v>149</v>
      </c>
      <c r="AB103" s="203" t="s">
        <v>149</v>
      </c>
      <c r="AC103" s="203" t="s">
        <v>149</v>
      </c>
      <c r="AD103" s="203" t="s">
        <v>149</v>
      </c>
      <c r="AE103" s="203" t="s">
        <v>149</v>
      </c>
      <c r="AF103" s="203" t="s">
        <v>149</v>
      </c>
      <c r="AG103" s="203" t="s">
        <v>149</v>
      </c>
      <c r="AH103" s="203" t="s">
        <v>149</v>
      </c>
      <c r="AI103" s="203" t="s">
        <v>149</v>
      </c>
      <c r="AJ103" s="203" t="s">
        <v>149</v>
      </c>
      <c r="AK103" s="203" t="s">
        <v>149</v>
      </c>
      <c r="AL103" s="203" t="s">
        <v>149</v>
      </c>
      <c r="AM103" s="203" t="s">
        <v>149</v>
      </c>
      <c r="AN103" s="203" t="s">
        <v>149</v>
      </c>
      <c r="AO103" s="203" t="s">
        <v>149</v>
      </c>
      <c r="AP103" s="203"/>
      <c r="AQ103" s="203" t="s">
        <v>149</v>
      </c>
      <c r="AR103" s="203" t="s">
        <v>149</v>
      </c>
      <c r="AS103" s="203" t="s">
        <v>149</v>
      </c>
      <c r="AT103" s="203"/>
      <c r="AU103" s="203"/>
      <c r="AV103" s="203" t="s">
        <v>149</v>
      </c>
      <c r="AW103" s="203" t="s">
        <v>149</v>
      </c>
      <c r="AX103" s="203" t="s">
        <v>149</v>
      </c>
      <c r="AY103" s="203"/>
      <c r="AZ103" s="203" t="s">
        <v>149</v>
      </c>
      <c r="BA103" s="203" t="s">
        <v>149</v>
      </c>
      <c r="BB103" s="203" t="s">
        <v>149</v>
      </c>
      <c r="BC103" s="203" t="s">
        <v>149</v>
      </c>
      <c r="BD103" s="203" t="s">
        <v>149</v>
      </c>
      <c r="BE103" s="203" t="s">
        <v>149</v>
      </c>
      <c r="BF103" s="203" t="s">
        <v>149</v>
      </c>
      <c r="BG103" s="203" t="s">
        <v>149</v>
      </c>
      <c r="BH103" s="252"/>
      <c r="BI103" s="252"/>
      <c r="BJ103" s="252"/>
      <c r="BK103" s="252"/>
    </row>
    <row r="104" spans="1:63" ht="360">
      <c r="A104" s="124">
        <v>45558</v>
      </c>
      <c r="B104" s="125" t="s">
        <v>34</v>
      </c>
      <c r="C104" s="298" t="s">
        <v>258</v>
      </c>
      <c r="D104" s="125" t="s">
        <v>511</v>
      </c>
      <c r="E104" s="125" t="s">
        <v>512</v>
      </c>
      <c r="F104" s="126" t="s">
        <v>513</v>
      </c>
      <c r="G104" s="209" t="s">
        <v>474</v>
      </c>
      <c r="H104" s="212"/>
      <c r="I104" s="210" t="s">
        <v>149</v>
      </c>
      <c r="J104" s="203" t="s">
        <v>149</v>
      </c>
      <c r="K104" s="203"/>
      <c r="L104" s="203" t="s">
        <v>149</v>
      </c>
      <c r="M104" s="203" t="s">
        <v>149</v>
      </c>
      <c r="N104" s="203" t="s">
        <v>149</v>
      </c>
      <c r="O104" s="203" t="s">
        <v>149</v>
      </c>
      <c r="P104" s="203" t="s">
        <v>149</v>
      </c>
      <c r="Q104" s="203" t="s">
        <v>149</v>
      </c>
      <c r="R104" s="203"/>
      <c r="S104" s="203"/>
      <c r="T104" s="203"/>
      <c r="U104" s="203"/>
      <c r="V104" s="203"/>
      <c r="W104" s="203"/>
      <c r="X104" s="203" t="s">
        <v>149</v>
      </c>
      <c r="Y104" s="203" t="s">
        <v>149</v>
      </c>
      <c r="Z104" s="203" t="s">
        <v>149</v>
      </c>
      <c r="AA104" s="203" t="s">
        <v>149</v>
      </c>
      <c r="AB104" s="203" t="s">
        <v>149</v>
      </c>
      <c r="AC104" s="203" t="s">
        <v>149</v>
      </c>
      <c r="AD104" s="203" t="s">
        <v>149</v>
      </c>
      <c r="AE104" s="203" t="s">
        <v>149</v>
      </c>
      <c r="AF104" s="203" t="s">
        <v>149</v>
      </c>
      <c r="AG104" s="203" t="s">
        <v>149</v>
      </c>
      <c r="AH104" s="203" t="s">
        <v>149</v>
      </c>
      <c r="AI104" s="203" t="s">
        <v>149</v>
      </c>
      <c r="AJ104" s="203" t="s">
        <v>149</v>
      </c>
      <c r="AK104" s="203" t="s">
        <v>149</v>
      </c>
      <c r="AL104" s="203" t="s">
        <v>149</v>
      </c>
      <c r="AM104" s="203" t="s">
        <v>149</v>
      </c>
      <c r="AN104" s="203" t="s">
        <v>149</v>
      </c>
      <c r="AO104" s="203" t="s">
        <v>149</v>
      </c>
      <c r="AP104" s="203"/>
      <c r="AQ104" s="203" t="s">
        <v>149</v>
      </c>
      <c r="AR104" s="203" t="s">
        <v>149</v>
      </c>
      <c r="AS104" s="203" t="s">
        <v>149</v>
      </c>
      <c r="AT104" s="203"/>
      <c r="AU104" s="203"/>
      <c r="AV104" s="203" t="s">
        <v>149</v>
      </c>
      <c r="AW104" s="203" t="s">
        <v>149</v>
      </c>
      <c r="AX104" s="203" t="s">
        <v>149</v>
      </c>
      <c r="AY104" s="203"/>
      <c r="AZ104" s="203" t="s">
        <v>149</v>
      </c>
      <c r="BA104" s="203" t="s">
        <v>149</v>
      </c>
      <c r="BB104" s="203" t="s">
        <v>149</v>
      </c>
      <c r="BC104" s="203" t="s">
        <v>149</v>
      </c>
      <c r="BD104" s="203" t="s">
        <v>149</v>
      </c>
      <c r="BE104" s="203" t="s">
        <v>149</v>
      </c>
      <c r="BF104" s="203" t="s">
        <v>149</v>
      </c>
      <c r="BG104" s="203" t="s">
        <v>149</v>
      </c>
      <c r="BH104" s="252"/>
      <c r="BI104" s="252"/>
      <c r="BJ104" s="252"/>
      <c r="BK104" s="252"/>
    </row>
    <row r="105" spans="1:63" ht="345">
      <c r="A105" s="124">
        <v>45558</v>
      </c>
      <c r="B105" s="125" t="s">
        <v>34</v>
      </c>
      <c r="C105" s="298" t="s">
        <v>514</v>
      </c>
      <c r="D105" s="125" t="s">
        <v>515</v>
      </c>
      <c r="E105" s="125" t="s">
        <v>516</v>
      </c>
      <c r="F105" s="126" t="s">
        <v>517</v>
      </c>
      <c r="G105" s="209" t="s">
        <v>467</v>
      </c>
      <c r="H105" s="212"/>
      <c r="I105" s="210" t="s">
        <v>149</v>
      </c>
      <c r="J105" s="203" t="s">
        <v>149</v>
      </c>
      <c r="K105" s="203"/>
      <c r="L105" s="203" t="s">
        <v>149</v>
      </c>
      <c r="M105" s="203" t="s">
        <v>149</v>
      </c>
      <c r="N105" s="203"/>
      <c r="O105" s="203"/>
      <c r="P105" s="203"/>
      <c r="Q105" s="203"/>
      <c r="R105" s="203"/>
      <c r="S105" s="203"/>
      <c r="T105" s="203"/>
      <c r="U105" s="203"/>
      <c r="V105" s="203"/>
      <c r="W105" s="203"/>
      <c r="X105" s="203"/>
      <c r="Y105" s="203" t="s">
        <v>149</v>
      </c>
      <c r="Z105" s="203" t="s">
        <v>149</v>
      </c>
      <c r="AA105" s="203" t="s">
        <v>149</v>
      </c>
      <c r="AB105" s="203" t="s">
        <v>149</v>
      </c>
      <c r="AC105" s="203" t="s">
        <v>149</v>
      </c>
      <c r="AD105" s="203" t="s">
        <v>149</v>
      </c>
      <c r="AE105" s="203" t="s">
        <v>149</v>
      </c>
      <c r="AF105" s="203" t="s">
        <v>149</v>
      </c>
      <c r="AG105" s="203" t="s">
        <v>149</v>
      </c>
      <c r="AH105" s="203" t="s">
        <v>149</v>
      </c>
      <c r="AI105" s="203" t="s">
        <v>149</v>
      </c>
      <c r="AJ105" s="203" t="s">
        <v>149</v>
      </c>
      <c r="AK105" s="203" t="s">
        <v>149</v>
      </c>
      <c r="AL105" s="203" t="s">
        <v>149</v>
      </c>
      <c r="AM105" s="203" t="s">
        <v>149</v>
      </c>
      <c r="AN105" s="203" t="s">
        <v>149</v>
      </c>
      <c r="AO105" s="203" t="s">
        <v>149</v>
      </c>
      <c r="AP105" s="203"/>
      <c r="AQ105" s="203" t="s">
        <v>149</v>
      </c>
      <c r="AR105" s="203" t="s">
        <v>149</v>
      </c>
      <c r="AS105" s="203" t="s">
        <v>149</v>
      </c>
      <c r="AT105" s="203"/>
      <c r="AU105" s="203"/>
      <c r="AV105" s="203" t="s">
        <v>149</v>
      </c>
      <c r="AW105" s="203" t="s">
        <v>149</v>
      </c>
      <c r="AX105" s="203" t="s">
        <v>149</v>
      </c>
      <c r="AY105" s="203"/>
      <c r="AZ105" s="203" t="s">
        <v>149</v>
      </c>
      <c r="BA105" s="203" t="s">
        <v>149</v>
      </c>
      <c r="BB105" s="203" t="s">
        <v>149</v>
      </c>
      <c r="BC105" s="203" t="s">
        <v>149</v>
      </c>
      <c r="BD105" s="203" t="s">
        <v>149</v>
      </c>
      <c r="BE105" s="203" t="s">
        <v>149</v>
      </c>
      <c r="BF105" s="203" t="s">
        <v>149</v>
      </c>
      <c r="BG105" s="203" t="s">
        <v>149</v>
      </c>
      <c r="BH105" s="252"/>
      <c r="BI105" s="252"/>
      <c r="BJ105" s="252"/>
      <c r="BK105" s="252"/>
    </row>
    <row r="106" spans="1:63" ht="409.5">
      <c r="A106" s="124">
        <v>45562</v>
      </c>
      <c r="B106" s="125" t="s">
        <v>34</v>
      </c>
      <c r="C106" s="298" t="s">
        <v>258</v>
      </c>
      <c r="D106" s="125" t="s">
        <v>518</v>
      </c>
      <c r="E106" s="125" t="s">
        <v>519</v>
      </c>
      <c r="F106" s="126" t="s">
        <v>520</v>
      </c>
      <c r="G106" s="209" t="s">
        <v>474</v>
      </c>
      <c r="H106" s="212"/>
      <c r="I106" s="210" t="s">
        <v>149</v>
      </c>
      <c r="J106" s="203" t="s">
        <v>149</v>
      </c>
      <c r="K106" s="203"/>
      <c r="L106" s="203" t="s">
        <v>149</v>
      </c>
      <c r="M106" s="203" t="s">
        <v>149</v>
      </c>
      <c r="N106" s="203" t="s">
        <v>149</v>
      </c>
      <c r="O106" s="203" t="s">
        <v>149</v>
      </c>
      <c r="P106" s="203" t="s">
        <v>149</v>
      </c>
      <c r="Q106" s="203" t="s">
        <v>149</v>
      </c>
      <c r="R106" s="203"/>
      <c r="S106" s="203"/>
      <c r="T106" s="203"/>
      <c r="U106" s="203"/>
      <c r="V106" s="203"/>
      <c r="W106" s="203"/>
      <c r="X106" s="203" t="s">
        <v>149</v>
      </c>
      <c r="Y106" s="203" t="s">
        <v>149</v>
      </c>
      <c r="Z106" s="203" t="s">
        <v>149</v>
      </c>
      <c r="AA106" s="203" t="s">
        <v>149</v>
      </c>
      <c r="AB106" s="203" t="s">
        <v>149</v>
      </c>
      <c r="AC106" s="203" t="s">
        <v>149</v>
      </c>
      <c r="AD106" s="203" t="s">
        <v>149</v>
      </c>
      <c r="AE106" s="203" t="s">
        <v>149</v>
      </c>
      <c r="AF106" s="203" t="s">
        <v>149</v>
      </c>
      <c r="AG106" s="203" t="s">
        <v>149</v>
      </c>
      <c r="AH106" s="203" t="s">
        <v>149</v>
      </c>
      <c r="AI106" s="203" t="s">
        <v>149</v>
      </c>
      <c r="AJ106" s="203" t="s">
        <v>149</v>
      </c>
      <c r="AK106" s="203" t="s">
        <v>149</v>
      </c>
      <c r="AL106" s="203" t="s">
        <v>149</v>
      </c>
      <c r="AM106" s="203" t="s">
        <v>149</v>
      </c>
      <c r="AN106" s="203" t="s">
        <v>149</v>
      </c>
      <c r="AO106" s="203" t="s">
        <v>149</v>
      </c>
      <c r="AP106" s="203"/>
      <c r="AQ106" s="203" t="s">
        <v>149</v>
      </c>
      <c r="AR106" s="203" t="s">
        <v>149</v>
      </c>
      <c r="AS106" s="203" t="s">
        <v>149</v>
      </c>
      <c r="AT106" s="203"/>
      <c r="AU106" s="203"/>
      <c r="AV106" s="203" t="s">
        <v>149</v>
      </c>
      <c r="AW106" s="203" t="s">
        <v>149</v>
      </c>
      <c r="AX106" s="203" t="s">
        <v>149</v>
      </c>
      <c r="AY106" s="203"/>
      <c r="AZ106" s="203" t="s">
        <v>149</v>
      </c>
      <c r="BA106" s="203" t="s">
        <v>149</v>
      </c>
      <c r="BB106" s="203" t="s">
        <v>149</v>
      </c>
      <c r="BC106" s="203" t="s">
        <v>149</v>
      </c>
      <c r="BD106" s="203" t="s">
        <v>149</v>
      </c>
      <c r="BE106" s="203" t="s">
        <v>149</v>
      </c>
      <c r="BF106" s="203" t="s">
        <v>149</v>
      </c>
      <c r="BG106" s="203" t="s">
        <v>149</v>
      </c>
      <c r="BH106" s="252"/>
      <c r="BI106" s="252"/>
      <c r="BJ106" s="252"/>
      <c r="BK106" s="252"/>
    </row>
    <row r="107" spans="1:63" ht="409.5">
      <c r="A107" s="124">
        <v>45562</v>
      </c>
      <c r="B107" s="125" t="s">
        <v>34</v>
      </c>
      <c r="C107" s="298" t="s">
        <v>514</v>
      </c>
      <c r="D107" s="125" t="s">
        <v>521</v>
      </c>
      <c r="E107" s="125" t="s">
        <v>522</v>
      </c>
      <c r="F107" s="126" t="s">
        <v>523</v>
      </c>
      <c r="G107" s="209" t="s">
        <v>467</v>
      </c>
      <c r="H107" s="212"/>
      <c r="I107" s="210" t="s">
        <v>149</v>
      </c>
      <c r="J107" s="203" t="s">
        <v>149</v>
      </c>
      <c r="K107" s="203"/>
      <c r="L107" s="203" t="s">
        <v>149</v>
      </c>
      <c r="M107" s="203" t="s">
        <v>149</v>
      </c>
      <c r="N107" s="203"/>
      <c r="O107" s="203"/>
      <c r="P107" s="203"/>
      <c r="Q107" s="203"/>
      <c r="R107" s="203"/>
      <c r="S107" s="203"/>
      <c r="T107" s="203"/>
      <c r="U107" s="203"/>
      <c r="V107" s="203"/>
      <c r="W107" s="203"/>
      <c r="X107" s="203"/>
      <c r="Y107" s="203" t="s">
        <v>149</v>
      </c>
      <c r="Z107" s="203" t="s">
        <v>149</v>
      </c>
      <c r="AA107" s="203" t="s">
        <v>149</v>
      </c>
      <c r="AB107" s="203" t="s">
        <v>149</v>
      </c>
      <c r="AC107" s="203" t="s">
        <v>149</v>
      </c>
      <c r="AD107" s="203" t="s">
        <v>149</v>
      </c>
      <c r="AE107" s="203" t="s">
        <v>149</v>
      </c>
      <c r="AF107" s="203" t="s">
        <v>149</v>
      </c>
      <c r="AG107" s="203" t="s">
        <v>149</v>
      </c>
      <c r="AH107" s="203" t="s">
        <v>149</v>
      </c>
      <c r="AI107" s="203" t="s">
        <v>149</v>
      </c>
      <c r="AJ107" s="203" t="s">
        <v>149</v>
      </c>
      <c r="AK107" s="203" t="s">
        <v>149</v>
      </c>
      <c r="AL107" s="203" t="s">
        <v>149</v>
      </c>
      <c r="AM107" s="203" t="s">
        <v>149</v>
      </c>
      <c r="AN107" s="203" t="s">
        <v>149</v>
      </c>
      <c r="AO107" s="203" t="s">
        <v>149</v>
      </c>
      <c r="AP107" s="203"/>
      <c r="AQ107" s="203" t="s">
        <v>149</v>
      </c>
      <c r="AR107" s="203" t="s">
        <v>149</v>
      </c>
      <c r="AS107" s="203" t="s">
        <v>149</v>
      </c>
      <c r="AT107" s="203"/>
      <c r="AU107" s="203"/>
      <c r="AV107" s="203" t="s">
        <v>149</v>
      </c>
      <c r="AW107" s="203" t="s">
        <v>149</v>
      </c>
      <c r="AX107" s="203" t="s">
        <v>149</v>
      </c>
      <c r="AY107" s="203"/>
      <c r="AZ107" s="203" t="s">
        <v>149</v>
      </c>
      <c r="BA107" s="203" t="s">
        <v>149</v>
      </c>
      <c r="BB107" s="203" t="s">
        <v>149</v>
      </c>
      <c r="BC107" s="203" t="s">
        <v>149</v>
      </c>
      <c r="BD107" s="203" t="s">
        <v>149</v>
      </c>
      <c r="BE107" s="203" t="s">
        <v>149</v>
      </c>
      <c r="BF107" s="203" t="s">
        <v>149</v>
      </c>
      <c r="BG107" s="203" t="s">
        <v>149</v>
      </c>
      <c r="BH107" s="252"/>
      <c r="BI107" s="252"/>
      <c r="BJ107" s="252"/>
      <c r="BK107" s="252"/>
    </row>
    <row r="108" spans="1:63" ht="409.5">
      <c r="A108" s="124">
        <v>45569</v>
      </c>
      <c r="B108" s="125" t="s">
        <v>34</v>
      </c>
      <c r="C108" s="298" t="s">
        <v>279</v>
      </c>
      <c r="D108" s="125" t="s">
        <v>524</v>
      </c>
      <c r="E108" s="125" t="s">
        <v>525</v>
      </c>
      <c r="F108" s="126" t="s">
        <v>526</v>
      </c>
      <c r="G108" s="209" t="s">
        <v>474</v>
      </c>
      <c r="H108" s="212"/>
      <c r="I108" s="210" t="s">
        <v>149</v>
      </c>
      <c r="J108" s="203" t="s">
        <v>149</v>
      </c>
      <c r="K108" s="203"/>
      <c r="L108" s="203" t="s">
        <v>149</v>
      </c>
      <c r="M108" s="203" t="s">
        <v>149</v>
      </c>
      <c r="N108" s="203" t="s">
        <v>149</v>
      </c>
      <c r="O108" s="203" t="s">
        <v>149</v>
      </c>
      <c r="P108" s="203" t="s">
        <v>149</v>
      </c>
      <c r="Q108" s="203" t="s">
        <v>149</v>
      </c>
      <c r="R108" s="203"/>
      <c r="S108" s="203"/>
      <c r="T108" s="203"/>
      <c r="U108" s="203"/>
      <c r="V108" s="203"/>
      <c r="W108" s="203"/>
      <c r="X108" s="203" t="s">
        <v>149</v>
      </c>
      <c r="Y108" s="203" t="s">
        <v>149</v>
      </c>
      <c r="Z108" s="203" t="s">
        <v>149</v>
      </c>
      <c r="AA108" s="203" t="s">
        <v>149</v>
      </c>
      <c r="AB108" s="203" t="s">
        <v>149</v>
      </c>
      <c r="AC108" s="203" t="s">
        <v>149</v>
      </c>
      <c r="AD108" s="203" t="s">
        <v>149</v>
      </c>
      <c r="AE108" s="203" t="s">
        <v>149</v>
      </c>
      <c r="AF108" s="203" t="s">
        <v>149</v>
      </c>
      <c r="AG108" s="203" t="s">
        <v>149</v>
      </c>
      <c r="AH108" s="203" t="s">
        <v>149</v>
      </c>
      <c r="AI108" s="203" t="s">
        <v>149</v>
      </c>
      <c r="AJ108" s="203" t="s">
        <v>149</v>
      </c>
      <c r="AK108" s="203" t="s">
        <v>149</v>
      </c>
      <c r="AL108" s="203" t="s">
        <v>149</v>
      </c>
      <c r="AM108" s="203" t="s">
        <v>149</v>
      </c>
      <c r="AN108" s="203" t="s">
        <v>149</v>
      </c>
      <c r="AO108" s="203" t="s">
        <v>149</v>
      </c>
      <c r="AP108" s="203"/>
      <c r="AQ108" s="203" t="s">
        <v>149</v>
      </c>
      <c r="AR108" s="203" t="s">
        <v>149</v>
      </c>
      <c r="AS108" s="203" t="s">
        <v>149</v>
      </c>
      <c r="AT108" s="203"/>
      <c r="AU108" s="203"/>
      <c r="AV108" s="203" t="s">
        <v>149</v>
      </c>
      <c r="AW108" s="203" t="s">
        <v>149</v>
      </c>
      <c r="AX108" s="203" t="s">
        <v>149</v>
      </c>
      <c r="AY108" s="203"/>
      <c r="AZ108" s="203" t="s">
        <v>149</v>
      </c>
      <c r="BA108" s="203" t="s">
        <v>149</v>
      </c>
      <c r="BB108" s="203" t="s">
        <v>149</v>
      </c>
      <c r="BC108" s="203" t="s">
        <v>149</v>
      </c>
      <c r="BD108" s="203" t="s">
        <v>149</v>
      </c>
      <c r="BE108" s="203" t="s">
        <v>149</v>
      </c>
      <c r="BF108" s="203" t="s">
        <v>149</v>
      </c>
      <c r="BG108" s="203" t="s">
        <v>149</v>
      </c>
      <c r="BH108" s="252"/>
      <c r="BI108" s="252"/>
      <c r="BJ108" s="252"/>
      <c r="BK108" s="252"/>
    </row>
    <row r="109" spans="1:63" ht="240">
      <c r="A109" s="124">
        <v>45569</v>
      </c>
      <c r="B109" s="125" t="s">
        <v>34</v>
      </c>
      <c r="C109" s="298" t="s">
        <v>527</v>
      </c>
      <c r="D109" s="125" t="s">
        <v>528</v>
      </c>
      <c r="E109" s="125" t="s">
        <v>529</v>
      </c>
      <c r="F109" s="126" t="s">
        <v>530</v>
      </c>
      <c r="G109" s="209" t="s">
        <v>467</v>
      </c>
      <c r="H109" s="212"/>
      <c r="I109" s="210" t="s">
        <v>149</v>
      </c>
      <c r="J109" s="203" t="s">
        <v>149</v>
      </c>
      <c r="K109" s="203"/>
      <c r="L109" s="203" t="s">
        <v>149</v>
      </c>
      <c r="M109" s="203" t="s">
        <v>149</v>
      </c>
      <c r="N109" s="203"/>
      <c r="O109" s="203"/>
      <c r="P109" s="203"/>
      <c r="Q109" s="203"/>
      <c r="R109" s="203"/>
      <c r="S109" s="203"/>
      <c r="T109" s="203"/>
      <c r="U109" s="203"/>
      <c r="V109" s="203"/>
      <c r="W109" s="203"/>
      <c r="X109" s="203"/>
      <c r="Y109" s="203" t="s">
        <v>149</v>
      </c>
      <c r="Z109" s="203" t="s">
        <v>149</v>
      </c>
      <c r="AA109" s="203" t="s">
        <v>149</v>
      </c>
      <c r="AB109" s="203" t="s">
        <v>149</v>
      </c>
      <c r="AC109" s="203" t="s">
        <v>149</v>
      </c>
      <c r="AD109" s="203" t="s">
        <v>149</v>
      </c>
      <c r="AE109" s="203" t="s">
        <v>149</v>
      </c>
      <c r="AF109" s="203" t="s">
        <v>149</v>
      </c>
      <c r="AG109" s="203" t="s">
        <v>149</v>
      </c>
      <c r="AH109" s="203" t="s">
        <v>149</v>
      </c>
      <c r="AI109" s="203" t="s">
        <v>149</v>
      </c>
      <c r="AJ109" s="203" t="s">
        <v>149</v>
      </c>
      <c r="AK109" s="203" t="s">
        <v>149</v>
      </c>
      <c r="AL109" s="203" t="s">
        <v>149</v>
      </c>
      <c r="AM109" s="203" t="s">
        <v>149</v>
      </c>
      <c r="AN109" s="203" t="s">
        <v>149</v>
      </c>
      <c r="AO109" s="203" t="s">
        <v>149</v>
      </c>
      <c r="AP109" s="203"/>
      <c r="AQ109" s="203" t="s">
        <v>149</v>
      </c>
      <c r="AR109" s="203" t="s">
        <v>149</v>
      </c>
      <c r="AS109" s="203" t="s">
        <v>149</v>
      </c>
      <c r="AT109" s="203"/>
      <c r="AU109" s="203"/>
      <c r="AV109" s="203" t="s">
        <v>149</v>
      </c>
      <c r="AW109" s="203" t="s">
        <v>149</v>
      </c>
      <c r="AX109" s="203" t="s">
        <v>149</v>
      </c>
      <c r="AY109" s="203"/>
      <c r="AZ109" s="203" t="s">
        <v>149</v>
      </c>
      <c r="BA109" s="203" t="s">
        <v>149</v>
      </c>
      <c r="BB109" s="203" t="s">
        <v>149</v>
      </c>
      <c r="BC109" s="203" t="s">
        <v>149</v>
      </c>
      <c r="BD109" s="203" t="s">
        <v>149</v>
      </c>
      <c r="BE109" s="203" t="s">
        <v>149</v>
      </c>
      <c r="BF109" s="203" t="s">
        <v>149</v>
      </c>
      <c r="BG109" s="203" t="s">
        <v>149</v>
      </c>
      <c r="BH109" s="252"/>
      <c r="BI109" s="252"/>
      <c r="BJ109" s="252"/>
      <c r="BK109" s="252"/>
    </row>
    <row r="110" spans="1:63" ht="210">
      <c r="A110" s="124">
        <v>45576</v>
      </c>
      <c r="B110" s="125" t="s">
        <v>34</v>
      </c>
      <c r="C110" s="298" t="s">
        <v>507</v>
      </c>
      <c r="D110" s="125" t="s">
        <v>508</v>
      </c>
      <c r="E110" s="125" t="s">
        <v>509</v>
      </c>
      <c r="F110" s="126" t="s">
        <v>531</v>
      </c>
      <c r="G110" s="209" t="s">
        <v>532</v>
      </c>
      <c r="H110" s="212"/>
      <c r="I110" s="210" t="s">
        <v>149</v>
      </c>
      <c r="J110" s="203" t="s">
        <v>149</v>
      </c>
      <c r="K110" s="203"/>
      <c r="L110" s="203" t="s">
        <v>149</v>
      </c>
      <c r="M110" s="203" t="s">
        <v>149</v>
      </c>
      <c r="N110" s="203"/>
      <c r="O110" s="203"/>
      <c r="P110" s="203"/>
      <c r="Q110" s="203"/>
      <c r="R110" s="203"/>
      <c r="S110" s="203"/>
      <c r="T110" s="203"/>
      <c r="U110" s="203"/>
      <c r="V110" s="203"/>
      <c r="W110" s="203"/>
      <c r="X110" s="203"/>
      <c r="Y110" s="203" t="s">
        <v>149</v>
      </c>
      <c r="Z110" s="203" t="s">
        <v>149</v>
      </c>
      <c r="AA110" s="203" t="s">
        <v>149</v>
      </c>
      <c r="AB110" s="203" t="s">
        <v>149</v>
      </c>
      <c r="AC110" s="203" t="s">
        <v>149</v>
      </c>
      <c r="AD110" s="203" t="s">
        <v>149</v>
      </c>
      <c r="AE110" s="203" t="s">
        <v>149</v>
      </c>
      <c r="AF110" s="203" t="s">
        <v>149</v>
      </c>
      <c r="AG110" s="203" t="s">
        <v>149</v>
      </c>
      <c r="AH110" s="203" t="s">
        <v>149</v>
      </c>
      <c r="AI110" s="203" t="s">
        <v>149</v>
      </c>
      <c r="AJ110" s="203" t="s">
        <v>149</v>
      </c>
      <c r="AK110" s="203" t="s">
        <v>149</v>
      </c>
      <c r="AL110" s="203" t="s">
        <v>149</v>
      </c>
      <c r="AM110" s="203" t="s">
        <v>149</v>
      </c>
      <c r="AN110" s="203" t="s">
        <v>149</v>
      </c>
      <c r="AO110" s="203" t="s">
        <v>149</v>
      </c>
      <c r="AP110" s="203"/>
      <c r="AQ110" s="203" t="s">
        <v>149</v>
      </c>
      <c r="AR110" s="203" t="s">
        <v>149</v>
      </c>
      <c r="AS110" s="203" t="s">
        <v>149</v>
      </c>
      <c r="AT110" s="203"/>
      <c r="AU110" s="203"/>
      <c r="AV110" s="203" t="s">
        <v>149</v>
      </c>
      <c r="AW110" s="203" t="s">
        <v>149</v>
      </c>
      <c r="AX110" s="203" t="s">
        <v>149</v>
      </c>
      <c r="AY110" s="203"/>
      <c r="AZ110" s="203" t="s">
        <v>149</v>
      </c>
      <c r="BA110" s="203" t="s">
        <v>149</v>
      </c>
      <c r="BB110" s="203" t="s">
        <v>149</v>
      </c>
      <c r="BC110" s="203" t="s">
        <v>149</v>
      </c>
      <c r="BD110" s="203" t="s">
        <v>149</v>
      </c>
      <c r="BE110" s="203" t="s">
        <v>149</v>
      </c>
      <c r="BF110" s="203" t="s">
        <v>149</v>
      </c>
      <c r="BG110" s="203"/>
      <c r="BH110" s="252"/>
      <c r="BI110" s="252"/>
      <c r="BJ110" s="252"/>
      <c r="BK110" s="252"/>
    </row>
    <row r="111" spans="1:63" ht="405">
      <c r="A111" s="124">
        <v>45576</v>
      </c>
      <c r="B111" s="125" t="s">
        <v>34</v>
      </c>
      <c r="C111" s="298" t="s">
        <v>279</v>
      </c>
      <c r="D111" s="125" t="s">
        <v>533</v>
      </c>
      <c r="E111" s="125" t="s">
        <v>534</v>
      </c>
      <c r="F111" s="126" t="s">
        <v>535</v>
      </c>
      <c r="G111" s="209" t="s">
        <v>474</v>
      </c>
      <c r="H111" s="212"/>
      <c r="I111" s="210" t="s">
        <v>149</v>
      </c>
      <c r="J111" s="203" t="s">
        <v>149</v>
      </c>
      <c r="K111" s="203"/>
      <c r="L111" s="203" t="s">
        <v>149</v>
      </c>
      <c r="M111" s="203" t="s">
        <v>149</v>
      </c>
      <c r="N111" s="203" t="s">
        <v>149</v>
      </c>
      <c r="O111" s="203" t="s">
        <v>149</v>
      </c>
      <c r="P111" s="203" t="s">
        <v>149</v>
      </c>
      <c r="Q111" s="203" t="s">
        <v>149</v>
      </c>
      <c r="R111" s="203"/>
      <c r="S111" s="203"/>
      <c r="T111" s="203"/>
      <c r="U111" s="203"/>
      <c r="V111" s="203"/>
      <c r="W111" s="203"/>
      <c r="X111" s="203" t="s">
        <v>149</v>
      </c>
      <c r="Y111" s="203" t="s">
        <v>149</v>
      </c>
      <c r="Z111" s="203" t="s">
        <v>149</v>
      </c>
      <c r="AA111" s="203" t="s">
        <v>149</v>
      </c>
      <c r="AB111" s="203" t="s">
        <v>149</v>
      </c>
      <c r="AC111" s="203" t="s">
        <v>149</v>
      </c>
      <c r="AD111" s="203" t="s">
        <v>149</v>
      </c>
      <c r="AE111" s="203" t="s">
        <v>149</v>
      </c>
      <c r="AF111" s="203" t="s">
        <v>149</v>
      </c>
      <c r="AG111" s="203" t="s">
        <v>149</v>
      </c>
      <c r="AH111" s="203" t="s">
        <v>149</v>
      </c>
      <c r="AI111" s="203" t="s">
        <v>149</v>
      </c>
      <c r="AJ111" s="203" t="s">
        <v>149</v>
      </c>
      <c r="AK111" s="203" t="s">
        <v>149</v>
      </c>
      <c r="AL111" s="203" t="s">
        <v>149</v>
      </c>
      <c r="AM111" s="203" t="s">
        <v>149</v>
      </c>
      <c r="AN111" s="203" t="s">
        <v>149</v>
      </c>
      <c r="AO111" s="203" t="s">
        <v>149</v>
      </c>
      <c r="AP111" s="203"/>
      <c r="AQ111" s="203" t="s">
        <v>149</v>
      </c>
      <c r="AR111" s="203" t="s">
        <v>149</v>
      </c>
      <c r="AS111" s="203" t="s">
        <v>149</v>
      </c>
      <c r="AT111" s="203"/>
      <c r="AU111" s="203"/>
      <c r="AV111" s="203" t="s">
        <v>149</v>
      </c>
      <c r="AW111" s="203" t="s">
        <v>149</v>
      </c>
      <c r="AX111" s="203" t="s">
        <v>149</v>
      </c>
      <c r="AY111" s="203"/>
      <c r="AZ111" s="203" t="s">
        <v>149</v>
      </c>
      <c r="BA111" s="203" t="s">
        <v>149</v>
      </c>
      <c r="BB111" s="203" t="s">
        <v>149</v>
      </c>
      <c r="BC111" s="203" t="s">
        <v>149</v>
      </c>
      <c r="BD111" s="203" t="s">
        <v>149</v>
      </c>
      <c r="BE111" s="203" t="s">
        <v>149</v>
      </c>
      <c r="BF111" s="203" t="s">
        <v>149</v>
      </c>
      <c r="BG111" s="203" t="s">
        <v>149</v>
      </c>
      <c r="BH111" s="252"/>
      <c r="BI111" s="252"/>
      <c r="BJ111" s="252"/>
      <c r="BK111" s="252"/>
    </row>
    <row r="112" spans="1:63" ht="255">
      <c r="A112" s="124">
        <v>45576</v>
      </c>
      <c r="B112" s="125" t="s">
        <v>34</v>
      </c>
      <c r="C112" s="298" t="s">
        <v>527</v>
      </c>
      <c r="D112" s="125" t="s">
        <v>528</v>
      </c>
      <c r="E112" s="125" t="s">
        <v>529</v>
      </c>
      <c r="F112" s="126" t="s">
        <v>536</v>
      </c>
      <c r="G112" s="209" t="s">
        <v>532</v>
      </c>
      <c r="H112" s="212"/>
      <c r="I112" s="210" t="s">
        <v>149</v>
      </c>
      <c r="J112" s="203" t="s">
        <v>149</v>
      </c>
      <c r="K112" s="203"/>
      <c r="L112" s="203" t="s">
        <v>149</v>
      </c>
      <c r="M112" s="203" t="s">
        <v>149</v>
      </c>
      <c r="N112" s="203"/>
      <c r="O112" s="203"/>
      <c r="P112" s="203"/>
      <c r="Q112" s="203"/>
      <c r="R112" s="203"/>
      <c r="S112" s="203"/>
      <c r="T112" s="203"/>
      <c r="U112" s="203"/>
      <c r="V112" s="203"/>
      <c r="W112" s="203"/>
      <c r="X112" s="203"/>
      <c r="Y112" s="203" t="s">
        <v>149</v>
      </c>
      <c r="Z112" s="203" t="s">
        <v>149</v>
      </c>
      <c r="AA112" s="203" t="s">
        <v>149</v>
      </c>
      <c r="AB112" s="203" t="s">
        <v>149</v>
      </c>
      <c r="AC112" s="203" t="s">
        <v>149</v>
      </c>
      <c r="AD112" s="203" t="s">
        <v>149</v>
      </c>
      <c r="AE112" s="203" t="s">
        <v>149</v>
      </c>
      <c r="AF112" s="203" t="s">
        <v>149</v>
      </c>
      <c r="AG112" s="203" t="s">
        <v>149</v>
      </c>
      <c r="AH112" s="203" t="s">
        <v>149</v>
      </c>
      <c r="AI112" s="203" t="s">
        <v>149</v>
      </c>
      <c r="AJ112" s="203" t="s">
        <v>149</v>
      </c>
      <c r="AK112" s="203" t="s">
        <v>149</v>
      </c>
      <c r="AL112" s="203" t="s">
        <v>149</v>
      </c>
      <c r="AM112" s="203" t="s">
        <v>149</v>
      </c>
      <c r="AN112" s="203" t="s">
        <v>149</v>
      </c>
      <c r="AO112" s="203" t="s">
        <v>149</v>
      </c>
      <c r="AP112" s="203"/>
      <c r="AQ112" s="203" t="s">
        <v>149</v>
      </c>
      <c r="AR112" s="203" t="s">
        <v>149</v>
      </c>
      <c r="AS112" s="203" t="s">
        <v>149</v>
      </c>
      <c r="AT112" s="203"/>
      <c r="AU112" s="203"/>
      <c r="AV112" s="203" t="s">
        <v>149</v>
      </c>
      <c r="AW112" s="203" t="s">
        <v>149</v>
      </c>
      <c r="AX112" s="203" t="s">
        <v>149</v>
      </c>
      <c r="AY112" s="203"/>
      <c r="AZ112" s="203" t="s">
        <v>149</v>
      </c>
      <c r="BA112" s="203" t="s">
        <v>149</v>
      </c>
      <c r="BB112" s="203" t="s">
        <v>149</v>
      </c>
      <c r="BC112" s="203" t="s">
        <v>149</v>
      </c>
      <c r="BD112" s="203" t="s">
        <v>149</v>
      </c>
      <c r="BE112" s="203" t="s">
        <v>149</v>
      </c>
      <c r="BF112" s="203" t="s">
        <v>149</v>
      </c>
      <c r="BG112" s="203"/>
      <c r="BH112" s="252"/>
      <c r="BI112" s="252"/>
      <c r="BJ112" s="252"/>
      <c r="BK112" s="252"/>
    </row>
    <row r="113" spans="1:63" ht="409.5">
      <c r="A113" s="124">
        <v>45583</v>
      </c>
      <c r="B113" s="125" t="s">
        <v>34</v>
      </c>
      <c r="C113" s="298" t="s">
        <v>537</v>
      </c>
      <c r="D113" s="125" t="s">
        <v>538</v>
      </c>
      <c r="E113" s="125" t="s">
        <v>539</v>
      </c>
      <c r="F113" s="126" t="s">
        <v>540</v>
      </c>
      <c r="G113" s="209" t="s">
        <v>474</v>
      </c>
      <c r="H113" s="212"/>
      <c r="I113" s="210" t="s">
        <v>149</v>
      </c>
      <c r="J113" s="203" t="s">
        <v>149</v>
      </c>
      <c r="K113" s="203"/>
      <c r="L113" s="203" t="s">
        <v>149</v>
      </c>
      <c r="M113" s="203" t="s">
        <v>149</v>
      </c>
      <c r="N113" s="203" t="s">
        <v>149</v>
      </c>
      <c r="O113" s="203" t="s">
        <v>149</v>
      </c>
      <c r="P113" s="203" t="s">
        <v>149</v>
      </c>
      <c r="Q113" s="203" t="s">
        <v>149</v>
      </c>
      <c r="R113" s="203"/>
      <c r="S113" s="203"/>
      <c r="T113" s="203"/>
      <c r="U113" s="203"/>
      <c r="V113" s="203"/>
      <c r="W113" s="203"/>
      <c r="X113" s="203" t="s">
        <v>149</v>
      </c>
      <c r="Y113" s="203" t="s">
        <v>149</v>
      </c>
      <c r="Z113" s="203" t="s">
        <v>149</v>
      </c>
      <c r="AA113" s="203" t="s">
        <v>149</v>
      </c>
      <c r="AB113" s="203" t="s">
        <v>149</v>
      </c>
      <c r="AC113" s="203" t="s">
        <v>149</v>
      </c>
      <c r="AD113" s="203" t="s">
        <v>149</v>
      </c>
      <c r="AE113" s="203" t="s">
        <v>149</v>
      </c>
      <c r="AF113" s="203" t="s">
        <v>149</v>
      </c>
      <c r="AG113" s="203" t="s">
        <v>149</v>
      </c>
      <c r="AH113" s="203" t="s">
        <v>149</v>
      </c>
      <c r="AI113" s="203" t="s">
        <v>149</v>
      </c>
      <c r="AJ113" s="203" t="s">
        <v>149</v>
      </c>
      <c r="AK113" s="203" t="s">
        <v>149</v>
      </c>
      <c r="AL113" s="203" t="s">
        <v>149</v>
      </c>
      <c r="AM113" s="203" t="s">
        <v>149</v>
      </c>
      <c r="AN113" s="203" t="s">
        <v>149</v>
      </c>
      <c r="AO113" s="203" t="s">
        <v>149</v>
      </c>
      <c r="AP113" s="203"/>
      <c r="AQ113" s="203" t="s">
        <v>149</v>
      </c>
      <c r="AR113" s="203" t="s">
        <v>149</v>
      </c>
      <c r="AS113" s="203" t="s">
        <v>149</v>
      </c>
      <c r="AT113" s="203"/>
      <c r="AU113" s="203"/>
      <c r="AV113" s="203" t="s">
        <v>149</v>
      </c>
      <c r="AW113" s="203" t="s">
        <v>149</v>
      </c>
      <c r="AX113" s="203" t="s">
        <v>149</v>
      </c>
      <c r="AY113" s="203"/>
      <c r="AZ113" s="203" t="s">
        <v>149</v>
      </c>
      <c r="BA113" s="203" t="s">
        <v>149</v>
      </c>
      <c r="BB113" s="203" t="s">
        <v>149</v>
      </c>
      <c r="BC113" s="203" t="s">
        <v>149</v>
      </c>
      <c r="BD113" s="203" t="s">
        <v>149</v>
      </c>
      <c r="BE113" s="203" t="s">
        <v>149</v>
      </c>
      <c r="BF113" s="203" t="s">
        <v>149</v>
      </c>
      <c r="BG113" s="203" t="s">
        <v>149</v>
      </c>
      <c r="BH113" s="252"/>
      <c r="BI113" s="252"/>
      <c r="BJ113" s="252"/>
      <c r="BK113" s="252"/>
    </row>
    <row r="114" spans="1:63" ht="225">
      <c r="A114" s="124">
        <v>45583</v>
      </c>
      <c r="B114" s="125" t="s">
        <v>34</v>
      </c>
      <c r="C114" s="298" t="s">
        <v>541</v>
      </c>
      <c r="D114" s="125" t="s">
        <v>542</v>
      </c>
      <c r="E114" s="125" t="s">
        <v>543</v>
      </c>
      <c r="F114" s="126" t="s">
        <v>544</v>
      </c>
      <c r="G114" s="209" t="s">
        <v>545</v>
      </c>
      <c r="H114" s="212"/>
      <c r="I114" s="210"/>
      <c r="J114" s="203"/>
      <c r="K114" s="203"/>
      <c r="L114" s="203" t="s">
        <v>149</v>
      </c>
      <c r="M114" s="203"/>
      <c r="N114" s="203"/>
      <c r="O114" s="203"/>
      <c r="P114" s="203"/>
      <c r="Q114" s="203"/>
      <c r="R114" s="203"/>
      <c r="S114" s="203"/>
      <c r="T114" s="203"/>
      <c r="U114" s="203"/>
      <c r="V114" s="203"/>
      <c r="W114" s="203"/>
      <c r="X114" s="203"/>
      <c r="Y114" s="203" t="s">
        <v>149</v>
      </c>
      <c r="Z114" s="203" t="s">
        <v>149</v>
      </c>
      <c r="AA114" s="203" t="s">
        <v>149</v>
      </c>
      <c r="AB114" s="203" t="s">
        <v>149</v>
      </c>
      <c r="AC114" s="203" t="s">
        <v>149</v>
      </c>
      <c r="AD114" s="203" t="s">
        <v>149</v>
      </c>
      <c r="AE114" s="203" t="s">
        <v>149</v>
      </c>
      <c r="AF114" s="203" t="s">
        <v>149</v>
      </c>
      <c r="AG114" s="203" t="s">
        <v>149</v>
      </c>
      <c r="AH114" s="203" t="s">
        <v>149</v>
      </c>
      <c r="AI114" s="203" t="s">
        <v>149</v>
      </c>
      <c r="AJ114" s="203" t="s">
        <v>149</v>
      </c>
      <c r="AK114" s="203" t="s">
        <v>149</v>
      </c>
      <c r="AL114" s="203" t="s">
        <v>149</v>
      </c>
      <c r="AM114" s="203" t="s">
        <v>149</v>
      </c>
      <c r="AN114" s="203" t="s">
        <v>149</v>
      </c>
      <c r="AO114" s="203" t="s">
        <v>149</v>
      </c>
      <c r="AP114" s="203"/>
      <c r="AQ114" s="203" t="s">
        <v>149</v>
      </c>
      <c r="AR114" s="203"/>
      <c r="AS114" s="203"/>
      <c r="AT114" s="203"/>
      <c r="AU114" s="203"/>
      <c r="AV114" s="203" t="s">
        <v>149</v>
      </c>
      <c r="AW114" s="203" t="s">
        <v>149</v>
      </c>
      <c r="AX114" s="203" t="s">
        <v>149</v>
      </c>
      <c r="AY114" s="203"/>
      <c r="AZ114" s="203"/>
      <c r="BA114" s="203" t="s">
        <v>149</v>
      </c>
      <c r="BB114" s="203" t="s">
        <v>149</v>
      </c>
      <c r="BC114" s="203"/>
      <c r="BD114" s="203"/>
      <c r="BE114" s="203"/>
      <c r="BF114" s="203" t="s">
        <v>149</v>
      </c>
      <c r="BG114" s="203"/>
      <c r="BH114" s="252"/>
      <c r="BI114" s="252"/>
      <c r="BJ114" s="252"/>
      <c r="BK114" s="252"/>
    </row>
    <row r="115" spans="1:63" ht="409.5">
      <c r="A115" s="124">
        <v>45590</v>
      </c>
      <c r="B115" s="125" t="s">
        <v>34</v>
      </c>
      <c r="C115" s="298" t="s">
        <v>546</v>
      </c>
      <c r="D115" s="125" t="s">
        <v>547</v>
      </c>
      <c r="E115" s="125" t="s">
        <v>548</v>
      </c>
      <c r="F115" s="126" t="s">
        <v>549</v>
      </c>
      <c r="G115" s="209" t="s">
        <v>532</v>
      </c>
      <c r="H115" s="212"/>
      <c r="I115" s="210" t="s">
        <v>149</v>
      </c>
      <c r="J115" s="203" t="s">
        <v>149</v>
      </c>
      <c r="K115" s="203"/>
      <c r="L115" s="203" t="s">
        <v>149</v>
      </c>
      <c r="M115" s="203" t="s">
        <v>149</v>
      </c>
      <c r="N115" s="203" t="s">
        <v>149</v>
      </c>
      <c r="O115" s="203" t="s">
        <v>149</v>
      </c>
      <c r="P115" s="203" t="s">
        <v>149</v>
      </c>
      <c r="Q115" s="203" t="s">
        <v>149</v>
      </c>
      <c r="R115" s="203"/>
      <c r="S115" s="203"/>
      <c r="T115" s="203"/>
      <c r="U115" s="203"/>
      <c r="V115" s="203"/>
      <c r="W115" s="203" t="s">
        <v>149</v>
      </c>
      <c r="X115" s="203" t="s">
        <v>149</v>
      </c>
      <c r="Y115" s="203" t="s">
        <v>149</v>
      </c>
      <c r="Z115" s="203" t="s">
        <v>149</v>
      </c>
      <c r="AA115" s="203" t="s">
        <v>149</v>
      </c>
      <c r="AB115" s="203" t="s">
        <v>149</v>
      </c>
      <c r="AC115" s="203" t="s">
        <v>149</v>
      </c>
      <c r="AD115" s="203" t="s">
        <v>149</v>
      </c>
      <c r="AE115" s="203" t="s">
        <v>149</v>
      </c>
      <c r="AF115" s="203" t="s">
        <v>149</v>
      </c>
      <c r="AG115" s="203" t="s">
        <v>149</v>
      </c>
      <c r="AH115" s="203" t="s">
        <v>149</v>
      </c>
      <c r="AI115" s="203" t="s">
        <v>149</v>
      </c>
      <c r="AJ115" s="203" t="s">
        <v>149</v>
      </c>
      <c r="AK115" s="203" t="s">
        <v>149</v>
      </c>
      <c r="AL115" s="203" t="s">
        <v>149</v>
      </c>
      <c r="AM115" s="203" t="s">
        <v>149</v>
      </c>
      <c r="AN115" s="203" t="s">
        <v>149</v>
      </c>
      <c r="AO115" s="203" t="s">
        <v>149</v>
      </c>
      <c r="AP115" s="203"/>
      <c r="AQ115" s="203" t="s">
        <v>149</v>
      </c>
      <c r="AR115" s="203" t="s">
        <v>149</v>
      </c>
      <c r="AS115" s="203" t="s">
        <v>149</v>
      </c>
      <c r="AT115" s="203"/>
      <c r="AU115" s="203"/>
      <c r="AV115" s="203" t="s">
        <v>149</v>
      </c>
      <c r="AW115" s="203" t="s">
        <v>149</v>
      </c>
      <c r="AX115" s="203" t="s">
        <v>149</v>
      </c>
      <c r="AY115" s="203"/>
      <c r="AZ115" s="203" t="s">
        <v>149</v>
      </c>
      <c r="BA115" s="203" t="s">
        <v>149</v>
      </c>
      <c r="BB115" s="203" t="s">
        <v>149</v>
      </c>
      <c r="BC115" s="203" t="s">
        <v>149</v>
      </c>
      <c r="BD115" s="203" t="s">
        <v>149</v>
      </c>
      <c r="BE115" s="203" t="s">
        <v>149</v>
      </c>
      <c r="BF115" s="203" t="s">
        <v>149</v>
      </c>
      <c r="BG115" s="203"/>
      <c r="BH115" s="252"/>
      <c r="BI115" s="252"/>
      <c r="BJ115" s="252"/>
      <c r="BK115" s="252"/>
    </row>
    <row r="116" spans="1:63" ht="345">
      <c r="A116" s="124">
        <v>45590</v>
      </c>
      <c r="B116" s="125" t="s">
        <v>34</v>
      </c>
      <c r="C116" s="298" t="s">
        <v>550</v>
      </c>
      <c r="D116" s="125" t="s">
        <v>551</v>
      </c>
      <c r="E116" s="125" t="s">
        <v>552</v>
      </c>
      <c r="F116" s="126" t="s">
        <v>553</v>
      </c>
      <c r="G116" s="209" t="s">
        <v>474</v>
      </c>
      <c r="H116" s="212"/>
      <c r="I116" s="210" t="s">
        <v>149</v>
      </c>
      <c r="J116" s="203" t="s">
        <v>149</v>
      </c>
      <c r="K116" s="203"/>
      <c r="L116" s="203" t="s">
        <v>149</v>
      </c>
      <c r="M116" s="203" t="s">
        <v>149</v>
      </c>
      <c r="N116" s="203" t="s">
        <v>149</v>
      </c>
      <c r="O116" s="203" t="s">
        <v>149</v>
      </c>
      <c r="P116" s="203" t="s">
        <v>149</v>
      </c>
      <c r="Q116" s="203" t="s">
        <v>149</v>
      </c>
      <c r="R116" s="203"/>
      <c r="S116" s="203"/>
      <c r="T116" s="203"/>
      <c r="U116" s="203"/>
      <c r="V116" s="203"/>
      <c r="W116" s="203" t="s">
        <v>149</v>
      </c>
      <c r="X116" s="203" t="s">
        <v>149</v>
      </c>
      <c r="Y116" s="203" t="s">
        <v>149</v>
      </c>
      <c r="Z116" s="203" t="s">
        <v>149</v>
      </c>
      <c r="AA116" s="203" t="s">
        <v>149</v>
      </c>
      <c r="AB116" s="203" t="s">
        <v>149</v>
      </c>
      <c r="AC116" s="203" t="s">
        <v>149</v>
      </c>
      <c r="AD116" s="203" t="s">
        <v>149</v>
      </c>
      <c r="AE116" s="203" t="s">
        <v>149</v>
      </c>
      <c r="AF116" s="203" t="s">
        <v>149</v>
      </c>
      <c r="AG116" s="203" t="s">
        <v>149</v>
      </c>
      <c r="AH116" s="203" t="s">
        <v>149</v>
      </c>
      <c r="AI116" s="203" t="s">
        <v>149</v>
      </c>
      <c r="AJ116" s="203" t="s">
        <v>149</v>
      </c>
      <c r="AK116" s="203" t="s">
        <v>149</v>
      </c>
      <c r="AL116" s="203" t="s">
        <v>149</v>
      </c>
      <c r="AM116" s="203" t="s">
        <v>149</v>
      </c>
      <c r="AN116" s="203" t="s">
        <v>149</v>
      </c>
      <c r="AO116" s="203" t="s">
        <v>149</v>
      </c>
      <c r="AP116" s="203"/>
      <c r="AQ116" s="203" t="s">
        <v>149</v>
      </c>
      <c r="AR116" s="203" t="s">
        <v>149</v>
      </c>
      <c r="AS116" s="203" t="s">
        <v>149</v>
      </c>
      <c r="AT116" s="203"/>
      <c r="AU116" s="203"/>
      <c r="AV116" s="203" t="s">
        <v>149</v>
      </c>
      <c r="AW116" s="203" t="s">
        <v>149</v>
      </c>
      <c r="AX116" s="203" t="s">
        <v>149</v>
      </c>
      <c r="AY116" s="203"/>
      <c r="AZ116" s="203" t="s">
        <v>149</v>
      </c>
      <c r="BA116" s="203" t="s">
        <v>149</v>
      </c>
      <c r="BB116" s="203" t="s">
        <v>149</v>
      </c>
      <c r="BC116" s="203" t="s">
        <v>149</v>
      </c>
      <c r="BD116" s="203" t="s">
        <v>149</v>
      </c>
      <c r="BE116" s="203" t="s">
        <v>149</v>
      </c>
      <c r="BF116" s="203" t="s">
        <v>149</v>
      </c>
      <c r="BG116" s="203" t="s">
        <v>149</v>
      </c>
      <c r="BH116" s="252"/>
      <c r="BI116" s="252"/>
      <c r="BJ116" s="252"/>
      <c r="BK116" s="252"/>
    </row>
    <row r="117" spans="1:63" ht="225">
      <c r="A117" s="124">
        <v>45597</v>
      </c>
      <c r="B117" s="125" t="s">
        <v>34</v>
      </c>
      <c r="C117" s="298" t="s">
        <v>554</v>
      </c>
      <c r="D117" s="125" t="s">
        <v>555</v>
      </c>
      <c r="E117" s="125" t="s">
        <v>556</v>
      </c>
      <c r="F117" s="126" t="s">
        <v>544</v>
      </c>
      <c r="G117" s="209" t="s">
        <v>545</v>
      </c>
      <c r="H117" s="212"/>
      <c r="I117" s="210"/>
      <c r="J117" s="203"/>
      <c r="K117" s="203"/>
      <c r="L117" s="203" t="s">
        <v>149</v>
      </c>
      <c r="M117" s="203"/>
      <c r="N117" s="203"/>
      <c r="O117" s="203"/>
      <c r="P117" s="203"/>
      <c r="Q117" s="203"/>
      <c r="R117" s="203"/>
      <c r="S117" s="203"/>
      <c r="T117" s="203"/>
      <c r="U117" s="203"/>
      <c r="V117" s="203"/>
      <c r="W117" s="203"/>
      <c r="X117" s="203"/>
      <c r="Y117" s="203" t="s">
        <v>149</v>
      </c>
      <c r="Z117" s="203" t="s">
        <v>149</v>
      </c>
      <c r="AA117" s="203" t="s">
        <v>149</v>
      </c>
      <c r="AB117" s="203" t="s">
        <v>149</v>
      </c>
      <c r="AC117" s="203" t="s">
        <v>149</v>
      </c>
      <c r="AD117" s="203" t="s">
        <v>149</v>
      </c>
      <c r="AE117" s="203" t="s">
        <v>149</v>
      </c>
      <c r="AF117" s="203" t="s">
        <v>149</v>
      </c>
      <c r="AG117" s="203" t="s">
        <v>149</v>
      </c>
      <c r="AH117" s="203" t="s">
        <v>149</v>
      </c>
      <c r="AI117" s="203" t="s">
        <v>149</v>
      </c>
      <c r="AJ117" s="203" t="s">
        <v>149</v>
      </c>
      <c r="AK117" s="203" t="s">
        <v>149</v>
      </c>
      <c r="AL117" s="203" t="s">
        <v>149</v>
      </c>
      <c r="AM117" s="203" t="s">
        <v>149</v>
      </c>
      <c r="AN117" s="203" t="s">
        <v>149</v>
      </c>
      <c r="AO117" s="203" t="s">
        <v>149</v>
      </c>
      <c r="AP117" s="203"/>
      <c r="AQ117" s="203" t="s">
        <v>149</v>
      </c>
      <c r="AR117" s="203"/>
      <c r="AS117" s="203"/>
      <c r="AT117" s="203"/>
      <c r="AU117" s="203"/>
      <c r="AV117" s="203" t="s">
        <v>149</v>
      </c>
      <c r="AW117" s="203" t="s">
        <v>149</v>
      </c>
      <c r="AX117" s="203" t="s">
        <v>149</v>
      </c>
      <c r="AY117" s="203"/>
      <c r="AZ117" s="203"/>
      <c r="BA117" s="203" t="s">
        <v>149</v>
      </c>
      <c r="BB117" s="203" t="s">
        <v>149</v>
      </c>
      <c r="BC117" s="203"/>
      <c r="BD117" s="203"/>
      <c r="BE117" s="203"/>
      <c r="BF117" s="203" t="s">
        <v>149</v>
      </c>
      <c r="BG117" s="203"/>
      <c r="BH117" s="252"/>
      <c r="BI117" s="252"/>
      <c r="BJ117" s="252"/>
      <c r="BK117" s="252"/>
    </row>
    <row r="118" spans="1:63" ht="409.5">
      <c r="A118" s="124">
        <v>45597</v>
      </c>
      <c r="B118" s="125" t="s">
        <v>34</v>
      </c>
      <c r="C118" s="298" t="s">
        <v>550</v>
      </c>
      <c r="D118" s="125" t="s">
        <v>557</v>
      </c>
      <c r="E118" s="125" t="s">
        <v>558</v>
      </c>
      <c r="F118" s="126" t="s">
        <v>559</v>
      </c>
      <c r="G118" s="209" t="s">
        <v>474</v>
      </c>
      <c r="H118" s="212"/>
      <c r="I118" s="210" t="s">
        <v>149</v>
      </c>
      <c r="J118" s="203" t="s">
        <v>149</v>
      </c>
      <c r="K118" s="203"/>
      <c r="L118" s="203" t="s">
        <v>149</v>
      </c>
      <c r="M118" s="203" t="s">
        <v>149</v>
      </c>
      <c r="N118" s="203" t="s">
        <v>149</v>
      </c>
      <c r="O118" s="203" t="s">
        <v>149</v>
      </c>
      <c r="P118" s="203" t="s">
        <v>149</v>
      </c>
      <c r="Q118" s="203" t="s">
        <v>149</v>
      </c>
      <c r="R118" s="203"/>
      <c r="S118" s="203"/>
      <c r="T118" s="203"/>
      <c r="U118" s="203"/>
      <c r="V118" s="203"/>
      <c r="W118" s="203" t="s">
        <v>149</v>
      </c>
      <c r="X118" s="203" t="s">
        <v>149</v>
      </c>
      <c r="Y118" s="203" t="s">
        <v>149</v>
      </c>
      <c r="Z118" s="203" t="s">
        <v>149</v>
      </c>
      <c r="AA118" s="203" t="s">
        <v>149</v>
      </c>
      <c r="AB118" s="203" t="s">
        <v>149</v>
      </c>
      <c r="AC118" s="203" t="s">
        <v>149</v>
      </c>
      <c r="AD118" s="203" t="s">
        <v>149</v>
      </c>
      <c r="AE118" s="203" t="s">
        <v>149</v>
      </c>
      <c r="AF118" s="203" t="s">
        <v>149</v>
      </c>
      <c r="AG118" s="203" t="s">
        <v>149</v>
      </c>
      <c r="AH118" s="203" t="s">
        <v>149</v>
      </c>
      <c r="AI118" s="203" t="s">
        <v>149</v>
      </c>
      <c r="AJ118" s="203" t="s">
        <v>149</v>
      </c>
      <c r="AK118" s="203" t="s">
        <v>149</v>
      </c>
      <c r="AL118" s="203" t="s">
        <v>149</v>
      </c>
      <c r="AM118" s="203" t="s">
        <v>149</v>
      </c>
      <c r="AN118" s="203" t="s">
        <v>149</v>
      </c>
      <c r="AO118" s="203" t="s">
        <v>149</v>
      </c>
      <c r="AP118" s="203"/>
      <c r="AQ118" s="203" t="s">
        <v>149</v>
      </c>
      <c r="AR118" s="203" t="s">
        <v>149</v>
      </c>
      <c r="AS118" s="203" t="s">
        <v>149</v>
      </c>
      <c r="AT118" s="203"/>
      <c r="AU118" s="203"/>
      <c r="AV118" s="203" t="s">
        <v>149</v>
      </c>
      <c r="AW118" s="203" t="s">
        <v>149</v>
      </c>
      <c r="AX118" s="203" t="s">
        <v>149</v>
      </c>
      <c r="AY118" s="203"/>
      <c r="AZ118" s="203" t="s">
        <v>149</v>
      </c>
      <c r="BA118" s="203" t="s">
        <v>149</v>
      </c>
      <c r="BB118" s="203" t="s">
        <v>149</v>
      </c>
      <c r="BC118" s="203" t="s">
        <v>149</v>
      </c>
      <c r="BD118" s="203" t="s">
        <v>149</v>
      </c>
      <c r="BE118" s="203" t="s">
        <v>149</v>
      </c>
      <c r="BF118" s="203" t="s">
        <v>149</v>
      </c>
      <c r="BG118" s="203" t="s">
        <v>149</v>
      </c>
      <c r="BH118" s="252"/>
      <c r="BI118" s="252"/>
      <c r="BJ118" s="252"/>
      <c r="BK118" s="252"/>
    </row>
    <row r="119" spans="1:63" ht="409.5">
      <c r="A119" s="124">
        <v>45597</v>
      </c>
      <c r="B119" s="125" t="s">
        <v>34</v>
      </c>
      <c r="C119" s="298" t="s">
        <v>546</v>
      </c>
      <c r="D119" s="125" t="s">
        <v>560</v>
      </c>
      <c r="E119" s="125" t="s">
        <v>561</v>
      </c>
      <c r="F119" s="126" t="s">
        <v>562</v>
      </c>
      <c r="G119" s="209" t="s">
        <v>563</v>
      </c>
      <c r="H119" s="212"/>
      <c r="I119" s="210" t="s">
        <v>149</v>
      </c>
      <c r="J119" s="203" t="s">
        <v>149</v>
      </c>
      <c r="K119" s="203"/>
      <c r="L119" s="203" t="s">
        <v>149</v>
      </c>
      <c r="M119" s="203" t="s">
        <v>149</v>
      </c>
      <c r="N119" s="203" t="s">
        <v>149</v>
      </c>
      <c r="O119" s="203" t="s">
        <v>149</v>
      </c>
      <c r="P119" s="203" t="s">
        <v>149</v>
      </c>
      <c r="Q119" s="203" t="s">
        <v>149</v>
      </c>
      <c r="R119" s="203"/>
      <c r="S119" s="203"/>
      <c r="T119" s="203"/>
      <c r="U119" s="203"/>
      <c r="V119" s="203"/>
      <c r="W119" s="203" t="s">
        <v>149</v>
      </c>
      <c r="X119" s="203" t="s">
        <v>149</v>
      </c>
      <c r="Y119" s="203" t="s">
        <v>149</v>
      </c>
      <c r="Z119" s="203" t="s">
        <v>149</v>
      </c>
      <c r="AA119" s="203" t="s">
        <v>149</v>
      </c>
      <c r="AB119" s="203" t="s">
        <v>149</v>
      </c>
      <c r="AC119" s="203" t="s">
        <v>149</v>
      </c>
      <c r="AD119" s="203" t="s">
        <v>149</v>
      </c>
      <c r="AE119" s="203" t="s">
        <v>149</v>
      </c>
      <c r="AF119" s="203" t="s">
        <v>149</v>
      </c>
      <c r="AG119" s="203" t="s">
        <v>149</v>
      </c>
      <c r="AH119" s="203" t="s">
        <v>149</v>
      </c>
      <c r="AI119" s="203" t="s">
        <v>149</v>
      </c>
      <c r="AJ119" s="203" t="s">
        <v>149</v>
      </c>
      <c r="AK119" s="203" t="s">
        <v>149</v>
      </c>
      <c r="AL119" s="203" t="s">
        <v>149</v>
      </c>
      <c r="AM119" s="203" t="s">
        <v>149</v>
      </c>
      <c r="AN119" s="203" t="s">
        <v>149</v>
      </c>
      <c r="AO119" s="203" t="s">
        <v>149</v>
      </c>
      <c r="AP119" s="203"/>
      <c r="AQ119" s="203" t="s">
        <v>149</v>
      </c>
      <c r="AR119" s="203" t="s">
        <v>149</v>
      </c>
      <c r="AS119" s="203" t="s">
        <v>149</v>
      </c>
      <c r="AT119" s="203"/>
      <c r="AU119" s="203"/>
      <c r="AV119" s="203" t="s">
        <v>149</v>
      </c>
      <c r="AW119" s="203" t="s">
        <v>149</v>
      </c>
      <c r="AX119" s="203" t="s">
        <v>149</v>
      </c>
      <c r="AY119" s="203"/>
      <c r="AZ119" s="203" t="s">
        <v>149</v>
      </c>
      <c r="BA119" s="203" t="s">
        <v>149</v>
      </c>
      <c r="BB119" s="203" t="s">
        <v>149</v>
      </c>
      <c r="BC119" s="203" t="s">
        <v>149</v>
      </c>
      <c r="BD119" s="203" t="s">
        <v>149</v>
      </c>
      <c r="BE119" s="203" t="s">
        <v>149</v>
      </c>
      <c r="BF119" s="203" t="s">
        <v>149</v>
      </c>
      <c r="BG119" s="203" t="s">
        <v>149</v>
      </c>
      <c r="BH119" s="252"/>
      <c r="BI119" s="252"/>
      <c r="BJ119" s="252"/>
      <c r="BK119" s="252"/>
    </row>
    <row r="120" spans="1:63" ht="360">
      <c r="A120" s="124">
        <v>45604</v>
      </c>
      <c r="B120" s="125" t="s">
        <v>34</v>
      </c>
      <c r="C120" s="298" t="s">
        <v>564</v>
      </c>
      <c r="D120" s="125" t="s">
        <v>565</v>
      </c>
      <c r="E120" s="125" t="s">
        <v>566</v>
      </c>
      <c r="F120" s="126" t="s">
        <v>567</v>
      </c>
      <c r="G120" s="209" t="s">
        <v>568</v>
      </c>
      <c r="H120" s="212"/>
      <c r="I120" s="210"/>
      <c r="J120" s="203"/>
      <c r="K120" s="203"/>
      <c r="L120" s="203" t="s">
        <v>149</v>
      </c>
      <c r="M120" s="203"/>
      <c r="N120" s="203"/>
      <c r="O120" s="203"/>
      <c r="P120" s="203"/>
      <c r="Q120" s="203"/>
      <c r="R120" s="203"/>
      <c r="S120" s="203"/>
      <c r="T120" s="203"/>
      <c r="U120" s="203"/>
      <c r="V120" s="203"/>
      <c r="W120" s="203"/>
      <c r="X120" s="203"/>
      <c r="Y120" s="203" t="s">
        <v>149</v>
      </c>
      <c r="Z120" s="203" t="s">
        <v>149</v>
      </c>
      <c r="AA120" s="203" t="s">
        <v>149</v>
      </c>
      <c r="AB120" s="203" t="s">
        <v>149</v>
      </c>
      <c r="AC120" s="203" t="s">
        <v>149</v>
      </c>
      <c r="AD120" s="203" t="s">
        <v>149</v>
      </c>
      <c r="AE120" s="203" t="s">
        <v>149</v>
      </c>
      <c r="AF120" s="203" t="s">
        <v>149</v>
      </c>
      <c r="AG120" s="203" t="s">
        <v>149</v>
      </c>
      <c r="AH120" s="203" t="s">
        <v>149</v>
      </c>
      <c r="AI120" s="203" t="s">
        <v>149</v>
      </c>
      <c r="AJ120" s="203" t="s">
        <v>149</v>
      </c>
      <c r="AK120" s="203" t="s">
        <v>149</v>
      </c>
      <c r="AL120" s="203" t="s">
        <v>149</v>
      </c>
      <c r="AM120" s="203" t="s">
        <v>149</v>
      </c>
      <c r="AN120" s="203" t="s">
        <v>149</v>
      </c>
      <c r="AO120" s="203" t="s">
        <v>149</v>
      </c>
      <c r="AP120" s="203"/>
      <c r="AQ120" s="203" t="s">
        <v>149</v>
      </c>
      <c r="AR120" s="203"/>
      <c r="AS120" s="203"/>
      <c r="AT120" s="203"/>
      <c r="AU120" s="203"/>
      <c r="AV120" s="203" t="s">
        <v>149</v>
      </c>
      <c r="AW120" s="203" t="s">
        <v>149</v>
      </c>
      <c r="AX120" s="203" t="s">
        <v>149</v>
      </c>
      <c r="AY120" s="203"/>
      <c r="AZ120" s="203"/>
      <c r="BA120" s="203" t="s">
        <v>149</v>
      </c>
      <c r="BB120" s="203" t="s">
        <v>149</v>
      </c>
      <c r="BC120" s="203"/>
      <c r="BD120" s="203"/>
      <c r="BE120" s="203"/>
      <c r="BF120" s="203" t="s">
        <v>149</v>
      </c>
      <c r="BG120" s="203"/>
      <c r="BH120" s="252"/>
      <c r="BI120" s="252"/>
      <c r="BJ120" s="252"/>
      <c r="BK120" s="252"/>
    </row>
    <row r="121" spans="1:63" ht="240">
      <c r="A121" s="124">
        <v>45604</v>
      </c>
      <c r="B121" s="125" t="s">
        <v>34</v>
      </c>
      <c r="C121" s="298" t="s">
        <v>546</v>
      </c>
      <c r="D121" s="125" t="s">
        <v>569</v>
      </c>
      <c r="E121" s="125" t="s">
        <v>570</v>
      </c>
      <c r="F121" s="126" t="s">
        <v>571</v>
      </c>
      <c r="G121" s="209" t="s">
        <v>563</v>
      </c>
      <c r="H121" s="212"/>
      <c r="I121" s="210" t="s">
        <v>149</v>
      </c>
      <c r="J121" s="203" t="s">
        <v>149</v>
      </c>
      <c r="K121" s="203"/>
      <c r="L121" s="203" t="s">
        <v>149</v>
      </c>
      <c r="M121" s="203" t="s">
        <v>149</v>
      </c>
      <c r="N121" s="203" t="s">
        <v>149</v>
      </c>
      <c r="O121" s="203" t="s">
        <v>149</v>
      </c>
      <c r="P121" s="203" t="s">
        <v>149</v>
      </c>
      <c r="Q121" s="203" t="s">
        <v>149</v>
      </c>
      <c r="R121" s="203"/>
      <c r="S121" s="203"/>
      <c r="T121" s="203"/>
      <c r="U121" s="203"/>
      <c r="V121" s="203"/>
      <c r="W121" s="203" t="s">
        <v>149</v>
      </c>
      <c r="X121" s="203" t="s">
        <v>149</v>
      </c>
      <c r="Y121" s="203" t="s">
        <v>149</v>
      </c>
      <c r="Z121" s="203" t="s">
        <v>149</v>
      </c>
      <c r="AA121" s="203" t="s">
        <v>149</v>
      </c>
      <c r="AB121" s="203" t="s">
        <v>149</v>
      </c>
      <c r="AC121" s="203" t="s">
        <v>149</v>
      </c>
      <c r="AD121" s="203" t="s">
        <v>149</v>
      </c>
      <c r="AE121" s="203" t="s">
        <v>149</v>
      </c>
      <c r="AF121" s="203" t="s">
        <v>149</v>
      </c>
      <c r="AG121" s="203" t="s">
        <v>149</v>
      </c>
      <c r="AH121" s="203" t="s">
        <v>149</v>
      </c>
      <c r="AI121" s="203" t="s">
        <v>149</v>
      </c>
      <c r="AJ121" s="203" t="s">
        <v>149</v>
      </c>
      <c r="AK121" s="203" t="s">
        <v>149</v>
      </c>
      <c r="AL121" s="203" t="s">
        <v>149</v>
      </c>
      <c r="AM121" s="203" t="s">
        <v>149</v>
      </c>
      <c r="AN121" s="203" t="s">
        <v>149</v>
      </c>
      <c r="AO121" s="203" t="s">
        <v>149</v>
      </c>
      <c r="AP121" s="203"/>
      <c r="AQ121" s="203" t="s">
        <v>149</v>
      </c>
      <c r="AR121" s="203" t="s">
        <v>149</v>
      </c>
      <c r="AS121" s="203" t="s">
        <v>149</v>
      </c>
      <c r="AT121" s="203"/>
      <c r="AU121" s="203"/>
      <c r="AV121" s="203" t="s">
        <v>149</v>
      </c>
      <c r="AW121" s="203" t="s">
        <v>149</v>
      </c>
      <c r="AX121" s="203" t="s">
        <v>149</v>
      </c>
      <c r="AY121" s="203"/>
      <c r="AZ121" s="203" t="s">
        <v>149</v>
      </c>
      <c r="BA121" s="203" t="s">
        <v>149</v>
      </c>
      <c r="BB121" s="203" t="s">
        <v>149</v>
      </c>
      <c r="BC121" s="203" t="s">
        <v>149</v>
      </c>
      <c r="BD121" s="203" t="s">
        <v>149</v>
      </c>
      <c r="BE121" s="203" t="s">
        <v>149</v>
      </c>
      <c r="BF121" s="203" t="s">
        <v>149</v>
      </c>
      <c r="BG121" s="203" t="s">
        <v>149</v>
      </c>
      <c r="BH121" s="252"/>
      <c r="BI121" s="252"/>
      <c r="BJ121" s="252"/>
      <c r="BK121" s="252"/>
    </row>
    <row r="122" spans="1:63" ht="390">
      <c r="A122" s="124">
        <v>45614</v>
      </c>
      <c r="B122" s="125" t="s">
        <v>34</v>
      </c>
      <c r="C122" s="298" t="s">
        <v>564</v>
      </c>
      <c r="D122" s="125" t="s">
        <v>572</v>
      </c>
      <c r="E122" s="125" t="s">
        <v>573</v>
      </c>
      <c r="F122" s="126" t="s">
        <v>574</v>
      </c>
      <c r="G122" s="209" t="s">
        <v>568</v>
      </c>
      <c r="H122" s="212"/>
      <c r="I122" s="210"/>
      <c r="J122" s="203"/>
      <c r="K122" s="203"/>
      <c r="L122" s="203" t="s">
        <v>149</v>
      </c>
      <c r="M122" s="203"/>
      <c r="N122" s="203"/>
      <c r="O122" s="203"/>
      <c r="P122" s="203"/>
      <c r="Q122" s="203"/>
      <c r="R122" s="203"/>
      <c r="S122" s="203"/>
      <c r="T122" s="203"/>
      <c r="U122" s="203"/>
      <c r="V122" s="203"/>
      <c r="W122" s="203"/>
      <c r="X122" s="203"/>
      <c r="Y122" s="203" t="s">
        <v>149</v>
      </c>
      <c r="Z122" s="203" t="s">
        <v>149</v>
      </c>
      <c r="AA122" s="203" t="s">
        <v>149</v>
      </c>
      <c r="AB122" s="203" t="s">
        <v>149</v>
      </c>
      <c r="AC122" s="203" t="s">
        <v>149</v>
      </c>
      <c r="AD122" s="203" t="s">
        <v>149</v>
      </c>
      <c r="AE122" s="203" t="s">
        <v>149</v>
      </c>
      <c r="AF122" s="203" t="s">
        <v>149</v>
      </c>
      <c r="AG122" s="203" t="s">
        <v>149</v>
      </c>
      <c r="AH122" s="203" t="s">
        <v>149</v>
      </c>
      <c r="AI122" s="203" t="s">
        <v>149</v>
      </c>
      <c r="AJ122" s="203" t="s">
        <v>149</v>
      </c>
      <c r="AK122" s="203" t="s">
        <v>149</v>
      </c>
      <c r="AL122" s="203" t="s">
        <v>149</v>
      </c>
      <c r="AM122" s="203" t="s">
        <v>149</v>
      </c>
      <c r="AN122" s="203" t="s">
        <v>149</v>
      </c>
      <c r="AO122" s="203" t="s">
        <v>149</v>
      </c>
      <c r="AP122" s="203"/>
      <c r="AQ122" s="203" t="s">
        <v>149</v>
      </c>
      <c r="AR122" s="203"/>
      <c r="AS122" s="203"/>
      <c r="AT122" s="203"/>
      <c r="AU122" s="203"/>
      <c r="AV122" s="203" t="s">
        <v>149</v>
      </c>
      <c r="AW122" s="203" t="s">
        <v>149</v>
      </c>
      <c r="AX122" s="203" t="s">
        <v>149</v>
      </c>
      <c r="AY122" s="203"/>
      <c r="AZ122" s="203"/>
      <c r="BA122" s="203" t="s">
        <v>149</v>
      </c>
      <c r="BB122" s="203" t="s">
        <v>149</v>
      </c>
      <c r="BC122" s="203"/>
      <c r="BD122" s="203"/>
      <c r="BE122" s="203"/>
      <c r="BF122" s="203" t="s">
        <v>149</v>
      </c>
      <c r="BG122" s="203"/>
      <c r="BH122" s="252"/>
      <c r="BI122" s="252"/>
      <c r="BJ122" s="252"/>
      <c r="BK122" s="252"/>
    </row>
    <row r="123" spans="1:63" ht="255">
      <c r="A123" s="124">
        <v>45614</v>
      </c>
      <c r="B123" s="125" t="s">
        <v>34</v>
      </c>
      <c r="C123" s="298" t="s">
        <v>575</v>
      </c>
      <c r="D123" s="125" t="s">
        <v>576</v>
      </c>
      <c r="E123" s="125" t="s">
        <v>577</v>
      </c>
      <c r="F123" s="126" t="s">
        <v>578</v>
      </c>
      <c r="G123" s="209" t="s">
        <v>579</v>
      </c>
      <c r="H123" s="212"/>
      <c r="I123" s="210" t="s">
        <v>149</v>
      </c>
      <c r="J123" s="203" t="s">
        <v>149</v>
      </c>
      <c r="K123" s="203"/>
      <c r="L123" s="203" t="s">
        <v>149</v>
      </c>
      <c r="M123" s="203" t="s">
        <v>149</v>
      </c>
      <c r="N123" s="203" t="s">
        <v>149</v>
      </c>
      <c r="O123" s="203" t="s">
        <v>149</v>
      </c>
      <c r="P123" s="203" t="s">
        <v>149</v>
      </c>
      <c r="Q123" s="203" t="s">
        <v>149</v>
      </c>
      <c r="R123" s="203"/>
      <c r="S123" s="203"/>
      <c r="T123" s="203"/>
      <c r="U123" s="203"/>
      <c r="V123" s="203"/>
      <c r="W123" s="203" t="s">
        <v>149</v>
      </c>
      <c r="X123" s="203" t="s">
        <v>149</v>
      </c>
      <c r="Y123" s="203" t="s">
        <v>149</v>
      </c>
      <c r="Z123" s="203" t="s">
        <v>149</v>
      </c>
      <c r="AA123" s="203" t="s">
        <v>149</v>
      </c>
      <c r="AB123" s="203" t="s">
        <v>149</v>
      </c>
      <c r="AC123" s="203" t="s">
        <v>149</v>
      </c>
      <c r="AD123" s="203" t="s">
        <v>149</v>
      </c>
      <c r="AE123" s="203" t="s">
        <v>149</v>
      </c>
      <c r="AF123" s="203" t="s">
        <v>149</v>
      </c>
      <c r="AG123" s="203" t="s">
        <v>149</v>
      </c>
      <c r="AH123" s="203" t="s">
        <v>149</v>
      </c>
      <c r="AI123" s="203" t="s">
        <v>149</v>
      </c>
      <c r="AJ123" s="203" t="s">
        <v>149</v>
      </c>
      <c r="AK123" s="203" t="s">
        <v>149</v>
      </c>
      <c r="AL123" s="203" t="s">
        <v>149</v>
      </c>
      <c r="AM123" s="203" t="s">
        <v>149</v>
      </c>
      <c r="AN123" s="203" t="s">
        <v>149</v>
      </c>
      <c r="AO123" s="203" t="s">
        <v>149</v>
      </c>
      <c r="AP123" s="203"/>
      <c r="AQ123" s="203" t="s">
        <v>149</v>
      </c>
      <c r="AR123" s="203" t="s">
        <v>149</v>
      </c>
      <c r="AS123" s="203" t="s">
        <v>149</v>
      </c>
      <c r="AT123" s="203"/>
      <c r="AU123" s="203"/>
      <c r="AV123" s="203" t="s">
        <v>149</v>
      </c>
      <c r="AW123" s="203" t="s">
        <v>149</v>
      </c>
      <c r="AX123" s="203" t="s">
        <v>149</v>
      </c>
      <c r="AY123" s="203"/>
      <c r="AZ123" s="203" t="s">
        <v>149</v>
      </c>
      <c r="BA123" s="203" t="s">
        <v>149</v>
      </c>
      <c r="BB123" s="203" t="s">
        <v>149</v>
      </c>
      <c r="BC123" s="203" t="s">
        <v>149</v>
      </c>
      <c r="BD123" s="203" t="s">
        <v>149</v>
      </c>
      <c r="BE123" s="203" t="s">
        <v>149</v>
      </c>
      <c r="BF123" s="203" t="s">
        <v>149</v>
      </c>
      <c r="BG123" s="203" t="s">
        <v>149</v>
      </c>
      <c r="BH123" s="203" t="s">
        <v>149</v>
      </c>
      <c r="BI123" s="252"/>
      <c r="BJ123" s="252"/>
      <c r="BK123" s="252"/>
    </row>
    <row r="124" spans="1:63" ht="409.5">
      <c r="A124" s="124">
        <v>45618</v>
      </c>
      <c r="B124" s="125" t="s">
        <v>34</v>
      </c>
      <c r="C124" s="298" t="s">
        <v>564</v>
      </c>
      <c r="D124" s="125" t="s">
        <v>580</v>
      </c>
      <c r="E124" s="125" t="s">
        <v>581</v>
      </c>
      <c r="F124" s="126" t="s">
        <v>582</v>
      </c>
      <c r="G124" s="209" t="s">
        <v>568</v>
      </c>
      <c r="H124" s="212"/>
      <c r="I124" s="210"/>
      <c r="J124" s="203"/>
      <c r="K124" s="203"/>
      <c r="L124" s="203" t="s">
        <v>149</v>
      </c>
      <c r="M124" s="203"/>
      <c r="N124" s="203"/>
      <c r="O124" s="203"/>
      <c r="P124" s="203"/>
      <c r="Q124" s="203"/>
      <c r="R124" s="203"/>
      <c r="S124" s="203"/>
      <c r="T124" s="203"/>
      <c r="U124" s="203"/>
      <c r="V124" s="203"/>
      <c r="W124" s="203"/>
      <c r="X124" s="203"/>
      <c r="Y124" s="203" t="s">
        <v>149</v>
      </c>
      <c r="Z124" s="203" t="s">
        <v>149</v>
      </c>
      <c r="AA124" s="203" t="s">
        <v>149</v>
      </c>
      <c r="AB124" s="203" t="s">
        <v>149</v>
      </c>
      <c r="AC124" s="203" t="s">
        <v>149</v>
      </c>
      <c r="AD124" s="203" t="s">
        <v>149</v>
      </c>
      <c r="AE124" s="203" t="s">
        <v>149</v>
      </c>
      <c r="AF124" s="203" t="s">
        <v>149</v>
      </c>
      <c r="AG124" s="203" t="s">
        <v>149</v>
      </c>
      <c r="AH124" s="203" t="s">
        <v>149</v>
      </c>
      <c r="AI124" s="203" t="s">
        <v>149</v>
      </c>
      <c r="AJ124" s="203" t="s">
        <v>149</v>
      </c>
      <c r="AK124" s="203" t="s">
        <v>149</v>
      </c>
      <c r="AL124" s="203" t="s">
        <v>149</v>
      </c>
      <c r="AM124" s="203" t="s">
        <v>149</v>
      </c>
      <c r="AN124" s="203" t="s">
        <v>149</v>
      </c>
      <c r="AO124" s="203" t="s">
        <v>149</v>
      </c>
      <c r="AP124" s="203"/>
      <c r="AQ124" s="203" t="s">
        <v>149</v>
      </c>
      <c r="AR124" s="203"/>
      <c r="AS124" s="203"/>
      <c r="AT124" s="203"/>
      <c r="AU124" s="203"/>
      <c r="AV124" s="203" t="s">
        <v>149</v>
      </c>
      <c r="AW124" s="203" t="s">
        <v>149</v>
      </c>
      <c r="AX124" s="203" t="s">
        <v>149</v>
      </c>
      <c r="AY124" s="203"/>
      <c r="AZ124" s="203"/>
      <c r="BA124" s="203" t="s">
        <v>149</v>
      </c>
      <c r="BB124" s="203" t="s">
        <v>149</v>
      </c>
      <c r="BC124" s="203"/>
      <c r="BD124" s="203"/>
      <c r="BE124" s="203"/>
      <c r="BF124" s="203" t="s">
        <v>149</v>
      </c>
      <c r="BG124" s="203"/>
      <c r="BH124" s="252"/>
      <c r="BI124" s="252"/>
      <c r="BJ124" s="252"/>
      <c r="BK124" s="252"/>
    </row>
    <row r="125" spans="1:63" ht="409.5">
      <c r="A125" s="124">
        <v>45621</v>
      </c>
      <c r="B125" s="125" t="s">
        <v>34</v>
      </c>
      <c r="C125" s="298" t="s">
        <v>564</v>
      </c>
      <c r="D125" s="125" t="s">
        <v>583</v>
      </c>
      <c r="E125" s="125" t="s">
        <v>584</v>
      </c>
      <c r="F125" s="126" t="s">
        <v>585</v>
      </c>
      <c r="G125" s="209" t="s">
        <v>586</v>
      </c>
      <c r="H125" s="212"/>
      <c r="I125" s="210"/>
      <c r="J125" s="203"/>
      <c r="K125" s="203"/>
      <c r="L125" s="203" t="s">
        <v>149</v>
      </c>
      <c r="M125" s="203"/>
      <c r="N125" s="203"/>
      <c r="O125" s="203"/>
      <c r="P125" s="203"/>
      <c r="Q125" s="203"/>
      <c r="R125" s="203"/>
      <c r="S125" s="203"/>
      <c r="T125" s="203"/>
      <c r="U125" s="203"/>
      <c r="V125" s="203"/>
      <c r="W125" s="203"/>
      <c r="X125" s="203"/>
      <c r="Y125" s="203" t="s">
        <v>149</v>
      </c>
      <c r="Z125" s="203" t="s">
        <v>149</v>
      </c>
      <c r="AA125" s="203" t="s">
        <v>149</v>
      </c>
      <c r="AB125" s="203" t="s">
        <v>149</v>
      </c>
      <c r="AC125" s="203" t="s">
        <v>149</v>
      </c>
      <c r="AD125" s="203" t="s">
        <v>149</v>
      </c>
      <c r="AE125" s="203" t="s">
        <v>149</v>
      </c>
      <c r="AF125" s="203" t="s">
        <v>149</v>
      </c>
      <c r="AG125" s="203" t="s">
        <v>149</v>
      </c>
      <c r="AH125" s="203" t="s">
        <v>149</v>
      </c>
      <c r="AI125" s="203" t="s">
        <v>149</v>
      </c>
      <c r="AJ125" s="203" t="s">
        <v>149</v>
      </c>
      <c r="AK125" s="203" t="s">
        <v>149</v>
      </c>
      <c r="AL125" s="203" t="s">
        <v>149</v>
      </c>
      <c r="AM125" s="203" t="s">
        <v>149</v>
      </c>
      <c r="AN125" s="203" t="s">
        <v>149</v>
      </c>
      <c r="AO125" s="203" t="s">
        <v>149</v>
      </c>
      <c r="AP125" s="203"/>
      <c r="AQ125" s="203" t="s">
        <v>149</v>
      </c>
      <c r="AR125" s="203"/>
      <c r="AS125" s="203"/>
      <c r="AT125" s="203"/>
      <c r="AU125" s="203"/>
      <c r="AV125" s="203" t="s">
        <v>149</v>
      </c>
      <c r="AW125" s="203" t="s">
        <v>149</v>
      </c>
      <c r="AX125" s="203" t="s">
        <v>149</v>
      </c>
      <c r="AY125" s="203"/>
      <c r="AZ125" s="203"/>
      <c r="BA125" s="203" t="s">
        <v>149</v>
      </c>
      <c r="BB125" s="203" t="s">
        <v>149</v>
      </c>
      <c r="BC125" s="203"/>
      <c r="BD125" s="203"/>
      <c r="BE125" s="203"/>
      <c r="BF125" s="203" t="s">
        <v>149</v>
      </c>
      <c r="BG125" s="203" t="s">
        <v>149</v>
      </c>
      <c r="BH125" s="252"/>
      <c r="BI125" s="252"/>
      <c r="BJ125" s="252"/>
      <c r="BK125" s="252"/>
    </row>
    <row r="126" spans="1:63" ht="255">
      <c r="A126" s="124">
        <v>45625</v>
      </c>
      <c r="B126" s="125" t="s">
        <v>34</v>
      </c>
      <c r="C126" s="298" t="s">
        <v>587</v>
      </c>
      <c r="D126" s="125" t="s">
        <v>588</v>
      </c>
      <c r="E126" s="125" t="s">
        <v>589</v>
      </c>
      <c r="F126" s="126" t="s">
        <v>590</v>
      </c>
      <c r="G126" s="209" t="s">
        <v>579</v>
      </c>
      <c r="H126" s="212"/>
      <c r="I126" s="210" t="s">
        <v>149</v>
      </c>
      <c r="J126" s="203" t="s">
        <v>149</v>
      </c>
      <c r="K126" s="203"/>
      <c r="L126" s="203" t="s">
        <v>149</v>
      </c>
      <c r="M126" s="203" t="s">
        <v>149</v>
      </c>
      <c r="N126" s="203" t="s">
        <v>149</v>
      </c>
      <c r="O126" s="203" t="s">
        <v>149</v>
      </c>
      <c r="P126" s="203" t="s">
        <v>149</v>
      </c>
      <c r="Q126" s="203" t="s">
        <v>149</v>
      </c>
      <c r="R126" s="203"/>
      <c r="S126" s="203"/>
      <c r="T126" s="203"/>
      <c r="U126" s="203"/>
      <c r="V126" s="203"/>
      <c r="W126" s="203" t="s">
        <v>149</v>
      </c>
      <c r="X126" s="203" t="s">
        <v>149</v>
      </c>
      <c r="Y126" s="203" t="s">
        <v>149</v>
      </c>
      <c r="Z126" s="203" t="s">
        <v>149</v>
      </c>
      <c r="AA126" s="203" t="s">
        <v>149</v>
      </c>
      <c r="AB126" s="203" t="s">
        <v>149</v>
      </c>
      <c r="AC126" s="203" t="s">
        <v>149</v>
      </c>
      <c r="AD126" s="203" t="s">
        <v>149</v>
      </c>
      <c r="AE126" s="203" t="s">
        <v>149</v>
      </c>
      <c r="AF126" s="203" t="s">
        <v>149</v>
      </c>
      <c r="AG126" s="203" t="s">
        <v>149</v>
      </c>
      <c r="AH126" s="203" t="s">
        <v>149</v>
      </c>
      <c r="AI126" s="203" t="s">
        <v>149</v>
      </c>
      <c r="AJ126" s="203" t="s">
        <v>149</v>
      </c>
      <c r="AK126" s="203" t="s">
        <v>149</v>
      </c>
      <c r="AL126" s="203" t="s">
        <v>149</v>
      </c>
      <c r="AM126" s="203" t="s">
        <v>149</v>
      </c>
      <c r="AN126" s="203" t="s">
        <v>149</v>
      </c>
      <c r="AO126" s="203" t="s">
        <v>149</v>
      </c>
      <c r="AP126" s="203"/>
      <c r="AQ126" s="203" t="s">
        <v>149</v>
      </c>
      <c r="AR126" s="203" t="s">
        <v>149</v>
      </c>
      <c r="AS126" s="203" t="s">
        <v>149</v>
      </c>
      <c r="AT126" s="203"/>
      <c r="AU126" s="203"/>
      <c r="AV126" s="203" t="s">
        <v>149</v>
      </c>
      <c r="AW126" s="203" t="s">
        <v>149</v>
      </c>
      <c r="AX126" s="203" t="s">
        <v>149</v>
      </c>
      <c r="AY126" s="203"/>
      <c r="AZ126" s="203" t="s">
        <v>149</v>
      </c>
      <c r="BA126" s="203" t="s">
        <v>149</v>
      </c>
      <c r="BB126" s="203" t="s">
        <v>149</v>
      </c>
      <c r="BC126" s="203" t="s">
        <v>149</v>
      </c>
      <c r="BD126" s="203" t="s">
        <v>149</v>
      </c>
      <c r="BE126" s="203" t="s">
        <v>149</v>
      </c>
      <c r="BF126" s="203" t="s">
        <v>149</v>
      </c>
      <c r="BG126" s="203" t="s">
        <v>149</v>
      </c>
      <c r="BH126" s="203" t="s">
        <v>149</v>
      </c>
      <c r="BI126" s="252"/>
      <c r="BJ126" s="252"/>
      <c r="BK126" s="252"/>
    </row>
    <row r="127" spans="1:63" ht="225">
      <c r="A127" s="124">
        <v>45625</v>
      </c>
      <c r="B127" s="125" t="s">
        <v>34</v>
      </c>
      <c r="C127" s="298" t="s">
        <v>564</v>
      </c>
      <c r="D127" s="125" t="s">
        <v>591</v>
      </c>
      <c r="E127" s="125" t="s">
        <v>592</v>
      </c>
      <c r="F127" s="126" t="s">
        <v>593</v>
      </c>
      <c r="G127" s="209" t="s">
        <v>594</v>
      </c>
      <c r="H127" s="212"/>
      <c r="I127" s="210"/>
      <c r="J127" s="203"/>
      <c r="K127" s="203"/>
      <c r="L127" s="203" t="s">
        <v>149</v>
      </c>
      <c r="M127" s="203"/>
      <c r="N127" s="203" t="s">
        <v>149</v>
      </c>
      <c r="O127" s="203" t="s">
        <v>149</v>
      </c>
      <c r="P127" s="203" t="s">
        <v>149</v>
      </c>
      <c r="Q127" s="203" t="s">
        <v>149</v>
      </c>
      <c r="R127" s="203"/>
      <c r="S127" s="203"/>
      <c r="T127" s="203"/>
      <c r="U127" s="203"/>
      <c r="V127" s="203"/>
      <c r="W127" s="203"/>
      <c r="X127" s="203" t="s">
        <v>149</v>
      </c>
      <c r="Y127" s="203" t="s">
        <v>149</v>
      </c>
      <c r="Z127" s="203" t="s">
        <v>149</v>
      </c>
      <c r="AA127" s="203" t="s">
        <v>149</v>
      </c>
      <c r="AB127" s="203" t="s">
        <v>149</v>
      </c>
      <c r="AC127" s="203" t="s">
        <v>149</v>
      </c>
      <c r="AD127" s="203" t="s">
        <v>149</v>
      </c>
      <c r="AE127" s="203" t="s">
        <v>149</v>
      </c>
      <c r="AF127" s="203" t="s">
        <v>149</v>
      </c>
      <c r="AG127" s="203" t="s">
        <v>149</v>
      </c>
      <c r="AH127" s="203" t="s">
        <v>149</v>
      </c>
      <c r="AI127" s="203" t="s">
        <v>149</v>
      </c>
      <c r="AJ127" s="203" t="s">
        <v>149</v>
      </c>
      <c r="AK127" s="203" t="s">
        <v>149</v>
      </c>
      <c r="AL127" s="203" t="s">
        <v>149</v>
      </c>
      <c r="AM127" s="203" t="s">
        <v>149</v>
      </c>
      <c r="AN127" s="203" t="s">
        <v>149</v>
      </c>
      <c r="AO127" s="203" t="s">
        <v>149</v>
      </c>
      <c r="AP127" s="203"/>
      <c r="AQ127" s="203" t="s">
        <v>149</v>
      </c>
      <c r="AR127" s="203"/>
      <c r="AS127" s="203"/>
      <c r="AT127" s="203"/>
      <c r="AU127" s="203"/>
      <c r="AV127" s="203" t="s">
        <v>149</v>
      </c>
      <c r="AW127" s="203" t="s">
        <v>149</v>
      </c>
      <c r="AX127" s="203" t="s">
        <v>149</v>
      </c>
      <c r="AY127" s="203"/>
      <c r="AZ127" s="203"/>
      <c r="BA127" s="203" t="s">
        <v>149</v>
      </c>
      <c r="BB127" s="203" t="s">
        <v>149</v>
      </c>
      <c r="BC127" s="203"/>
      <c r="BD127" s="203"/>
      <c r="BE127" s="203"/>
      <c r="BF127" s="203" t="s">
        <v>149</v>
      </c>
      <c r="BG127" s="203" t="s">
        <v>149</v>
      </c>
      <c r="BH127" s="252"/>
      <c r="BI127" s="252"/>
      <c r="BJ127" s="252"/>
      <c r="BK127" s="252"/>
    </row>
    <row r="128" spans="1:63" ht="255">
      <c r="A128" s="124">
        <v>45635</v>
      </c>
      <c r="B128" s="125" t="s">
        <v>34</v>
      </c>
      <c r="C128" s="298" t="s">
        <v>595</v>
      </c>
      <c r="D128" s="125" t="s">
        <v>588</v>
      </c>
      <c r="E128" s="125" t="s">
        <v>596</v>
      </c>
      <c r="F128" s="126" t="s">
        <v>597</v>
      </c>
      <c r="G128" s="209" t="s">
        <v>579</v>
      </c>
      <c r="H128" s="212"/>
      <c r="I128" s="210" t="s">
        <v>149</v>
      </c>
      <c r="J128" s="203" t="s">
        <v>149</v>
      </c>
      <c r="K128" s="203"/>
      <c r="L128" s="203" t="s">
        <v>149</v>
      </c>
      <c r="M128" s="203" t="s">
        <v>149</v>
      </c>
      <c r="N128" s="203" t="s">
        <v>149</v>
      </c>
      <c r="O128" s="203" t="s">
        <v>149</v>
      </c>
      <c r="P128" s="203" t="s">
        <v>149</v>
      </c>
      <c r="Q128" s="203" t="s">
        <v>149</v>
      </c>
      <c r="R128" s="203"/>
      <c r="S128" s="203"/>
      <c r="T128" s="203"/>
      <c r="U128" s="203"/>
      <c r="V128" s="203"/>
      <c r="W128" s="203" t="s">
        <v>149</v>
      </c>
      <c r="X128" s="203" t="s">
        <v>149</v>
      </c>
      <c r="Y128" s="203" t="s">
        <v>149</v>
      </c>
      <c r="Z128" s="203" t="s">
        <v>149</v>
      </c>
      <c r="AA128" s="203" t="s">
        <v>149</v>
      </c>
      <c r="AB128" s="203" t="s">
        <v>149</v>
      </c>
      <c r="AC128" s="203" t="s">
        <v>149</v>
      </c>
      <c r="AD128" s="203" t="s">
        <v>149</v>
      </c>
      <c r="AE128" s="203" t="s">
        <v>149</v>
      </c>
      <c r="AF128" s="203" t="s">
        <v>149</v>
      </c>
      <c r="AG128" s="203" t="s">
        <v>149</v>
      </c>
      <c r="AH128" s="203" t="s">
        <v>149</v>
      </c>
      <c r="AI128" s="203" t="s">
        <v>149</v>
      </c>
      <c r="AJ128" s="203" t="s">
        <v>149</v>
      </c>
      <c r="AK128" s="203" t="s">
        <v>149</v>
      </c>
      <c r="AL128" s="203" t="s">
        <v>149</v>
      </c>
      <c r="AM128" s="203" t="s">
        <v>149</v>
      </c>
      <c r="AN128" s="203" t="s">
        <v>149</v>
      </c>
      <c r="AO128" s="203" t="s">
        <v>149</v>
      </c>
      <c r="AP128" s="203"/>
      <c r="AQ128" s="203" t="s">
        <v>149</v>
      </c>
      <c r="AR128" s="203" t="s">
        <v>149</v>
      </c>
      <c r="AS128" s="203" t="s">
        <v>149</v>
      </c>
      <c r="AT128" s="203"/>
      <c r="AU128" s="203"/>
      <c r="AV128" s="203" t="s">
        <v>149</v>
      </c>
      <c r="AW128" s="203" t="s">
        <v>149</v>
      </c>
      <c r="AX128" s="203" t="s">
        <v>149</v>
      </c>
      <c r="AY128" s="203"/>
      <c r="AZ128" s="203" t="s">
        <v>149</v>
      </c>
      <c r="BA128" s="203" t="s">
        <v>149</v>
      </c>
      <c r="BB128" s="203" t="s">
        <v>149</v>
      </c>
      <c r="BC128" s="203" t="s">
        <v>149</v>
      </c>
      <c r="BD128" s="203" t="s">
        <v>149</v>
      </c>
      <c r="BE128" s="203" t="s">
        <v>149</v>
      </c>
      <c r="BF128" s="203" t="s">
        <v>149</v>
      </c>
      <c r="BG128" s="203" t="s">
        <v>149</v>
      </c>
      <c r="BH128" s="203" t="s">
        <v>149</v>
      </c>
      <c r="BI128" s="252"/>
      <c r="BJ128" s="252"/>
      <c r="BK128" s="252"/>
    </row>
    <row r="129" spans="1:63" ht="409.5">
      <c r="A129" s="124">
        <v>45635</v>
      </c>
      <c r="B129" s="125" t="s">
        <v>34</v>
      </c>
      <c r="C129" s="298" t="s">
        <v>564</v>
      </c>
      <c r="D129" s="125" t="s">
        <v>598</v>
      </c>
      <c r="E129" s="125" t="s">
        <v>599</v>
      </c>
      <c r="F129" s="126" t="s">
        <v>600</v>
      </c>
      <c r="G129" s="209" t="s">
        <v>601</v>
      </c>
      <c r="H129" s="212"/>
      <c r="I129" s="210"/>
      <c r="J129" s="203"/>
      <c r="K129" s="203"/>
      <c r="L129" s="203" t="s">
        <v>149</v>
      </c>
      <c r="M129" s="203"/>
      <c r="N129" s="203" t="s">
        <v>149</v>
      </c>
      <c r="O129" s="203" t="s">
        <v>149</v>
      </c>
      <c r="P129" s="203" t="s">
        <v>149</v>
      </c>
      <c r="Q129" s="203" t="s">
        <v>149</v>
      </c>
      <c r="R129" s="203"/>
      <c r="S129" s="203"/>
      <c r="T129" s="203"/>
      <c r="U129" s="203"/>
      <c r="V129" s="203"/>
      <c r="W129" s="203"/>
      <c r="X129" s="203" t="s">
        <v>149</v>
      </c>
      <c r="Y129" s="203" t="s">
        <v>149</v>
      </c>
      <c r="Z129" s="203" t="s">
        <v>149</v>
      </c>
      <c r="AA129" s="203" t="s">
        <v>149</v>
      </c>
      <c r="AB129" s="203" t="s">
        <v>149</v>
      </c>
      <c r="AC129" s="203" t="s">
        <v>149</v>
      </c>
      <c r="AD129" s="203" t="s">
        <v>149</v>
      </c>
      <c r="AE129" s="203" t="s">
        <v>149</v>
      </c>
      <c r="AF129" s="203" t="s">
        <v>149</v>
      </c>
      <c r="AG129" s="203" t="s">
        <v>149</v>
      </c>
      <c r="AH129" s="203" t="s">
        <v>149</v>
      </c>
      <c r="AI129" s="203" t="s">
        <v>149</v>
      </c>
      <c r="AJ129" s="203" t="s">
        <v>149</v>
      </c>
      <c r="AK129" s="203" t="s">
        <v>149</v>
      </c>
      <c r="AL129" s="203" t="s">
        <v>149</v>
      </c>
      <c r="AM129" s="203" t="s">
        <v>149</v>
      </c>
      <c r="AN129" s="203" t="s">
        <v>149</v>
      </c>
      <c r="AO129" s="203" t="s">
        <v>149</v>
      </c>
      <c r="AP129" s="203"/>
      <c r="AQ129" s="203" t="s">
        <v>149</v>
      </c>
      <c r="AR129" s="203" t="s">
        <v>149</v>
      </c>
      <c r="AS129" s="203" t="s">
        <v>149</v>
      </c>
      <c r="AT129" s="203"/>
      <c r="AU129" s="203"/>
      <c r="AV129" s="203" t="s">
        <v>149</v>
      </c>
      <c r="AW129" s="203" t="s">
        <v>149</v>
      </c>
      <c r="AX129" s="203" t="s">
        <v>149</v>
      </c>
      <c r="AY129" s="203"/>
      <c r="AZ129" s="203" t="s">
        <v>149</v>
      </c>
      <c r="BA129" s="203" t="s">
        <v>149</v>
      </c>
      <c r="BB129" s="203" t="s">
        <v>149</v>
      </c>
      <c r="BC129" s="203"/>
      <c r="BD129" s="203"/>
      <c r="BE129" s="203"/>
      <c r="BF129" s="203" t="s">
        <v>149</v>
      </c>
      <c r="BG129" s="203" t="s">
        <v>149</v>
      </c>
      <c r="BH129" s="203" t="s">
        <v>149</v>
      </c>
      <c r="BI129" s="252"/>
      <c r="BJ129" s="252"/>
      <c r="BK129" s="252"/>
    </row>
    <row r="130" spans="1:63" ht="255">
      <c r="A130" s="124">
        <v>45639</v>
      </c>
      <c r="B130" s="125" t="s">
        <v>34</v>
      </c>
      <c r="C130" s="298" t="s">
        <v>602</v>
      </c>
      <c r="D130" s="125" t="s">
        <v>603</v>
      </c>
      <c r="E130" s="125" t="s">
        <v>604</v>
      </c>
      <c r="F130" s="126" t="s">
        <v>605</v>
      </c>
      <c r="G130" s="209" t="s">
        <v>579</v>
      </c>
      <c r="H130" s="212"/>
      <c r="I130" s="210" t="s">
        <v>149</v>
      </c>
      <c r="J130" s="203" t="s">
        <v>149</v>
      </c>
      <c r="K130" s="203"/>
      <c r="L130" s="203" t="s">
        <v>149</v>
      </c>
      <c r="M130" s="203" t="s">
        <v>149</v>
      </c>
      <c r="N130" s="203" t="s">
        <v>149</v>
      </c>
      <c r="O130" s="203" t="s">
        <v>149</v>
      </c>
      <c r="P130" s="203" t="s">
        <v>149</v>
      </c>
      <c r="Q130" s="203" t="s">
        <v>149</v>
      </c>
      <c r="R130" s="203"/>
      <c r="S130" s="203"/>
      <c r="T130" s="203"/>
      <c r="U130" s="203"/>
      <c r="V130" s="203"/>
      <c r="W130" s="203" t="s">
        <v>149</v>
      </c>
      <c r="X130" s="203" t="s">
        <v>149</v>
      </c>
      <c r="Y130" s="203" t="s">
        <v>149</v>
      </c>
      <c r="Z130" s="203" t="s">
        <v>149</v>
      </c>
      <c r="AA130" s="203" t="s">
        <v>149</v>
      </c>
      <c r="AB130" s="203" t="s">
        <v>149</v>
      </c>
      <c r="AC130" s="203" t="s">
        <v>149</v>
      </c>
      <c r="AD130" s="203" t="s">
        <v>149</v>
      </c>
      <c r="AE130" s="203" t="s">
        <v>149</v>
      </c>
      <c r="AF130" s="203" t="s">
        <v>149</v>
      </c>
      <c r="AG130" s="203" t="s">
        <v>149</v>
      </c>
      <c r="AH130" s="203" t="s">
        <v>149</v>
      </c>
      <c r="AI130" s="203" t="s">
        <v>149</v>
      </c>
      <c r="AJ130" s="203" t="s">
        <v>149</v>
      </c>
      <c r="AK130" s="203" t="s">
        <v>149</v>
      </c>
      <c r="AL130" s="203" t="s">
        <v>149</v>
      </c>
      <c r="AM130" s="203" t="s">
        <v>149</v>
      </c>
      <c r="AN130" s="203" t="s">
        <v>149</v>
      </c>
      <c r="AO130" s="203" t="s">
        <v>149</v>
      </c>
      <c r="AP130" s="203"/>
      <c r="AQ130" s="203" t="s">
        <v>149</v>
      </c>
      <c r="AR130" s="203" t="s">
        <v>149</v>
      </c>
      <c r="AS130" s="203" t="s">
        <v>149</v>
      </c>
      <c r="AT130" s="203"/>
      <c r="AU130" s="203"/>
      <c r="AV130" s="203" t="s">
        <v>149</v>
      </c>
      <c r="AW130" s="203" t="s">
        <v>149</v>
      </c>
      <c r="AX130" s="203" t="s">
        <v>149</v>
      </c>
      <c r="AY130" s="203"/>
      <c r="AZ130" s="203" t="s">
        <v>149</v>
      </c>
      <c r="BA130" s="203" t="s">
        <v>149</v>
      </c>
      <c r="BB130" s="203" t="s">
        <v>149</v>
      </c>
      <c r="BC130" s="203" t="s">
        <v>149</v>
      </c>
      <c r="BD130" s="203" t="s">
        <v>149</v>
      </c>
      <c r="BE130" s="203" t="s">
        <v>149</v>
      </c>
      <c r="BF130" s="203" t="s">
        <v>149</v>
      </c>
      <c r="BG130" s="203" t="s">
        <v>149</v>
      </c>
      <c r="BH130" s="203" t="s">
        <v>149</v>
      </c>
      <c r="BI130" s="252"/>
      <c r="BJ130" s="252"/>
      <c r="BK130" s="252"/>
    </row>
    <row r="131" spans="1:63" ht="409.5">
      <c r="A131" s="124">
        <v>45639</v>
      </c>
      <c r="B131" s="125" t="s">
        <v>34</v>
      </c>
      <c r="C131" s="298" t="s">
        <v>564</v>
      </c>
      <c r="D131" s="125" t="s">
        <v>606</v>
      </c>
      <c r="E131" s="125" t="s">
        <v>607</v>
      </c>
      <c r="F131" s="126" t="s">
        <v>608</v>
      </c>
      <c r="G131" s="209" t="s">
        <v>601</v>
      </c>
      <c r="H131" s="212"/>
      <c r="I131" s="210"/>
      <c r="J131" s="203"/>
      <c r="K131" s="203"/>
      <c r="L131" s="203" t="s">
        <v>149</v>
      </c>
      <c r="M131" s="203"/>
      <c r="N131" s="203" t="s">
        <v>149</v>
      </c>
      <c r="O131" s="203" t="s">
        <v>149</v>
      </c>
      <c r="P131" s="203" t="s">
        <v>149</v>
      </c>
      <c r="Q131" s="203" t="s">
        <v>149</v>
      </c>
      <c r="R131" s="203"/>
      <c r="S131" s="203"/>
      <c r="T131" s="203"/>
      <c r="U131" s="203"/>
      <c r="V131" s="203"/>
      <c r="W131" s="203"/>
      <c r="X131" s="203" t="s">
        <v>149</v>
      </c>
      <c r="Y131" s="203" t="s">
        <v>149</v>
      </c>
      <c r="Z131" s="203" t="s">
        <v>149</v>
      </c>
      <c r="AA131" s="203" t="s">
        <v>149</v>
      </c>
      <c r="AB131" s="203" t="s">
        <v>149</v>
      </c>
      <c r="AC131" s="203" t="s">
        <v>149</v>
      </c>
      <c r="AD131" s="203" t="s">
        <v>149</v>
      </c>
      <c r="AE131" s="203" t="s">
        <v>149</v>
      </c>
      <c r="AF131" s="203" t="s">
        <v>149</v>
      </c>
      <c r="AG131" s="203" t="s">
        <v>149</v>
      </c>
      <c r="AH131" s="203" t="s">
        <v>149</v>
      </c>
      <c r="AI131" s="203" t="s">
        <v>149</v>
      </c>
      <c r="AJ131" s="203" t="s">
        <v>149</v>
      </c>
      <c r="AK131" s="203" t="s">
        <v>149</v>
      </c>
      <c r="AL131" s="203" t="s">
        <v>149</v>
      </c>
      <c r="AM131" s="203" t="s">
        <v>149</v>
      </c>
      <c r="AN131" s="203" t="s">
        <v>149</v>
      </c>
      <c r="AO131" s="203" t="s">
        <v>149</v>
      </c>
      <c r="AP131" s="203"/>
      <c r="AQ131" s="203" t="s">
        <v>149</v>
      </c>
      <c r="AR131" s="203" t="s">
        <v>149</v>
      </c>
      <c r="AS131" s="203" t="s">
        <v>149</v>
      </c>
      <c r="AT131" s="203"/>
      <c r="AU131" s="203"/>
      <c r="AV131" s="203" t="s">
        <v>149</v>
      </c>
      <c r="AW131" s="203" t="s">
        <v>149</v>
      </c>
      <c r="AX131" s="203" t="s">
        <v>149</v>
      </c>
      <c r="AY131" s="203"/>
      <c r="AZ131" s="203" t="s">
        <v>149</v>
      </c>
      <c r="BA131" s="203" t="s">
        <v>149</v>
      </c>
      <c r="BB131" s="203" t="s">
        <v>149</v>
      </c>
      <c r="BC131" s="203"/>
      <c r="BD131" s="203"/>
      <c r="BE131" s="203"/>
      <c r="BF131" s="203" t="s">
        <v>149</v>
      </c>
      <c r="BG131" s="203" t="s">
        <v>149</v>
      </c>
      <c r="BH131" s="203" t="s">
        <v>149</v>
      </c>
      <c r="BI131" s="252"/>
      <c r="BJ131" s="252"/>
      <c r="BK131" s="252"/>
    </row>
    <row r="132" spans="1:63" ht="255">
      <c r="A132" s="124">
        <v>45646</v>
      </c>
      <c r="B132" s="125" t="s">
        <v>34</v>
      </c>
      <c r="C132" s="298" t="s">
        <v>609</v>
      </c>
      <c r="D132" s="125" t="s">
        <v>610</v>
      </c>
      <c r="E132" s="125" t="s">
        <v>611</v>
      </c>
      <c r="F132" s="126" t="s">
        <v>612</v>
      </c>
      <c r="G132" s="209" t="s">
        <v>579</v>
      </c>
      <c r="H132" s="212"/>
      <c r="I132" s="210" t="s">
        <v>149</v>
      </c>
      <c r="J132" s="203" t="s">
        <v>149</v>
      </c>
      <c r="K132" s="203"/>
      <c r="L132" s="203" t="s">
        <v>149</v>
      </c>
      <c r="M132" s="203" t="s">
        <v>149</v>
      </c>
      <c r="N132" s="203" t="s">
        <v>149</v>
      </c>
      <c r="O132" s="203" t="s">
        <v>149</v>
      </c>
      <c r="P132" s="203" t="s">
        <v>149</v>
      </c>
      <c r="Q132" s="203" t="s">
        <v>149</v>
      </c>
      <c r="R132" s="203"/>
      <c r="S132" s="203"/>
      <c r="T132" s="203"/>
      <c r="U132" s="203"/>
      <c r="V132" s="203"/>
      <c r="W132" s="203" t="s">
        <v>149</v>
      </c>
      <c r="X132" s="203" t="s">
        <v>149</v>
      </c>
      <c r="Y132" s="203" t="s">
        <v>149</v>
      </c>
      <c r="Z132" s="203" t="s">
        <v>149</v>
      </c>
      <c r="AA132" s="203" t="s">
        <v>149</v>
      </c>
      <c r="AB132" s="203" t="s">
        <v>149</v>
      </c>
      <c r="AC132" s="203" t="s">
        <v>149</v>
      </c>
      <c r="AD132" s="203" t="s">
        <v>149</v>
      </c>
      <c r="AE132" s="203" t="s">
        <v>149</v>
      </c>
      <c r="AF132" s="203" t="s">
        <v>149</v>
      </c>
      <c r="AG132" s="203" t="s">
        <v>149</v>
      </c>
      <c r="AH132" s="203" t="s">
        <v>149</v>
      </c>
      <c r="AI132" s="203" t="s">
        <v>149</v>
      </c>
      <c r="AJ132" s="203" t="s">
        <v>149</v>
      </c>
      <c r="AK132" s="203" t="s">
        <v>149</v>
      </c>
      <c r="AL132" s="203" t="s">
        <v>149</v>
      </c>
      <c r="AM132" s="203" t="s">
        <v>149</v>
      </c>
      <c r="AN132" s="203" t="s">
        <v>149</v>
      </c>
      <c r="AO132" s="203" t="s">
        <v>149</v>
      </c>
      <c r="AP132" s="203"/>
      <c r="AQ132" s="203" t="s">
        <v>149</v>
      </c>
      <c r="AR132" s="203" t="s">
        <v>149</v>
      </c>
      <c r="AS132" s="203" t="s">
        <v>149</v>
      </c>
      <c r="AT132" s="203"/>
      <c r="AU132" s="203"/>
      <c r="AV132" s="203" t="s">
        <v>149</v>
      </c>
      <c r="AW132" s="203" t="s">
        <v>149</v>
      </c>
      <c r="AX132" s="203" t="s">
        <v>149</v>
      </c>
      <c r="AY132" s="203"/>
      <c r="AZ132" s="203" t="s">
        <v>149</v>
      </c>
      <c r="BA132" s="203" t="s">
        <v>149</v>
      </c>
      <c r="BB132" s="203" t="s">
        <v>149</v>
      </c>
      <c r="BC132" s="203" t="s">
        <v>149</v>
      </c>
      <c r="BD132" s="203" t="s">
        <v>149</v>
      </c>
      <c r="BE132" s="203" t="s">
        <v>149</v>
      </c>
      <c r="BF132" s="203" t="s">
        <v>149</v>
      </c>
      <c r="BG132" s="203" t="s">
        <v>149</v>
      </c>
      <c r="BH132" s="203" t="s">
        <v>149</v>
      </c>
      <c r="BI132" s="252"/>
      <c r="BJ132" s="252"/>
      <c r="BK132" s="252"/>
    </row>
    <row r="133" spans="1:63" ht="255">
      <c r="A133" s="124">
        <v>45653</v>
      </c>
      <c r="B133" s="125" t="s">
        <v>34</v>
      </c>
      <c r="C133" s="298" t="s">
        <v>613</v>
      </c>
      <c r="D133" s="125" t="s">
        <v>610</v>
      </c>
      <c r="E133" s="125" t="s">
        <v>611</v>
      </c>
      <c r="F133" s="126" t="s">
        <v>614</v>
      </c>
      <c r="G133" s="209" t="s">
        <v>579</v>
      </c>
      <c r="H133" s="212"/>
      <c r="I133" s="210" t="s">
        <v>149</v>
      </c>
      <c r="J133" s="203" t="s">
        <v>149</v>
      </c>
      <c r="K133" s="203"/>
      <c r="L133" s="203" t="s">
        <v>149</v>
      </c>
      <c r="M133" s="203" t="s">
        <v>149</v>
      </c>
      <c r="N133" s="203" t="s">
        <v>149</v>
      </c>
      <c r="O133" s="203" t="s">
        <v>149</v>
      </c>
      <c r="P133" s="203" t="s">
        <v>149</v>
      </c>
      <c r="Q133" s="203" t="s">
        <v>149</v>
      </c>
      <c r="R133" s="203"/>
      <c r="S133" s="203"/>
      <c r="T133" s="203"/>
      <c r="U133" s="203"/>
      <c r="V133" s="203"/>
      <c r="W133" s="203" t="s">
        <v>149</v>
      </c>
      <c r="X133" s="203" t="s">
        <v>149</v>
      </c>
      <c r="Y133" s="203" t="s">
        <v>149</v>
      </c>
      <c r="Z133" s="203" t="s">
        <v>149</v>
      </c>
      <c r="AA133" s="203" t="s">
        <v>149</v>
      </c>
      <c r="AB133" s="203" t="s">
        <v>149</v>
      </c>
      <c r="AC133" s="203" t="s">
        <v>149</v>
      </c>
      <c r="AD133" s="203" t="s">
        <v>149</v>
      </c>
      <c r="AE133" s="203" t="s">
        <v>149</v>
      </c>
      <c r="AF133" s="203" t="s">
        <v>149</v>
      </c>
      <c r="AG133" s="203" t="s">
        <v>149</v>
      </c>
      <c r="AH133" s="203" t="s">
        <v>149</v>
      </c>
      <c r="AI133" s="203" t="s">
        <v>149</v>
      </c>
      <c r="AJ133" s="203" t="s">
        <v>149</v>
      </c>
      <c r="AK133" s="203" t="s">
        <v>149</v>
      </c>
      <c r="AL133" s="203" t="s">
        <v>149</v>
      </c>
      <c r="AM133" s="203" t="s">
        <v>149</v>
      </c>
      <c r="AN133" s="203" t="s">
        <v>149</v>
      </c>
      <c r="AO133" s="203" t="s">
        <v>149</v>
      </c>
      <c r="AP133" s="203"/>
      <c r="AQ133" s="203" t="s">
        <v>149</v>
      </c>
      <c r="AR133" s="203" t="s">
        <v>149</v>
      </c>
      <c r="AS133" s="203" t="s">
        <v>149</v>
      </c>
      <c r="AT133" s="203"/>
      <c r="AU133" s="203"/>
      <c r="AV133" s="203" t="s">
        <v>149</v>
      </c>
      <c r="AW133" s="203" t="s">
        <v>149</v>
      </c>
      <c r="AX133" s="203" t="s">
        <v>149</v>
      </c>
      <c r="AY133" s="203"/>
      <c r="AZ133" s="203" t="s">
        <v>149</v>
      </c>
      <c r="BA133" s="203" t="s">
        <v>149</v>
      </c>
      <c r="BB133" s="203" t="s">
        <v>149</v>
      </c>
      <c r="BC133" s="203" t="s">
        <v>149</v>
      </c>
      <c r="BD133" s="203" t="s">
        <v>149</v>
      </c>
      <c r="BE133" s="203" t="s">
        <v>149</v>
      </c>
      <c r="BF133" s="203" t="s">
        <v>149</v>
      </c>
      <c r="BG133" s="203" t="s">
        <v>149</v>
      </c>
      <c r="BH133" s="203" t="s">
        <v>149</v>
      </c>
      <c r="BI133" s="252"/>
      <c r="BJ133" s="252"/>
      <c r="BK133" s="252"/>
    </row>
    <row r="134" spans="1:63" ht="409.5">
      <c r="A134" s="124">
        <v>45653</v>
      </c>
      <c r="B134" s="125" t="s">
        <v>34</v>
      </c>
      <c r="C134" s="298" t="s">
        <v>564</v>
      </c>
      <c r="D134" s="125" t="s">
        <v>615</v>
      </c>
      <c r="E134" s="125" t="s">
        <v>616</v>
      </c>
      <c r="F134" s="126" t="s">
        <v>617</v>
      </c>
      <c r="G134" s="209" t="s">
        <v>601</v>
      </c>
      <c r="H134" s="212"/>
      <c r="I134" s="210"/>
      <c r="J134" s="203"/>
      <c r="K134" s="203"/>
      <c r="L134" s="203" t="s">
        <v>149</v>
      </c>
      <c r="M134" s="203"/>
      <c r="N134" s="203" t="s">
        <v>149</v>
      </c>
      <c r="O134" s="203" t="s">
        <v>149</v>
      </c>
      <c r="P134" s="203" t="s">
        <v>149</v>
      </c>
      <c r="Q134" s="203" t="s">
        <v>149</v>
      </c>
      <c r="R134" s="203"/>
      <c r="S134" s="203"/>
      <c r="T134" s="203"/>
      <c r="U134" s="203"/>
      <c r="V134" s="203"/>
      <c r="W134" s="203"/>
      <c r="X134" s="203" t="s">
        <v>149</v>
      </c>
      <c r="Y134" s="203" t="s">
        <v>149</v>
      </c>
      <c r="Z134" s="203" t="s">
        <v>149</v>
      </c>
      <c r="AA134" s="203" t="s">
        <v>149</v>
      </c>
      <c r="AB134" s="203" t="s">
        <v>149</v>
      </c>
      <c r="AC134" s="203" t="s">
        <v>149</v>
      </c>
      <c r="AD134" s="203" t="s">
        <v>149</v>
      </c>
      <c r="AE134" s="203" t="s">
        <v>149</v>
      </c>
      <c r="AF134" s="203" t="s">
        <v>149</v>
      </c>
      <c r="AG134" s="203" t="s">
        <v>149</v>
      </c>
      <c r="AH134" s="203" t="s">
        <v>149</v>
      </c>
      <c r="AI134" s="203" t="s">
        <v>149</v>
      </c>
      <c r="AJ134" s="203" t="s">
        <v>149</v>
      </c>
      <c r="AK134" s="203" t="s">
        <v>149</v>
      </c>
      <c r="AL134" s="203" t="s">
        <v>149</v>
      </c>
      <c r="AM134" s="203" t="s">
        <v>149</v>
      </c>
      <c r="AN134" s="203" t="s">
        <v>149</v>
      </c>
      <c r="AO134" s="203" t="s">
        <v>149</v>
      </c>
      <c r="AP134" s="203"/>
      <c r="AQ134" s="203" t="s">
        <v>149</v>
      </c>
      <c r="AR134" s="203" t="s">
        <v>149</v>
      </c>
      <c r="AS134" s="203" t="s">
        <v>149</v>
      </c>
      <c r="AT134" s="203"/>
      <c r="AU134" s="203"/>
      <c r="AV134" s="203" t="s">
        <v>149</v>
      </c>
      <c r="AW134" s="203" t="s">
        <v>149</v>
      </c>
      <c r="AX134" s="203" t="s">
        <v>149</v>
      </c>
      <c r="AY134" s="203"/>
      <c r="AZ134" s="203" t="s">
        <v>149</v>
      </c>
      <c r="BA134" s="203" t="s">
        <v>149</v>
      </c>
      <c r="BB134" s="203" t="s">
        <v>149</v>
      </c>
      <c r="BC134" s="203"/>
      <c r="BD134" s="203"/>
      <c r="BE134" s="203"/>
      <c r="BF134" s="203" t="s">
        <v>149</v>
      </c>
      <c r="BG134" s="203" t="s">
        <v>149</v>
      </c>
      <c r="BH134" s="203" t="s">
        <v>149</v>
      </c>
      <c r="BI134" s="252"/>
      <c r="BJ134" s="252"/>
      <c r="BK134" s="252"/>
    </row>
    <row r="135" spans="1:63" ht="210">
      <c r="A135" s="124">
        <v>45653</v>
      </c>
      <c r="B135" s="125" t="s">
        <v>34</v>
      </c>
      <c r="C135" s="298" t="s">
        <v>618</v>
      </c>
      <c r="D135" s="125" t="s">
        <v>619</v>
      </c>
      <c r="E135" s="125" t="s">
        <v>620</v>
      </c>
      <c r="F135" s="126" t="s">
        <v>621</v>
      </c>
      <c r="G135" s="209" t="s">
        <v>622</v>
      </c>
      <c r="H135" s="212"/>
      <c r="I135" s="210"/>
      <c r="J135" s="203"/>
      <c r="K135" s="203"/>
      <c r="L135" s="203" t="s">
        <v>149</v>
      </c>
      <c r="M135" s="203"/>
      <c r="N135" s="203" t="s">
        <v>149</v>
      </c>
      <c r="O135" s="203" t="s">
        <v>149</v>
      </c>
      <c r="P135" s="203" t="s">
        <v>149</v>
      </c>
      <c r="Q135" s="203" t="s">
        <v>149</v>
      </c>
      <c r="R135" s="203"/>
      <c r="S135" s="203"/>
      <c r="T135" s="203"/>
      <c r="U135" s="203"/>
      <c r="V135" s="203"/>
      <c r="W135" s="203"/>
      <c r="X135" s="203" t="s">
        <v>149</v>
      </c>
      <c r="Y135" s="203" t="s">
        <v>149</v>
      </c>
      <c r="Z135" s="203" t="s">
        <v>149</v>
      </c>
      <c r="AA135" s="203" t="s">
        <v>149</v>
      </c>
      <c r="AB135" s="203" t="s">
        <v>149</v>
      </c>
      <c r="AC135" s="203" t="s">
        <v>149</v>
      </c>
      <c r="AD135" s="203" t="s">
        <v>149</v>
      </c>
      <c r="AE135" s="203" t="s">
        <v>149</v>
      </c>
      <c r="AF135" s="203" t="s">
        <v>149</v>
      </c>
      <c r="AG135" s="203" t="s">
        <v>149</v>
      </c>
      <c r="AH135" s="203" t="s">
        <v>149</v>
      </c>
      <c r="AI135" s="203" t="s">
        <v>149</v>
      </c>
      <c r="AJ135" s="203" t="s">
        <v>149</v>
      </c>
      <c r="AK135" s="203" t="s">
        <v>149</v>
      </c>
      <c r="AL135" s="203" t="s">
        <v>149</v>
      </c>
      <c r="AM135" s="203" t="s">
        <v>149</v>
      </c>
      <c r="AN135" s="203" t="s">
        <v>149</v>
      </c>
      <c r="AO135" s="203" t="s">
        <v>149</v>
      </c>
      <c r="AP135" s="203"/>
      <c r="AQ135" s="203" t="s">
        <v>149</v>
      </c>
      <c r="AR135" s="203" t="s">
        <v>149</v>
      </c>
      <c r="AS135" s="203" t="s">
        <v>149</v>
      </c>
      <c r="AT135" s="203"/>
      <c r="AU135" s="203"/>
      <c r="AV135" s="203" t="s">
        <v>149</v>
      </c>
      <c r="AW135" s="203" t="s">
        <v>149</v>
      </c>
      <c r="AX135" s="203" t="s">
        <v>149</v>
      </c>
      <c r="AY135" s="203"/>
      <c r="AZ135" s="203" t="s">
        <v>149</v>
      </c>
      <c r="BA135" s="203" t="s">
        <v>149</v>
      </c>
      <c r="BB135" s="203" t="s">
        <v>149</v>
      </c>
      <c r="BC135" s="203"/>
      <c r="BD135" s="203"/>
      <c r="BE135" s="203"/>
      <c r="BF135" s="203" t="s">
        <v>149</v>
      </c>
      <c r="BG135" s="203" t="s">
        <v>149</v>
      </c>
      <c r="BH135" s="203" t="s">
        <v>149</v>
      </c>
      <c r="BI135" s="203" t="s">
        <v>149</v>
      </c>
      <c r="BJ135" s="252"/>
      <c r="BK135" s="252"/>
    </row>
    <row r="136" spans="1:63" ht="225">
      <c r="A136" s="124">
        <v>45660</v>
      </c>
      <c r="B136" s="125" t="s">
        <v>34</v>
      </c>
      <c r="C136" s="298" t="s">
        <v>564</v>
      </c>
      <c r="D136" s="125" t="s">
        <v>623</v>
      </c>
      <c r="E136" s="125" t="s">
        <v>624</v>
      </c>
      <c r="F136" s="126" t="s">
        <v>625</v>
      </c>
      <c r="G136" s="209" t="s">
        <v>601</v>
      </c>
      <c r="H136" s="212"/>
      <c r="I136" s="210"/>
      <c r="J136" s="203"/>
      <c r="K136" s="203"/>
      <c r="L136" s="203" t="s">
        <v>149</v>
      </c>
      <c r="M136" s="203"/>
      <c r="N136" s="203" t="s">
        <v>149</v>
      </c>
      <c r="O136" s="203" t="s">
        <v>149</v>
      </c>
      <c r="P136" s="203" t="s">
        <v>149</v>
      </c>
      <c r="Q136" s="203" t="s">
        <v>149</v>
      </c>
      <c r="R136" s="203"/>
      <c r="S136" s="203"/>
      <c r="T136" s="203"/>
      <c r="U136" s="203"/>
      <c r="V136" s="203"/>
      <c r="W136" s="203"/>
      <c r="X136" s="203" t="s">
        <v>149</v>
      </c>
      <c r="Y136" s="203" t="s">
        <v>149</v>
      </c>
      <c r="Z136" s="203" t="s">
        <v>149</v>
      </c>
      <c r="AA136" s="203" t="s">
        <v>149</v>
      </c>
      <c r="AB136" s="203" t="s">
        <v>149</v>
      </c>
      <c r="AC136" s="203" t="s">
        <v>149</v>
      </c>
      <c r="AD136" s="203" t="s">
        <v>149</v>
      </c>
      <c r="AE136" s="203" t="s">
        <v>149</v>
      </c>
      <c r="AF136" s="203" t="s">
        <v>149</v>
      </c>
      <c r="AG136" s="203" t="s">
        <v>149</v>
      </c>
      <c r="AH136" s="203" t="s">
        <v>149</v>
      </c>
      <c r="AI136" s="203" t="s">
        <v>149</v>
      </c>
      <c r="AJ136" s="203" t="s">
        <v>149</v>
      </c>
      <c r="AK136" s="203" t="s">
        <v>149</v>
      </c>
      <c r="AL136" s="203" t="s">
        <v>149</v>
      </c>
      <c r="AM136" s="203" t="s">
        <v>149</v>
      </c>
      <c r="AN136" s="203" t="s">
        <v>149</v>
      </c>
      <c r="AO136" s="203" t="s">
        <v>149</v>
      </c>
      <c r="AP136" s="203"/>
      <c r="AQ136" s="203" t="s">
        <v>149</v>
      </c>
      <c r="AR136" s="203" t="s">
        <v>149</v>
      </c>
      <c r="AS136" s="203" t="s">
        <v>149</v>
      </c>
      <c r="AT136" s="203"/>
      <c r="AU136" s="203"/>
      <c r="AV136" s="203" t="s">
        <v>149</v>
      </c>
      <c r="AW136" s="203" t="s">
        <v>149</v>
      </c>
      <c r="AX136" s="203" t="s">
        <v>149</v>
      </c>
      <c r="AY136" s="203"/>
      <c r="AZ136" s="203" t="s">
        <v>149</v>
      </c>
      <c r="BA136" s="203" t="s">
        <v>149</v>
      </c>
      <c r="BB136" s="203" t="s">
        <v>149</v>
      </c>
      <c r="BC136" s="203"/>
      <c r="BD136" s="203"/>
      <c r="BE136" s="203"/>
      <c r="BF136" s="203" t="s">
        <v>149</v>
      </c>
      <c r="BG136" s="203" t="s">
        <v>149</v>
      </c>
      <c r="BH136" s="203" t="s">
        <v>149</v>
      </c>
      <c r="BI136" s="252"/>
      <c r="BJ136" s="252"/>
      <c r="BK136" s="252"/>
    </row>
    <row r="137" spans="1:63" ht="409.5">
      <c r="A137" s="124">
        <v>45663</v>
      </c>
      <c r="B137" s="125" t="s">
        <v>34</v>
      </c>
      <c r="C137" s="298" t="s">
        <v>564</v>
      </c>
      <c r="D137" s="125" t="s">
        <v>626</v>
      </c>
      <c r="E137" s="125" t="s">
        <v>627</v>
      </c>
      <c r="F137" s="126" t="s">
        <v>628</v>
      </c>
      <c r="G137" s="209" t="s">
        <v>601</v>
      </c>
      <c r="H137" s="212"/>
      <c r="I137" s="210"/>
      <c r="J137" s="203"/>
      <c r="K137" s="203"/>
      <c r="L137" s="203" t="s">
        <v>149</v>
      </c>
      <c r="M137" s="203"/>
      <c r="N137" s="203" t="s">
        <v>149</v>
      </c>
      <c r="O137" s="203" t="s">
        <v>149</v>
      </c>
      <c r="P137" s="203" t="s">
        <v>149</v>
      </c>
      <c r="Q137" s="203" t="s">
        <v>149</v>
      </c>
      <c r="R137" s="203"/>
      <c r="S137" s="203"/>
      <c r="T137" s="203"/>
      <c r="U137" s="203"/>
      <c r="V137" s="203"/>
      <c r="W137" s="203"/>
      <c r="X137" s="203" t="s">
        <v>149</v>
      </c>
      <c r="Y137" s="203" t="s">
        <v>149</v>
      </c>
      <c r="Z137" s="203" t="s">
        <v>149</v>
      </c>
      <c r="AA137" s="203" t="s">
        <v>149</v>
      </c>
      <c r="AB137" s="203" t="s">
        <v>149</v>
      </c>
      <c r="AC137" s="203" t="s">
        <v>149</v>
      </c>
      <c r="AD137" s="203" t="s">
        <v>149</v>
      </c>
      <c r="AE137" s="203" t="s">
        <v>149</v>
      </c>
      <c r="AF137" s="203" t="s">
        <v>149</v>
      </c>
      <c r="AG137" s="203" t="s">
        <v>149</v>
      </c>
      <c r="AH137" s="203" t="s">
        <v>149</v>
      </c>
      <c r="AI137" s="203" t="s">
        <v>149</v>
      </c>
      <c r="AJ137" s="203" t="s">
        <v>149</v>
      </c>
      <c r="AK137" s="203" t="s">
        <v>149</v>
      </c>
      <c r="AL137" s="203" t="s">
        <v>149</v>
      </c>
      <c r="AM137" s="203" t="s">
        <v>149</v>
      </c>
      <c r="AN137" s="203" t="s">
        <v>149</v>
      </c>
      <c r="AO137" s="203" t="s">
        <v>149</v>
      </c>
      <c r="AP137" s="203"/>
      <c r="AQ137" s="203" t="s">
        <v>149</v>
      </c>
      <c r="AR137" s="203" t="s">
        <v>149</v>
      </c>
      <c r="AS137" s="203" t="s">
        <v>149</v>
      </c>
      <c r="AT137" s="203"/>
      <c r="AU137" s="203"/>
      <c r="AV137" s="203" t="s">
        <v>149</v>
      </c>
      <c r="AW137" s="203" t="s">
        <v>149</v>
      </c>
      <c r="AX137" s="203" t="s">
        <v>149</v>
      </c>
      <c r="AY137" s="203"/>
      <c r="AZ137" s="203" t="s">
        <v>149</v>
      </c>
      <c r="BA137" s="203" t="s">
        <v>149</v>
      </c>
      <c r="BB137" s="203" t="s">
        <v>149</v>
      </c>
      <c r="BC137" s="203"/>
      <c r="BD137" s="203"/>
      <c r="BE137" s="203"/>
      <c r="BF137" s="203" t="s">
        <v>149</v>
      </c>
      <c r="BG137" s="203" t="s">
        <v>149</v>
      </c>
      <c r="BH137" s="203" t="s">
        <v>149</v>
      </c>
      <c r="BI137" s="252"/>
      <c r="BJ137" s="252"/>
      <c r="BK137" s="252"/>
    </row>
    <row r="138" spans="1:63" ht="405">
      <c r="A138" s="124">
        <v>45667</v>
      </c>
      <c r="B138" s="125" t="s">
        <v>34</v>
      </c>
      <c r="C138" s="298" t="s">
        <v>564</v>
      </c>
      <c r="D138" s="125" t="s">
        <v>629</v>
      </c>
      <c r="E138" s="125" t="s">
        <v>630</v>
      </c>
      <c r="F138" s="126" t="s">
        <v>631</v>
      </c>
      <c r="G138" s="209" t="s">
        <v>601</v>
      </c>
      <c r="H138" s="212"/>
      <c r="I138" s="210"/>
      <c r="J138" s="203"/>
      <c r="K138" s="203"/>
      <c r="L138" s="203" t="s">
        <v>149</v>
      </c>
      <c r="M138" s="203"/>
      <c r="N138" s="203" t="s">
        <v>149</v>
      </c>
      <c r="O138" s="203" t="s">
        <v>149</v>
      </c>
      <c r="P138" s="203" t="s">
        <v>149</v>
      </c>
      <c r="Q138" s="203" t="s">
        <v>149</v>
      </c>
      <c r="R138" s="203"/>
      <c r="S138" s="203"/>
      <c r="T138" s="203"/>
      <c r="U138" s="203"/>
      <c r="V138" s="203"/>
      <c r="W138" s="203"/>
      <c r="X138" s="203" t="s">
        <v>149</v>
      </c>
      <c r="Y138" s="203" t="s">
        <v>149</v>
      </c>
      <c r="Z138" s="203" t="s">
        <v>149</v>
      </c>
      <c r="AA138" s="203" t="s">
        <v>149</v>
      </c>
      <c r="AB138" s="203" t="s">
        <v>149</v>
      </c>
      <c r="AC138" s="203" t="s">
        <v>149</v>
      </c>
      <c r="AD138" s="203" t="s">
        <v>149</v>
      </c>
      <c r="AE138" s="203" t="s">
        <v>149</v>
      </c>
      <c r="AF138" s="203" t="s">
        <v>149</v>
      </c>
      <c r="AG138" s="203" t="s">
        <v>149</v>
      </c>
      <c r="AH138" s="203" t="s">
        <v>149</v>
      </c>
      <c r="AI138" s="203" t="s">
        <v>149</v>
      </c>
      <c r="AJ138" s="203" t="s">
        <v>149</v>
      </c>
      <c r="AK138" s="203" t="s">
        <v>149</v>
      </c>
      <c r="AL138" s="203" t="s">
        <v>149</v>
      </c>
      <c r="AM138" s="203" t="s">
        <v>149</v>
      </c>
      <c r="AN138" s="203" t="s">
        <v>149</v>
      </c>
      <c r="AO138" s="203" t="s">
        <v>149</v>
      </c>
      <c r="AP138" s="203"/>
      <c r="AQ138" s="203" t="s">
        <v>149</v>
      </c>
      <c r="AR138" s="203" t="s">
        <v>149</v>
      </c>
      <c r="AS138" s="203" t="s">
        <v>149</v>
      </c>
      <c r="AT138" s="203"/>
      <c r="AU138" s="203"/>
      <c r="AV138" s="203" t="s">
        <v>149</v>
      </c>
      <c r="AW138" s="203" t="s">
        <v>149</v>
      </c>
      <c r="AX138" s="203" t="s">
        <v>149</v>
      </c>
      <c r="AY138" s="203"/>
      <c r="AZ138" s="203" t="s">
        <v>149</v>
      </c>
      <c r="BA138" s="203" t="s">
        <v>149</v>
      </c>
      <c r="BB138" s="203" t="s">
        <v>149</v>
      </c>
      <c r="BC138" s="203"/>
      <c r="BD138" s="203"/>
      <c r="BE138" s="203"/>
      <c r="BF138" s="203" t="s">
        <v>149</v>
      </c>
      <c r="BG138" s="203" t="s">
        <v>149</v>
      </c>
      <c r="BH138" s="203" t="s">
        <v>149</v>
      </c>
      <c r="BI138" s="252"/>
      <c r="BJ138" s="252"/>
      <c r="BK138" s="252"/>
    </row>
    <row r="139" spans="1:63" ht="409.5">
      <c r="A139" s="124">
        <v>45677</v>
      </c>
      <c r="B139" s="125" t="s">
        <v>34</v>
      </c>
      <c r="C139" s="298" t="s">
        <v>632</v>
      </c>
      <c r="D139" s="125" t="s">
        <v>633</v>
      </c>
      <c r="E139" s="125" t="s">
        <v>634</v>
      </c>
      <c r="F139" s="126" t="s">
        <v>635</v>
      </c>
      <c r="G139" s="209" t="s">
        <v>601</v>
      </c>
      <c r="H139" s="212"/>
      <c r="I139" s="210"/>
      <c r="J139" s="203"/>
      <c r="K139" s="203"/>
      <c r="L139" s="203" t="s">
        <v>149</v>
      </c>
      <c r="M139" s="203"/>
      <c r="N139" s="203" t="s">
        <v>149</v>
      </c>
      <c r="O139" s="203" t="s">
        <v>149</v>
      </c>
      <c r="P139" s="203" t="s">
        <v>149</v>
      </c>
      <c r="Q139" s="203" t="s">
        <v>149</v>
      </c>
      <c r="R139" s="203"/>
      <c r="S139" s="203"/>
      <c r="T139" s="203"/>
      <c r="U139" s="203"/>
      <c r="V139" s="203"/>
      <c r="W139" s="203"/>
      <c r="X139" s="203" t="s">
        <v>149</v>
      </c>
      <c r="Y139" s="203" t="s">
        <v>149</v>
      </c>
      <c r="Z139" s="203" t="s">
        <v>149</v>
      </c>
      <c r="AA139" s="203" t="s">
        <v>149</v>
      </c>
      <c r="AB139" s="203" t="s">
        <v>149</v>
      </c>
      <c r="AC139" s="203" t="s">
        <v>149</v>
      </c>
      <c r="AD139" s="203" t="s">
        <v>149</v>
      </c>
      <c r="AE139" s="203" t="s">
        <v>149</v>
      </c>
      <c r="AF139" s="203" t="s">
        <v>149</v>
      </c>
      <c r="AG139" s="203" t="s">
        <v>149</v>
      </c>
      <c r="AH139" s="203" t="s">
        <v>149</v>
      </c>
      <c r="AI139" s="203" t="s">
        <v>149</v>
      </c>
      <c r="AJ139" s="203" t="s">
        <v>149</v>
      </c>
      <c r="AK139" s="203" t="s">
        <v>149</v>
      </c>
      <c r="AL139" s="203" t="s">
        <v>149</v>
      </c>
      <c r="AM139" s="203" t="s">
        <v>149</v>
      </c>
      <c r="AN139" s="203" t="s">
        <v>149</v>
      </c>
      <c r="AO139" s="203" t="s">
        <v>149</v>
      </c>
      <c r="AP139" s="203"/>
      <c r="AQ139" s="203" t="s">
        <v>149</v>
      </c>
      <c r="AR139" s="203" t="s">
        <v>149</v>
      </c>
      <c r="AS139" s="203" t="s">
        <v>149</v>
      </c>
      <c r="AT139" s="203"/>
      <c r="AU139" s="203"/>
      <c r="AV139" s="203" t="s">
        <v>149</v>
      </c>
      <c r="AW139" s="203" t="s">
        <v>149</v>
      </c>
      <c r="AX139" s="203" t="s">
        <v>149</v>
      </c>
      <c r="AY139" s="203"/>
      <c r="AZ139" s="203" t="s">
        <v>149</v>
      </c>
      <c r="BA139" s="203" t="s">
        <v>149</v>
      </c>
      <c r="BB139" s="203" t="s">
        <v>149</v>
      </c>
      <c r="BC139" s="203"/>
      <c r="BD139" s="203"/>
      <c r="BE139" s="203"/>
      <c r="BF139" s="203" t="s">
        <v>149</v>
      </c>
      <c r="BG139" s="203" t="s">
        <v>149</v>
      </c>
      <c r="BH139" s="203" t="s">
        <v>149</v>
      </c>
      <c r="BI139" s="252"/>
      <c r="BJ139" s="252"/>
      <c r="BK139" s="252"/>
    </row>
    <row r="140" spans="1:63" ht="405">
      <c r="A140" s="124">
        <v>45692</v>
      </c>
      <c r="B140" s="125" t="s">
        <v>34</v>
      </c>
      <c r="C140" s="298" t="s">
        <v>636</v>
      </c>
      <c r="D140" s="125" t="s">
        <v>637</v>
      </c>
      <c r="E140" s="125" t="s">
        <v>638</v>
      </c>
      <c r="F140" s="126" t="s">
        <v>639</v>
      </c>
      <c r="G140" s="209" t="s">
        <v>601</v>
      </c>
      <c r="H140" s="212"/>
      <c r="I140" s="210"/>
      <c r="J140" s="203"/>
      <c r="K140" s="203"/>
      <c r="L140" s="203" t="s">
        <v>149</v>
      </c>
      <c r="M140" s="203"/>
      <c r="N140" s="203" t="s">
        <v>149</v>
      </c>
      <c r="O140" s="203" t="s">
        <v>149</v>
      </c>
      <c r="P140" s="203" t="s">
        <v>149</v>
      </c>
      <c r="Q140" s="203" t="s">
        <v>149</v>
      </c>
      <c r="R140" s="203"/>
      <c r="S140" s="203"/>
      <c r="T140" s="203"/>
      <c r="U140" s="203"/>
      <c r="V140" s="203"/>
      <c r="W140" s="203"/>
      <c r="X140" s="203" t="s">
        <v>149</v>
      </c>
      <c r="Y140" s="203" t="s">
        <v>149</v>
      </c>
      <c r="Z140" s="203" t="s">
        <v>149</v>
      </c>
      <c r="AA140" s="203" t="s">
        <v>149</v>
      </c>
      <c r="AB140" s="203" t="s">
        <v>149</v>
      </c>
      <c r="AC140" s="203" t="s">
        <v>149</v>
      </c>
      <c r="AD140" s="203" t="s">
        <v>149</v>
      </c>
      <c r="AE140" s="203" t="s">
        <v>149</v>
      </c>
      <c r="AF140" s="203" t="s">
        <v>149</v>
      </c>
      <c r="AG140" s="203" t="s">
        <v>149</v>
      </c>
      <c r="AH140" s="203" t="s">
        <v>149</v>
      </c>
      <c r="AI140" s="203" t="s">
        <v>149</v>
      </c>
      <c r="AJ140" s="203" t="s">
        <v>149</v>
      </c>
      <c r="AK140" s="203" t="s">
        <v>149</v>
      </c>
      <c r="AL140" s="203" t="s">
        <v>149</v>
      </c>
      <c r="AM140" s="203" t="s">
        <v>149</v>
      </c>
      <c r="AN140" s="203" t="s">
        <v>149</v>
      </c>
      <c r="AO140" s="203" t="s">
        <v>149</v>
      </c>
      <c r="AP140" s="203"/>
      <c r="AQ140" s="203" t="s">
        <v>149</v>
      </c>
      <c r="AR140" s="203" t="s">
        <v>149</v>
      </c>
      <c r="AS140" s="203" t="s">
        <v>149</v>
      </c>
      <c r="AT140" s="203"/>
      <c r="AU140" s="203"/>
      <c r="AV140" s="203" t="s">
        <v>149</v>
      </c>
      <c r="AW140" s="203" t="s">
        <v>149</v>
      </c>
      <c r="AX140" s="203" t="s">
        <v>149</v>
      </c>
      <c r="AY140" s="203"/>
      <c r="AZ140" s="203" t="s">
        <v>149</v>
      </c>
      <c r="BA140" s="203" t="s">
        <v>149</v>
      </c>
      <c r="BB140" s="203" t="s">
        <v>149</v>
      </c>
      <c r="BC140" s="203"/>
      <c r="BD140" s="203"/>
      <c r="BE140" s="203"/>
      <c r="BF140" s="203" t="s">
        <v>149</v>
      </c>
      <c r="BG140" s="203" t="s">
        <v>149</v>
      </c>
      <c r="BH140" s="203" t="s">
        <v>149</v>
      </c>
      <c r="BI140" s="252"/>
      <c r="BJ140" s="252"/>
      <c r="BK140" s="252"/>
    </row>
    <row r="141" spans="1:63" ht="210">
      <c r="A141" s="124">
        <v>45698</v>
      </c>
      <c r="B141" s="125" t="s">
        <v>34</v>
      </c>
      <c r="C141" s="298" t="s">
        <v>640</v>
      </c>
      <c r="D141" s="125" t="s">
        <v>641</v>
      </c>
      <c r="E141" s="125" t="s">
        <v>642</v>
      </c>
      <c r="F141" s="126" t="s">
        <v>643</v>
      </c>
      <c r="G141" s="209" t="s">
        <v>601</v>
      </c>
      <c r="H141" s="212"/>
      <c r="I141" s="210"/>
      <c r="J141" s="203"/>
      <c r="K141" s="203"/>
      <c r="L141" s="203" t="s">
        <v>149</v>
      </c>
      <c r="M141" s="203"/>
      <c r="N141" s="203" t="s">
        <v>149</v>
      </c>
      <c r="O141" s="203" t="s">
        <v>149</v>
      </c>
      <c r="P141" s="203" t="s">
        <v>149</v>
      </c>
      <c r="Q141" s="203" t="s">
        <v>149</v>
      </c>
      <c r="R141" s="203"/>
      <c r="S141" s="203"/>
      <c r="T141" s="203"/>
      <c r="U141" s="203"/>
      <c r="V141" s="203"/>
      <c r="W141" s="203"/>
      <c r="X141" s="203" t="s">
        <v>149</v>
      </c>
      <c r="Y141" s="203" t="s">
        <v>149</v>
      </c>
      <c r="Z141" s="203" t="s">
        <v>149</v>
      </c>
      <c r="AA141" s="203" t="s">
        <v>149</v>
      </c>
      <c r="AB141" s="203" t="s">
        <v>149</v>
      </c>
      <c r="AC141" s="203" t="s">
        <v>149</v>
      </c>
      <c r="AD141" s="203" t="s">
        <v>149</v>
      </c>
      <c r="AE141" s="203" t="s">
        <v>149</v>
      </c>
      <c r="AF141" s="203" t="s">
        <v>149</v>
      </c>
      <c r="AG141" s="203" t="s">
        <v>149</v>
      </c>
      <c r="AH141" s="203" t="s">
        <v>149</v>
      </c>
      <c r="AI141" s="203" t="s">
        <v>149</v>
      </c>
      <c r="AJ141" s="203" t="s">
        <v>149</v>
      </c>
      <c r="AK141" s="203" t="s">
        <v>149</v>
      </c>
      <c r="AL141" s="203" t="s">
        <v>149</v>
      </c>
      <c r="AM141" s="203" t="s">
        <v>149</v>
      </c>
      <c r="AN141" s="203" t="s">
        <v>149</v>
      </c>
      <c r="AO141" s="203" t="s">
        <v>149</v>
      </c>
      <c r="AP141" s="203"/>
      <c r="AQ141" s="203" t="s">
        <v>149</v>
      </c>
      <c r="AR141" s="203" t="s">
        <v>149</v>
      </c>
      <c r="AS141" s="203" t="s">
        <v>149</v>
      </c>
      <c r="AT141" s="203"/>
      <c r="AU141" s="203"/>
      <c r="AV141" s="203" t="s">
        <v>149</v>
      </c>
      <c r="AW141" s="203" t="s">
        <v>149</v>
      </c>
      <c r="AX141" s="203" t="s">
        <v>149</v>
      </c>
      <c r="AY141" s="203"/>
      <c r="AZ141" s="203" t="s">
        <v>149</v>
      </c>
      <c r="BA141" s="203" t="s">
        <v>149</v>
      </c>
      <c r="BB141" s="203" t="s">
        <v>149</v>
      </c>
      <c r="BC141" s="203"/>
      <c r="BD141" s="203"/>
      <c r="BE141" s="203"/>
      <c r="BF141" s="203" t="s">
        <v>149</v>
      </c>
      <c r="BG141" s="203" t="s">
        <v>149</v>
      </c>
      <c r="BH141" s="203" t="s">
        <v>149</v>
      </c>
      <c r="BI141" s="252"/>
      <c r="BJ141" s="252"/>
      <c r="BK141" s="252"/>
    </row>
    <row r="142" spans="1:63" ht="375">
      <c r="A142" s="124">
        <v>45698</v>
      </c>
      <c r="B142" s="125" t="s">
        <v>34</v>
      </c>
      <c r="C142" s="298" t="s">
        <v>644</v>
      </c>
      <c r="D142" s="125" t="s">
        <v>645</v>
      </c>
      <c r="E142" s="125" t="s">
        <v>646</v>
      </c>
      <c r="F142" s="126" t="s">
        <v>647</v>
      </c>
      <c r="G142" s="209" t="s">
        <v>648</v>
      </c>
      <c r="H142" s="212"/>
      <c r="I142" s="210"/>
      <c r="J142" s="203"/>
      <c r="K142" s="203"/>
      <c r="L142" s="203" t="s">
        <v>149</v>
      </c>
      <c r="M142" s="203"/>
      <c r="N142" s="203" t="s">
        <v>149</v>
      </c>
      <c r="O142" s="203" t="s">
        <v>149</v>
      </c>
      <c r="P142" s="203" t="s">
        <v>149</v>
      </c>
      <c r="Q142" s="203" t="s">
        <v>149</v>
      </c>
      <c r="R142" s="203"/>
      <c r="S142" s="203"/>
      <c r="T142" s="203"/>
      <c r="U142" s="203"/>
      <c r="V142" s="203"/>
      <c r="W142" s="203"/>
      <c r="X142" s="203" t="s">
        <v>149</v>
      </c>
      <c r="Y142" s="203" t="s">
        <v>149</v>
      </c>
      <c r="Z142" s="203" t="s">
        <v>149</v>
      </c>
      <c r="AA142" s="203" t="s">
        <v>149</v>
      </c>
      <c r="AB142" s="203" t="s">
        <v>149</v>
      </c>
      <c r="AC142" s="203" t="s">
        <v>149</v>
      </c>
      <c r="AD142" s="203" t="s">
        <v>149</v>
      </c>
      <c r="AE142" s="203" t="s">
        <v>149</v>
      </c>
      <c r="AF142" s="203" t="s">
        <v>149</v>
      </c>
      <c r="AG142" s="203" t="s">
        <v>149</v>
      </c>
      <c r="AH142" s="203" t="s">
        <v>149</v>
      </c>
      <c r="AI142" s="203" t="s">
        <v>149</v>
      </c>
      <c r="AJ142" s="203" t="s">
        <v>149</v>
      </c>
      <c r="AK142" s="203" t="s">
        <v>149</v>
      </c>
      <c r="AL142" s="203" t="s">
        <v>149</v>
      </c>
      <c r="AM142" s="203" t="s">
        <v>149</v>
      </c>
      <c r="AN142" s="203" t="s">
        <v>149</v>
      </c>
      <c r="AO142" s="203" t="s">
        <v>149</v>
      </c>
      <c r="AP142" s="203"/>
      <c r="AQ142" s="203" t="s">
        <v>149</v>
      </c>
      <c r="AR142" s="203" t="s">
        <v>149</v>
      </c>
      <c r="AS142" s="203" t="s">
        <v>149</v>
      </c>
      <c r="AT142" s="203"/>
      <c r="AU142" s="203"/>
      <c r="AV142" s="203" t="s">
        <v>149</v>
      </c>
      <c r="AW142" s="203" t="s">
        <v>149</v>
      </c>
      <c r="AX142" s="203" t="s">
        <v>149</v>
      </c>
      <c r="AY142" s="203"/>
      <c r="AZ142" s="203" t="s">
        <v>149</v>
      </c>
      <c r="BA142" s="203" t="s">
        <v>149</v>
      </c>
      <c r="BB142" s="203" t="s">
        <v>149</v>
      </c>
      <c r="BC142" s="203"/>
      <c r="BD142" s="203"/>
      <c r="BE142" s="203"/>
      <c r="BF142" s="203" t="s">
        <v>149</v>
      </c>
      <c r="BG142" s="203" t="s">
        <v>149</v>
      </c>
      <c r="BH142" s="203" t="s">
        <v>149</v>
      </c>
      <c r="BI142" s="203" t="s">
        <v>149</v>
      </c>
      <c r="BJ142" s="252"/>
      <c r="BK142" s="252"/>
    </row>
    <row r="143" spans="1:63" ht="225">
      <c r="A143" s="124">
        <v>45702</v>
      </c>
      <c r="B143" s="125" t="s">
        <v>34</v>
      </c>
      <c r="C143" s="298" t="s">
        <v>649</v>
      </c>
      <c r="D143" s="125" t="s">
        <v>650</v>
      </c>
      <c r="E143" s="125" t="s">
        <v>651</v>
      </c>
      <c r="F143" s="126" t="s">
        <v>652</v>
      </c>
      <c r="G143" s="209" t="s">
        <v>648</v>
      </c>
      <c r="H143" s="212"/>
      <c r="I143" s="210"/>
      <c r="J143" s="203"/>
      <c r="K143" s="203"/>
      <c r="L143" s="203" t="s">
        <v>149</v>
      </c>
      <c r="M143" s="203"/>
      <c r="N143" s="203" t="s">
        <v>149</v>
      </c>
      <c r="O143" s="203" t="s">
        <v>149</v>
      </c>
      <c r="P143" s="203" t="s">
        <v>149</v>
      </c>
      <c r="Q143" s="203" t="s">
        <v>149</v>
      </c>
      <c r="R143" s="203"/>
      <c r="S143" s="203"/>
      <c r="T143" s="203"/>
      <c r="U143" s="203"/>
      <c r="V143" s="203"/>
      <c r="W143" s="203"/>
      <c r="X143" s="203" t="s">
        <v>149</v>
      </c>
      <c r="Y143" s="203" t="s">
        <v>149</v>
      </c>
      <c r="Z143" s="203" t="s">
        <v>149</v>
      </c>
      <c r="AA143" s="203" t="s">
        <v>149</v>
      </c>
      <c r="AB143" s="203" t="s">
        <v>149</v>
      </c>
      <c r="AC143" s="203" t="s">
        <v>149</v>
      </c>
      <c r="AD143" s="203" t="s">
        <v>149</v>
      </c>
      <c r="AE143" s="203" t="s">
        <v>149</v>
      </c>
      <c r="AF143" s="203" t="s">
        <v>149</v>
      </c>
      <c r="AG143" s="203" t="s">
        <v>149</v>
      </c>
      <c r="AH143" s="203" t="s">
        <v>149</v>
      </c>
      <c r="AI143" s="203" t="s">
        <v>149</v>
      </c>
      <c r="AJ143" s="203" t="s">
        <v>149</v>
      </c>
      <c r="AK143" s="203" t="s">
        <v>149</v>
      </c>
      <c r="AL143" s="203" t="s">
        <v>149</v>
      </c>
      <c r="AM143" s="203" t="s">
        <v>149</v>
      </c>
      <c r="AN143" s="203" t="s">
        <v>149</v>
      </c>
      <c r="AO143" s="203" t="s">
        <v>149</v>
      </c>
      <c r="AP143" s="203"/>
      <c r="AQ143" s="203" t="s">
        <v>149</v>
      </c>
      <c r="AR143" s="203" t="s">
        <v>149</v>
      </c>
      <c r="AS143" s="203" t="s">
        <v>149</v>
      </c>
      <c r="AT143" s="203"/>
      <c r="AU143" s="203"/>
      <c r="AV143" s="203" t="s">
        <v>149</v>
      </c>
      <c r="AW143" s="203" t="s">
        <v>149</v>
      </c>
      <c r="AX143" s="203" t="s">
        <v>149</v>
      </c>
      <c r="AY143" s="203"/>
      <c r="AZ143" s="203" t="s">
        <v>149</v>
      </c>
      <c r="BA143" s="203" t="s">
        <v>149</v>
      </c>
      <c r="BB143" s="203" t="s">
        <v>149</v>
      </c>
      <c r="BC143" s="203"/>
      <c r="BD143" s="203"/>
      <c r="BE143" s="203"/>
      <c r="BF143" s="203" t="s">
        <v>149</v>
      </c>
      <c r="BG143" s="203" t="s">
        <v>149</v>
      </c>
      <c r="BH143" s="203" t="s">
        <v>149</v>
      </c>
      <c r="BI143" s="203" t="s">
        <v>149</v>
      </c>
      <c r="BJ143" s="252"/>
      <c r="BK143" s="252"/>
    </row>
    <row r="144" spans="1:63" ht="409.5">
      <c r="A144" s="124">
        <v>45709</v>
      </c>
      <c r="B144" s="125" t="s">
        <v>34</v>
      </c>
      <c r="C144" s="298" t="s">
        <v>653</v>
      </c>
      <c r="D144" s="125" t="s">
        <v>654</v>
      </c>
      <c r="E144" s="125" t="s">
        <v>655</v>
      </c>
      <c r="F144" s="126" t="s">
        <v>656</v>
      </c>
      <c r="G144" s="209" t="s">
        <v>648</v>
      </c>
      <c r="H144" s="212"/>
      <c r="I144" s="210"/>
      <c r="J144" s="203"/>
      <c r="K144" s="203"/>
      <c r="L144" s="203" t="s">
        <v>149</v>
      </c>
      <c r="M144" s="203"/>
      <c r="N144" s="203" t="s">
        <v>149</v>
      </c>
      <c r="O144" s="203" t="s">
        <v>149</v>
      </c>
      <c r="P144" s="203" t="s">
        <v>149</v>
      </c>
      <c r="Q144" s="203" t="s">
        <v>149</v>
      </c>
      <c r="R144" s="203"/>
      <c r="S144" s="203"/>
      <c r="T144" s="203"/>
      <c r="U144" s="203"/>
      <c r="V144" s="203"/>
      <c r="W144" s="203"/>
      <c r="X144" s="203" t="s">
        <v>149</v>
      </c>
      <c r="Y144" s="203" t="s">
        <v>149</v>
      </c>
      <c r="Z144" s="203" t="s">
        <v>149</v>
      </c>
      <c r="AA144" s="203" t="s">
        <v>149</v>
      </c>
      <c r="AB144" s="203" t="s">
        <v>149</v>
      </c>
      <c r="AC144" s="203" t="s">
        <v>149</v>
      </c>
      <c r="AD144" s="203" t="s">
        <v>149</v>
      </c>
      <c r="AE144" s="203" t="s">
        <v>149</v>
      </c>
      <c r="AF144" s="203" t="s">
        <v>149</v>
      </c>
      <c r="AG144" s="203" t="s">
        <v>149</v>
      </c>
      <c r="AH144" s="203" t="s">
        <v>149</v>
      </c>
      <c r="AI144" s="203" t="s">
        <v>149</v>
      </c>
      <c r="AJ144" s="203" t="s">
        <v>149</v>
      </c>
      <c r="AK144" s="203" t="s">
        <v>149</v>
      </c>
      <c r="AL144" s="203" t="s">
        <v>149</v>
      </c>
      <c r="AM144" s="203" t="s">
        <v>149</v>
      </c>
      <c r="AN144" s="203" t="s">
        <v>149</v>
      </c>
      <c r="AO144" s="203" t="s">
        <v>149</v>
      </c>
      <c r="AP144" s="203"/>
      <c r="AQ144" s="203" t="s">
        <v>149</v>
      </c>
      <c r="AR144" s="203" t="s">
        <v>149</v>
      </c>
      <c r="AS144" s="203" t="s">
        <v>149</v>
      </c>
      <c r="AT144" s="203"/>
      <c r="AU144" s="203"/>
      <c r="AV144" s="203" t="s">
        <v>149</v>
      </c>
      <c r="AW144" s="203" t="s">
        <v>149</v>
      </c>
      <c r="AX144" s="203" t="s">
        <v>149</v>
      </c>
      <c r="AY144" s="203"/>
      <c r="AZ144" s="203" t="s">
        <v>149</v>
      </c>
      <c r="BA144" s="203" t="s">
        <v>149</v>
      </c>
      <c r="BB144" s="203" t="s">
        <v>149</v>
      </c>
      <c r="BC144" s="203"/>
      <c r="BD144" s="203"/>
      <c r="BE144" s="203"/>
      <c r="BF144" s="203" t="s">
        <v>149</v>
      </c>
      <c r="BG144" s="203" t="s">
        <v>149</v>
      </c>
      <c r="BH144" s="203" t="s">
        <v>149</v>
      </c>
      <c r="BI144" s="203" t="s">
        <v>149</v>
      </c>
      <c r="BJ144" s="252"/>
      <c r="BK144" s="252"/>
    </row>
    <row r="145" spans="1:63" ht="409.5">
      <c r="A145" s="124">
        <v>45719</v>
      </c>
      <c r="B145" s="125" t="s">
        <v>34</v>
      </c>
      <c r="C145" s="298" t="s">
        <v>657</v>
      </c>
      <c r="D145" s="125" t="s">
        <v>658</v>
      </c>
      <c r="E145" s="125" t="s">
        <v>659</v>
      </c>
      <c r="F145" s="126" t="s">
        <v>660</v>
      </c>
      <c r="G145" s="209" t="s">
        <v>648</v>
      </c>
      <c r="H145" s="212"/>
      <c r="I145" s="210"/>
      <c r="J145" s="203"/>
      <c r="K145" s="203"/>
      <c r="L145" s="203" t="s">
        <v>149</v>
      </c>
      <c r="M145" s="203"/>
      <c r="N145" s="203" t="s">
        <v>149</v>
      </c>
      <c r="O145" s="203" t="s">
        <v>149</v>
      </c>
      <c r="P145" s="203" t="s">
        <v>149</v>
      </c>
      <c r="Q145" s="203" t="s">
        <v>149</v>
      </c>
      <c r="R145" s="203"/>
      <c r="S145" s="203"/>
      <c r="T145" s="203"/>
      <c r="U145" s="203"/>
      <c r="V145" s="203"/>
      <c r="W145" s="203"/>
      <c r="X145" s="203" t="s">
        <v>149</v>
      </c>
      <c r="Y145" s="203" t="s">
        <v>149</v>
      </c>
      <c r="Z145" s="203" t="s">
        <v>149</v>
      </c>
      <c r="AA145" s="203" t="s">
        <v>149</v>
      </c>
      <c r="AB145" s="203" t="s">
        <v>149</v>
      </c>
      <c r="AC145" s="203" t="s">
        <v>149</v>
      </c>
      <c r="AD145" s="203" t="s">
        <v>149</v>
      </c>
      <c r="AE145" s="203" t="s">
        <v>149</v>
      </c>
      <c r="AF145" s="203" t="s">
        <v>149</v>
      </c>
      <c r="AG145" s="203" t="s">
        <v>149</v>
      </c>
      <c r="AH145" s="203" t="s">
        <v>149</v>
      </c>
      <c r="AI145" s="203" t="s">
        <v>149</v>
      </c>
      <c r="AJ145" s="203" t="s">
        <v>149</v>
      </c>
      <c r="AK145" s="203" t="s">
        <v>149</v>
      </c>
      <c r="AL145" s="203" t="s">
        <v>149</v>
      </c>
      <c r="AM145" s="203" t="s">
        <v>149</v>
      </c>
      <c r="AN145" s="203" t="s">
        <v>149</v>
      </c>
      <c r="AO145" s="203" t="s">
        <v>149</v>
      </c>
      <c r="AP145" s="203"/>
      <c r="AQ145" s="203" t="s">
        <v>149</v>
      </c>
      <c r="AR145" s="203" t="s">
        <v>149</v>
      </c>
      <c r="AS145" s="203" t="s">
        <v>149</v>
      </c>
      <c r="AT145" s="203"/>
      <c r="AU145" s="203"/>
      <c r="AV145" s="203" t="s">
        <v>149</v>
      </c>
      <c r="AW145" s="203" t="s">
        <v>149</v>
      </c>
      <c r="AX145" s="203" t="s">
        <v>149</v>
      </c>
      <c r="AY145" s="203"/>
      <c r="AZ145" s="203" t="s">
        <v>149</v>
      </c>
      <c r="BA145" s="203" t="s">
        <v>149</v>
      </c>
      <c r="BB145" s="203" t="s">
        <v>149</v>
      </c>
      <c r="BC145" s="203"/>
      <c r="BD145" s="203"/>
      <c r="BE145" s="203"/>
      <c r="BF145" s="203" t="s">
        <v>149</v>
      </c>
      <c r="BG145" s="203" t="s">
        <v>149</v>
      </c>
      <c r="BH145" s="203" t="s">
        <v>149</v>
      </c>
      <c r="BI145" s="203" t="s">
        <v>149</v>
      </c>
      <c r="BJ145" s="252"/>
      <c r="BK145" s="252"/>
    </row>
    <row r="146" spans="1:63" ht="225">
      <c r="A146" s="124">
        <v>45719</v>
      </c>
      <c r="B146" s="125" t="s">
        <v>34</v>
      </c>
      <c r="C146" s="298" t="s">
        <v>649</v>
      </c>
      <c r="D146" s="125" t="s">
        <v>650</v>
      </c>
      <c r="E146" s="125" t="s">
        <v>651</v>
      </c>
      <c r="F146" s="126" t="s">
        <v>661</v>
      </c>
      <c r="G146" s="209" t="s">
        <v>648</v>
      </c>
      <c r="H146" s="212"/>
      <c r="I146" s="210"/>
      <c r="J146" s="203"/>
      <c r="K146" s="203"/>
      <c r="L146" s="203" t="s">
        <v>149</v>
      </c>
      <c r="M146" s="203"/>
      <c r="N146" s="203" t="s">
        <v>149</v>
      </c>
      <c r="O146" s="203" t="s">
        <v>149</v>
      </c>
      <c r="P146" s="203" t="s">
        <v>149</v>
      </c>
      <c r="Q146" s="203" t="s">
        <v>149</v>
      </c>
      <c r="R146" s="203"/>
      <c r="S146" s="203"/>
      <c r="T146" s="203"/>
      <c r="U146" s="203"/>
      <c r="V146" s="203"/>
      <c r="W146" s="203"/>
      <c r="X146" s="203" t="s">
        <v>149</v>
      </c>
      <c r="Y146" s="203" t="s">
        <v>149</v>
      </c>
      <c r="Z146" s="203" t="s">
        <v>149</v>
      </c>
      <c r="AA146" s="203" t="s">
        <v>149</v>
      </c>
      <c r="AB146" s="203" t="s">
        <v>149</v>
      </c>
      <c r="AC146" s="203" t="s">
        <v>149</v>
      </c>
      <c r="AD146" s="203" t="s">
        <v>149</v>
      </c>
      <c r="AE146" s="203" t="s">
        <v>149</v>
      </c>
      <c r="AF146" s="203" t="s">
        <v>149</v>
      </c>
      <c r="AG146" s="203" t="s">
        <v>149</v>
      </c>
      <c r="AH146" s="203" t="s">
        <v>149</v>
      </c>
      <c r="AI146" s="203" t="s">
        <v>149</v>
      </c>
      <c r="AJ146" s="203" t="s">
        <v>149</v>
      </c>
      <c r="AK146" s="203" t="s">
        <v>149</v>
      </c>
      <c r="AL146" s="203" t="s">
        <v>149</v>
      </c>
      <c r="AM146" s="203" t="s">
        <v>149</v>
      </c>
      <c r="AN146" s="203" t="s">
        <v>149</v>
      </c>
      <c r="AO146" s="203" t="s">
        <v>149</v>
      </c>
      <c r="AP146" s="203"/>
      <c r="AQ146" s="203" t="s">
        <v>149</v>
      </c>
      <c r="AR146" s="203" t="s">
        <v>149</v>
      </c>
      <c r="AS146" s="203" t="s">
        <v>149</v>
      </c>
      <c r="AT146" s="203"/>
      <c r="AU146" s="203"/>
      <c r="AV146" s="203" t="s">
        <v>149</v>
      </c>
      <c r="AW146" s="203" t="s">
        <v>149</v>
      </c>
      <c r="AX146" s="203" t="s">
        <v>149</v>
      </c>
      <c r="AY146" s="203"/>
      <c r="AZ146" s="203" t="s">
        <v>149</v>
      </c>
      <c r="BA146" s="203" t="s">
        <v>149</v>
      </c>
      <c r="BB146" s="203" t="s">
        <v>149</v>
      </c>
      <c r="BC146" s="203"/>
      <c r="BD146" s="203"/>
      <c r="BE146" s="203"/>
      <c r="BF146" s="203" t="s">
        <v>149</v>
      </c>
      <c r="BG146" s="203" t="s">
        <v>149</v>
      </c>
      <c r="BH146" s="203" t="s">
        <v>149</v>
      </c>
      <c r="BI146" s="203" t="s">
        <v>149</v>
      </c>
      <c r="BJ146" s="252"/>
      <c r="BK146" s="252"/>
    </row>
    <row r="147" spans="1:63" ht="409.5">
      <c r="A147" s="124">
        <v>45726</v>
      </c>
      <c r="B147" s="125" t="s">
        <v>34</v>
      </c>
      <c r="C147" s="298" t="s">
        <v>662</v>
      </c>
      <c r="D147" s="125" t="s">
        <v>663</v>
      </c>
      <c r="E147" s="125" t="s">
        <v>664</v>
      </c>
      <c r="F147" s="126" t="s">
        <v>665</v>
      </c>
      <c r="G147" s="209" t="s">
        <v>648</v>
      </c>
      <c r="H147" s="212"/>
      <c r="I147" s="210" t="s">
        <v>149</v>
      </c>
      <c r="J147" s="203" t="s">
        <v>149</v>
      </c>
      <c r="K147" s="203"/>
      <c r="L147" s="203" t="s">
        <v>149</v>
      </c>
      <c r="M147" s="203"/>
      <c r="N147" s="203" t="s">
        <v>149</v>
      </c>
      <c r="O147" s="203" t="s">
        <v>149</v>
      </c>
      <c r="P147" s="203" t="s">
        <v>149</v>
      </c>
      <c r="Q147" s="203" t="s">
        <v>149</v>
      </c>
      <c r="R147" s="203"/>
      <c r="S147" s="203"/>
      <c r="T147" s="203"/>
      <c r="U147" s="203"/>
      <c r="V147" s="203"/>
      <c r="W147" s="203"/>
      <c r="X147" s="203" t="s">
        <v>149</v>
      </c>
      <c r="Y147" s="203" t="s">
        <v>149</v>
      </c>
      <c r="Z147" s="203" t="s">
        <v>149</v>
      </c>
      <c r="AA147" s="203" t="s">
        <v>149</v>
      </c>
      <c r="AB147" s="203" t="s">
        <v>149</v>
      </c>
      <c r="AC147" s="203" t="s">
        <v>149</v>
      </c>
      <c r="AD147" s="203" t="s">
        <v>149</v>
      </c>
      <c r="AE147" s="203" t="s">
        <v>149</v>
      </c>
      <c r="AF147" s="203" t="s">
        <v>149</v>
      </c>
      <c r="AG147" s="203" t="s">
        <v>149</v>
      </c>
      <c r="AH147" s="203" t="s">
        <v>149</v>
      </c>
      <c r="AI147" s="203" t="s">
        <v>149</v>
      </c>
      <c r="AJ147" s="203" t="s">
        <v>149</v>
      </c>
      <c r="AK147" s="203" t="s">
        <v>149</v>
      </c>
      <c r="AL147" s="203" t="s">
        <v>149</v>
      </c>
      <c r="AM147" s="203" t="s">
        <v>149</v>
      </c>
      <c r="AN147" s="203" t="s">
        <v>149</v>
      </c>
      <c r="AO147" s="203" t="s">
        <v>149</v>
      </c>
      <c r="AP147" s="203"/>
      <c r="AQ147" s="203" t="s">
        <v>149</v>
      </c>
      <c r="AR147" s="203" t="s">
        <v>149</v>
      </c>
      <c r="AS147" s="203" t="s">
        <v>149</v>
      </c>
      <c r="AT147" s="203"/>
      <c r="AU147" s="203"/>
      <c r="AV147" s="203" t="s">
        <v>149</v>
      </c>
      <c r="AW147" s="203" t="s">
        <v>149</v>
      </c>
      <c r="AX147" s="203" t="s">
        <v>149</v>
      </c>
      <c r="AY147" s="203"/>
      <c r="AZ147" s="203" t="s">
        <v>149</v>
      </c>
      <c r="BA147" s="203" t="s">
        <v>149</v>
      </c>
      <c r="BB147" s="203" t="s">
        <v>149</v>
      </c>
      <c r="BC147" s="203"/>
      <c r="BD147" s="203"/>
      <c r="BE147" s="203"/>
      <c r="BF147" s="203" t="s">
        <v>149</v>
      </c>
      <c r="BG147" s="203" t="s">
        <v>149</v>
      </c>
      <c r="BH147" s="203" t="s">
        <v>149</v>
      </c>
      <c r="BI147" s="203" t="s">
        <v>149</v>
      </c>
      <c r="BJ147" s="252"/>
      <c r="BK147" s="252"/>
    </row>
    <row r="148" spans="1:63" ht="225">
      <c r="A148" s="124">
        <v>45733</v>
      </c>
      <c r="B148" s="125" t="s">
        <v>34</v>
      </c>
      <c r="C148" s="298" t="s">
        <v>649</v>
      </c>
      <c r="D148" s="125" t="s">
        <v>650</v>
      </c>
      <c r="E148" s="125" t="s">
        <v>651</v>
      </c>
      <c r="F148" s="126" t="s">
        <v>666</v>
      </c>
      <c r="G148" s="209" t="s">
        <v>648</v>
      </c>
      <c r="H148" s="212"/>
      <c r="I148" s="210"/>
      <c r="J148" s="203"/>
      <c r="K148" s="203"/>
      <c r="L148" s="203" t="s">
        <v>149</v>
      </c>
      <c r="M148" s="203"/>
      <c r="N148" s="203" t="s">
        <v>149</v>
      </c>
      <c r="O148" s="203" t="s">
        <v>149</v>
      </c>
      <c r="P148" s="203" t="s">
        <v>149</v>
      </c>
      <c r="Q148" s="203" t="s">
        <v>149</v>
      </c>
      <c r="R148" s="203"/>
      <c r="S148" s="203"/>
      <c r="T148" s="203"/>
      <c r="U148" s="203"/>
      <c r="V148" s="203"/>
      <c r="W148" s="203"/>
      <c r="X148" s="203" t="s">
        <v>149</v>
      </c>
      <c r="Y148" s="203" t="s">
        <v>149</v>
      </c>
      <c r="Z148" s="203" t="s">
        <v>149</v>
      </c>
      <c r="AA148" s="203" t="s">
        <v>149</v>
      </c>
      <c r="AB148" s="203" t="s">
        <v>149</v>
      </c>
      <c r="AC148" s="203" t="s">
        <v>149</v>
      </c>
      <c r="AD148" s="203" t="s">
        <v>149</v>
      </c>
      <c r="AE148" s="203" t="s">
        <v>149</v>
      </c>
      <c r="AF148" s="203" t="s">
        <v>149</v>
      </c>
      <c r="AG148" s="203" t="s">
        <v>149</v>
      </c>
      <c r="AH148" s="203" t="s">
        <v>149</v>
      </c>
      <c r="AI148" s="203" t="s">
        <v>149</v>
      </c>
      <c r="AJ148" s="203" t="s">
        <v>149</v>
      </c>
      <c r="AK148" s="203" t="s">
        <v>149</v>
      </c>
      <c r="AL148" s="203" t="s">
        <v>149</v>
      </c>
      <c r="AM148" s="203" t="s">
        <v>149</v>
      </c>
      <c r="AN148" s="203" t="s">
        <v>149</v>
      </c>
      <c r="AO148" s="203" t="s">
        <v>149</v>
      </c>
      <c r="AP148" s="203"/>
      <c r="AQ148" s="203" t="s">
        <v>149</v>
      </c>
      <c r="AR148" s="203" t="s">
        <v>149</v>
      </c>
      <c r="AS148" s="203" t="s">
        <v>149</v>
      </c>
      <c r="AT148" s="203"/>
      <c r="AU148" s="203"/>
      <c r="AV148" s="203" t="s">
        <v>149</v>
      </c>
      <c r="AW148" s="203" t="s">
        <v>149</v>
      </c>
      <c r="AX148" s="203" t="s">
        <v>149</v>
      </c>
      <c r="AY148" s="203"/>
      <c r="AZ148" s="203" t="s">
        <v>149</v>
      </c>
      <c r="BA148" s="203" t="s">
        <v>149</v>
      </c>
      <c r="BB148" s="203" t="s">
        <v>149</v>
      </c>
      <c r="BC148" s="203"/>
      <c r="BD148" s="203"/>
      <c r="BE148" s="203"/>
      <c r="BF148" s="203" t="s">
        <v>149</v>
      </c>
      <c r="BG148" s="203" t="s">
        <v>149</v>
      </c>
      <c r="BH148" s="203" t="s">
        <v>149</v>
      </c>
      <c r="BI148" s="203" t="s">
        <v>149</v>
      </c>
      <c r="BJ148" s="252"/>
      <c r="BK148" s="252"/>
    </row>
    <row r="149" spans="1:63" ht="390">
      <c r="A149" s="124">
        <v>45737</v>
      </c>
      <c r="B149" s="125" t="s">
        <v>34</v>
      </c>
      <c r="C149" s="298" t="s">
        <v>667</v>
      </c>
      <c r="D149" s="125" t="s">
        <v>668</v>
      </c>
      <c r="E149" s="125" t="s">
        <v>669</v>
      </c>
      <c r="F149" s="126" t="s">
        <v>670</v>
      </c>
      <c r="G149" s="209" t="s">
        <v>648</v>
      </c>
      <c r="H149" s="212"/>
      <c r="I149" s="210" t="s">
        <v>149</v>
      </c>
      <c r="J149" s="203" t="s">
        <v>149</v>
      </c>
      <c r="K149" s="203"/>
      <c r="L149" s="203" t="s">
        <v>149</v>
      </c>
      <c r="M149" s="203"/>
      <c r="N149" s="203" t="s">
        <v>149</v>
      </c>
      <c r="O149" s="203" t="s">
        <v>149</v>
      </c>
      <c r="P149" s="203" t="s">
        <v>149</v>
      </c>
      <c r="Q149" s="203" t="s">
        <v>149</v>
      </c>
      <c r="R149" s="203"/>
      <c r="S149" s="203"/>
      <c r="T149" s="203"/>
      <c r="U149" s="203"/>
      <c r="V149" s="203"/>
      <c r="W149" s="203"/>
      <c r="X149" s="203" t="s">
        <v>149</v>
      </c>
      <c r="Y149" s="203" t="s">
        <v>149</v>
      </c>
      <c r="Z149" s="203" t="s">
        <v>149</v>
      </c>
      <c r="AA149" s="203" t="s">
        <v>149</v>
      </c>
      <c r="AB149" s="203" t="s">
        <v>149</v>
      </c>
      <c r="AC149" s="203" t="s">
        <v>149</v>
      </c>
      <c r="AD149" s="203" t="s">
        <v>149</v>
      </c>
      <c r="AE149" s="203" t="s">
        <v>149</v>
      </c>
      <c r="AF149" s="203" t="s">
        <v>149</v>
      </c>
      <c r="AG149" s="203" t="s">
        <v>149</v>
      </c>
      <c r="AH149" s="203" t="s">
        <v>149</v>
      </c>
      <c r="AI149" s="203" t="s">
        <v>149</v>
      </c>
      <c r="AJ149" s="203" t="s">
        <v>149</v>
      </c>
      <c r="AK149" s="203" t="s">
        <v>149</v>
      </c>
      <c r="AL149" s="203" t="s">
        <v>149</v>
      </c>
      <c r="AM149" s="203" t="s">
        <v>149</v>
      </c>
      <c r="AN149" s="203" t="s">
        <v>149</v>
      </c>
      <c r="AO149" s="203" t="s">
        <v>149</v>
      </c>
      <c r="AP149" s="203"/>
      <c r="AQ149" s="203" t="s">
        <v>149</v>
      </c>
      <c r="AR149" s="203" t="s">
        <v>149</v>
      </c>
      <c r="AS149" s="203" t="s">
        <v>149</v>
      </c>
      <c r="AT149" s="203"/>
      <c r="AU149" s="203"/>
      <c r="AV149" s="203" t="s">
        <v>149</v>
      </c>
      <c r="AW149" s="203" t="s">
        <v>149</v>
      </c>
      <c r="AX149" s="203" t="s">
        <v>149</v>
      </c>
      <c r="AY149" s="203"/>
      <c r="AZ149" s="203" t="s">
        <v>149</v>
      </c>
      <c r="BA149" s="203" t="s">
        <v>149</v>
      </c>
      <c r="BB149" s="203" t="s">
        <v>149</v>
      </c>
      <c r="BC149" s="203"/>
      <c r="BD149" s="203"/>
      <c r="BE149" s="203"/>
      <c r="BF149" s="203" t="s">
        <v>149</v>
      </c>
      <c r="BG149" s="203" t="s">
        <v>149</v>
      </c>
      <c r="BH149" s="203" t="s">
        <v>149</v>
      </c>
      <c r="BI149" s="203" t="s">
        <v>149</v>
      </c>
      <c r="BJ149" s="252"/>
      <c r="BK149" s="252"/>
    </row>
    <row r="150" spans="1:63" ht="409.5">
      <c r="A150" s="124">
        <v>45744</v>
      </c>
      <c r="B150" s="125" t="s">
        <v>34</v>
      </c>
      <c r="C150" s="298" t="s">
        <v>671</v>
      </c>
      <c r="D150" s="125" t="s">
        <v>672</v>
      </c>
      <c r="E150" s="125" t="s">
        <v>673</v>
      </c>
      <c r="F150" s="126" t="s">
        <v>674</v>
      </c>
      <c r="G150" s="209" t="s">
        <v>648</v>
      </c>
      <c r="H150" s="212"/>
      <c r="I150" s="210" t="s">
        <v>149</v>
      </c>
      <c r="J150" s="203" t="s">
        <v>149</v>
      </c>
      <c r="K150" s="203"/>
      <c r="L150" s="203" t="s">
        <v>149</v>
      </c>
      <c r="M150" s="203"/>
      <c r="N150" s="203" t="s">
        <v>149</v>
      </c>
      <c r="O150" s="203" t="s">
        <v>149</v>
      </c>
      <c r="P150" s="203" t="s">
        <v>149</v>
      </c>
      <c r="Q150" s="203" t="s">
        <v>149</v>
      </c>
      <c r="R150" s="203"/>
      <c r="S150" s="203"/>
      <c r="T150" s="203"/>
      <c r="U150" s="203"/>
      <c r="V150" s="203"/>
      <c r="W150" s="203"/>
      <c r="X150" s="203" t="s">
        <v>149</v>
      </c>
      <c r="Y150" s="203" t="s">
        <v>149</v>
      </c>
      <c r="Z150" s="203" t="s">
        <v>149</v>
      </c>
      <c r="AA150" s="203" t="s">
        <v>149</v>
      </c>
      <c r="AB150" s="203" t="s">
        <v>149</v>
      </c>
      <c r="AC150" s="203" t="s">
        <v>149</v>
      </c>
      <c r="AD150" s="203" t="s">
        <v>149</v>
      </c>
      <c r="AE150" s="203" t="s">
        <v>149</v>
      </c>
      <c r="AF150" s="203" t="s">
        <v>149</v>
      </c>
      <c r="AG150" s="203" t="s">
        <v>149</v>
      </c>
      <c r="AH150" s="203" t="s">
        <v>149</v>
      </c>
      <c r="AI150" s="203" t="s">
        <v>149</v>
      </c>
      <c r="AJ150" s="203" t="s">
        <v>149</v>
      </c>
      <c r="AK150" s="203" t="s">
        <v>149</v>
      </c>
      <c r="AL150" s="203" t="s">
        <v>149</v>
      </c>
      <c r="AM150" s="203" t="s">
        <v>149</v>
      </c>
      <c r="AN150" s="203" t="s">
        <v>149</v>
      </c>
      <c r="AO150" s="203" t="s">
        <v>149</v>
      </c>
      <c r="AP150" s="203"/>
      <c r="AQ150" s="203" t="s">
        <v>149</v>
      </c>
      <c r="AR150" s="203" t="s">
        <v>149</v>
      </c>
      <c r="AS150" s="203" t="s">
        <v>149</v>
      </c>
      <c r="AT150" s="203"/>
      <c r="AU150" s="203"/>
      <c r="AV150" s="203" t="s">
        <v>149</v>
      </c>
      <c r="AW150" s="203" t="s">
        <v>149</v>
      </c>
      <c r="AX150" s="203" t="s">
        <v>149</v>
      </c>
      <c r="AY150" s="203"/>
      <c r="AZ150" s="203" t="s">
        <v>149</v>
      </c>
      <c r="BA150" s="203" t="s">
        <v>149</v>
      </c>
      <c r="BB150" s="203" t="s">
        <v>149</v>
      </c>
      <c r="BC150" s="203"/>
      <c r="BD150" s="203"/>
      <c r="BE150" s="203"/>
      <c r="BF150" s="203" t="s">
        <v>149</v>
      </c>
      <c r="BG150" s="203" t="s">
        <v>149</v>
      </c>
      <c r="BH150" s="203" t="s">
        <v>149</v>
      </c>
      <c r="BI150" s="203" t="s">
        <v>149</v>
      </c>
      <c r="BJ150" s="252"/>
      <c r="BK150" s="252"/>
    </row>
    <row r="151" spans="1:63" ht="225">
      <c r="A151" s="124">
        <v>45758</v>
      </c>
      <c r="B151" s="125" t="s">
        <v>34</v>
      </c>
      <c r="C151" s="298" t="s">
        <v>675</v>
      </c>
      <c r="D151" s="125" t="s">
        <v>676</v>
      </c>
      <c r="E151" s="125" t="s">
        <v>677</v>
      </c>
      <c r="F151" s="126" t="s">
        <v>678</v>
      </c>
      <c r="G151" s="209" t="s">
        <v>648</v>
      </c>
      <c r="H151" s="212"/>
      <c r="I151" s="210" t="s">
        <v>149</v>
      </c>
      <c r="J151" s="203" t="s">
        <v>149</v>
      </c>
      <c r="K151" s="203"/>
      <c r="L151" s="203" t="s">
        <v>149</v>
      </c>
      <c r="M151" s="203"/>
      <c r="N151" s="203" t="s">
        <v>149</v>
      </c>
      <c r="O151" s="203" t="s">
        <v>149</v>
      </c>
      <c r="P151" s="203" t="s">
        <v>149</v>
      </c>
      <c r="Q151" s="203" t="s">
        <v>149</v>
      </c>
      <c r="R151" s="203"/>
      <c r="S151" s="203"/>
      <c r="T151" s="203"/>
      <c r="U151" s="203"/>
      <c r="V151" s="203"/>
      <c r="W151" s="203"/>
      <c r="X151" s="203" t="s">
        <v>149</v>
      </c>
      <c r="Y151" s="203" t="s">
        <v>149</v>
      </c>
      <c r="Z151" s="203" t="s">
        <v>149</v>
      </c>
      <c r="AA151" s="203" t="s">
        <v>149</v>
      </c>
      <c r="AB151" s="203" t="s">
        <v>149</v>
      </c>
      <c r="AC151" s="203" t="s">
        <v>149</v>
      </c>
      <c r="AD151" s="203" t="s">
        <v>149</v>
      </c>
      <c r="AE151" s="203" t="s">
        <v>149</v>
      </c>
      <c r="AF151" s="203" t="s">
        <v>149</v>
      </c>
      <c r="AG151" s="203" t="s">
        <v>149</v>
      </c>
      <c r="AH151" s="203" t="s">
        <v>149</v>
      </c>
      <c r="AI151" s="203" t="s">
        <v>149</v>
      </c>
      <c r="AJ151" s="203" t="s">
        <v>149</v>
      </c>
      <c r="AK151" s="203" t="s">
        <v>149</v>
      </c>
      <c r="AL151" s="203" t="s">
        <v>149</v>
      </c>
      <c r="AM151" s="203" t="s">
        <v>149</v>
      </c>
      <c r="AN151" s="203" t="s">
        <v>149</v>
      </c>
      <c r="AO151" s="203" t="s">
        <v>149</v>
      </c>
      <c r="AP151" s="203"/>
      <c r="AQ151" s="203" t="s">
        <v>149</v>
      </c>
      <c r="AR151" s="203" t="s">
        <v>149</v>
      </c>
      <c r="AS151" s="203" t="s">
        <v>149</v>
      </c>
      <c r="AT151" s="203"/>
      <c r="AU151" s="203"/>
      <c r="AV151" s="203" t="s">
        <v>149</v>
      </c>
      <c r="AW151" s="203" t="s">
        <v>149</v>
      </c>
      <c r="AX151" s="203" t="s">
        <v>149</v>
      </c>
      <c r="AY151" s="203"/>
      <c r="AZ151" s="203" t="s">
        <v>149</v>
      </c>
      <c r="BA151" s="203" t="s">
        <v>149</v>
      </c>
      <c r="BB151" s="203" t="s">
        <v>149</v>
      </c>
      <c r="BC151" s="203"/>
      <c r="BD151" s="203"/>
      <c r="BE151" s="203"/>
      <c r="BF151" s="203" t="s">
        <v>149</v>
      </c>
      <c r="BG151" s="203" t="s">
        <v>149</v>
      </c>
      <c r="BH151" s="203" t="s">
        <v>149</v>
      </c>
      <c r="BI151" s="203" t="s">
        <v>149</v>
      </c>
      <c r="BJ151" s="252"/>
      <c r="BK151" s="252"/>
    </row>
    <row r="152" spans="1:63" ht="409.5">
      <c r="A152" s="124">
        <v>45772</v>
      </c>
      <c r="B152" s="125" t="s">
        <v>34</v>
      </c>
      <c r="C152" s="298" t="s">
        <v>679</v>
      </c>
      <c r="D152" s="125" t="s">
        <v>680</v>
      </c>
      <c r="E152" s="125" t="s">
        <v>681</v>
      </c>
      <c r="F152" s="126" t="s">
        <v>682</v>
      </c>
      <c r="G152" s="209" t="s">
        <v>648</v>
      </c>
      <c r="H152" s="212"/>
      <c r="I152" s="210" t="s">
        <v>149</v>
      </c>
      <c r="J152" s="203" t="s">
        <v>149</v>
      </c>
      <c r="K152" s="203"/>
      <c r="L152" s="203" t="s">
        <v>149</v>
      </c>
      <c r="M152" s="203"/>
      <c r="N152" s="203" t="s">
        <v>149</v>
      </c>
      <c r="O152" s="203" t="s">
        <v>149</v>
      </c>
      <c r="P152" s="203" t="s">
        <v>149</v>
      </c>
      <c r="Q152" s="203" t="s">
        <v>149</v>
      </c>
      <c r="R152" s="203"/>
      <c r="S152" s="203"/>
      <c r="T152" s="203"/>
      <c r="U152" s="203"/>
      <c r="V152" s="203"/>
      <c r="W152" s="203"/>
      <c r="X152" s="203" t="s">
        <v>149</v>
      </c>
      <c r="Y152" s="203" t="s">
        <v>149</v>
      </c>
      <c r="Z152" s="203" t="s">
        <v>149</v>
      </c>
      <c r="AA152" s="203" t="s">
        <v>149</v>
      </c>
      <c r="AB152" s="203" t="s">
        <v>149</v>
      </c>
      <c r="AC152" s="203" t="s">
        <v>149</v>
      </c>
      <c r="AD152" s="203" t="s">
        <v>149</v>
      </c>
      <c r="AE152" s="203" t="s">
        <v>149</v>
      </c>
      <c r="AF152" s="203" t="s">
        <v>149</v>
      </c>
      <c r="AG152" s="203" t="s">
        <v>149</v>
      </c>
      <c r="AH152" s="203" t="s">
        <v>149</v>
      </c>
      <c r="AI152" s="203" t="s">
        <v>149</v>
      </c>
      <c r="AJ152" s="203" t="s">
        <v>149</v>
      </c>
      <c r="AK152" s="203" t="s">
        <v>149</v>
      </c>
      <c r="AL152" s="203" t="s">
        <v>149</v>
      </c>
      <c r="AM152" s="203" t="s">
        <v>149</v>
      </c>
      <c r="AN152" s="203" t="s">
        <v>149</v>
      </c>
      <c r="AO152" s="203" t="s">
        <v>149</v>
      </c>
      <c r="AP152" s="203"/>
      <c r="AQ152" s="203" t="s">
        <v>149</v>
      </c>
      <c r="AR152" s="203" t="s">
        <v>149</v>
      </c>
      <c r="AS152" s="203" t="s">
        <v>149</v>
      </c>
      <c r="AT152" s="203"/>
      <c r="AU152" s="203"/>
      <c r="AV152" s="203" t="s">
        <v>149</v>
      </c>
      <c r="AW152" s="203" t="s">
        <v>149</v>
      </c>
      <c r="AX152" s="203" t="s">
        <v>149</v>
      </c>
      <c r="AY152" s="203"/>
      <c r="AZ152" s="203" t="s">
        <v>149</v>
      </c>
      <c r="BA152" s="203" t="s">
        <v>149</v>
      </c>
      <c r="BB152" s="203" t="s">
        <v>149</v>
      </c>
      <c r="BC152" s="203"/>
      <c r="BD152" s="203"/>
      <c r="BE152" s="203"/>
      <c r="BF152" s="203" t="s">
        <v>149</v>
      </c>
      <c r="BG152" s="203" t="s">
        <v>149</v>
      </c>
      <c r="BH152" s="203" t="s">
        <v>149</v>
      </c>
      <c r="BI152" s="203" t="s">
        <v>149</v>
      </c>
      <c r="BJ152" s="252"/>
      <c r="BK152" s="252"/>
    </row>
    <row r="153" spans="1:63" ht="409.5">
      <c r="A153" s="124">
        <v>45779</v>
      </c>
      <c r="B153" s="125" t="s">
        <v>34</v>
      </c>
      <c r="C153" s="298" t="s">
        <v>683</v>
      </c>
      <c r="D153" s="125" t="s">
        <v>684</v>
      </c>
      <c r="E153" s="125" t="s">
        <v>685</v>
      </c>
      <c r="F153" s="126" t="s">
        <v>686</v>
      </c>
      <c r="G153" s="209" t="s">
        <v>648</v>
      </c>
      <c r="H153" s="212"/>
      <c r="I153" s="210" t="s">
        <v>149</v>
      </c>
      <c r="J153" s="203" t="s">
        <v>149</v>
      </c>
      <c r="K153" s="203"/>
      <c r="L153" s="203" t="s">
        <v>149</v>
      </c>
      <c r="M153" s="203"/>
      <c r="N153" s="203" t="s">
        <v>149</v>
      </c>
      <c r="O153" s="203" t="s">
        <v>149</v>
      </c>
      <c r="P153" s="203" t="s">
        <v>149</v>
      </c>
      <c r="Q153" s="203" t="s">
        <v>149</v>
      </c>
      <c r="R153" s="203"/>
      <c r="S153" s="203"/>
      <c r="T153" s="203"/>
      <c r="U153" s="203"/>
      <c r="V153" s="203"/>
      <c r="W153" s="203"/>
      <c r="X153" s="203" t="s">
        <v>149</v>
      </c>
      <c r="Y153" s="203" t="s">
        <v>149</v>
      </c>
      <c r="Z153" s="203" t="s">
        <v>149</v>
      </c>
      <c r="AA153" s="203" t="s">
        <v>149</v>
      </c>
      <c r="AB153" s="203" t="s">
        <v>149</v>
      </c>
      <c r="AC153" s="203" t="s">
        <v>149</v>
      </c>
      <c r="AD153" s="203" t="s">
        <v>149</v>
      </c>
      <c r="AE153" s="203" t="s">
        <v>149</v>
      </c>
      <c r="AF153" s="203" t="s">
        <v>149</v>
      </c>
      <c r="AG153" s="203" t="s">
        <v>149</v>
      </c>
      <c r="AH153" s="203" t="s">
        <v>149</v>
      </c>
      <c r="AI153" s="203" t="s">
        <v>149</v>
      </c>
      <c r="AJ153" s="203" t="s">
        <v>149</v>
      </c>
      <c r="AK153" s="203" t="s">
        <v>149</v>
      </c>
      <c r="AL153" s="203" t="s">
        <v>149</v>
      </c>
      <c r="AM153" s="203" t="s">
        <v>149</v>
      </c>
      <c r="AN153" s="203" t="s">
        <v>149</v>
      </c>
      <c r="AO153" s="203" t="s">
        <v>149</v>
      </c>
      <c r="AP153" s="203"/>
      <c r="AQ153" s="203" t="s">
        <v>149</v>
      </c>
      <c r="AR153" s="203" t="s">
        <v>149</v>
      </c>
      <c r="AS153" s="203" t="s">
        <v>149</v>
      </c>
      <c r="AT153" s="203"/>
      <c r="AU153" s="203"/>
      <c r="AV153" s="203" t="s">
        <v>149</v>
      </c>
      <c r="AW153" s="203" t="s">
        <v>149</v>
      </c>
      <c r="AX153" s="203" t="s">
        <v>149</v>
      </c>
      <c r="AY153" s="203"/>
      <c r="AZ153" s="203" t="s">
        <v>149</v>
      </c>
      <c r="BA153" s="203" t="s">
        <v>149</v>
      </c>
      <c r="BB153" s="203" t="s">
        <v>149</v>
      </c>
      <c r="BC153" s="203"/>
      <c r="BD153" s="203"/>
      <c r="BE153" s="203"/>
      <c r="BF153" s="203" t="s">
        <v>149</v>
      </c>
      <c r="BG153" s="203" t="s">
        <v>149</v>
      </c>
      <c r="BH153" s="203" t="s">
        <v>149</v>
      </c>
      <c r="BI153" s="203" t="s">
        <v>149</v>
      </c>
      <c r="BJ153" s="252"/>
      <c r="BK153" s="252"/>
    </row>
    <row r="154" spans="1:63" ht="225">
      <c r="A154" s="124">
        <v>45786</v>
      </c>
      <c r="B154" s="125" t="s">
        <v>34</v>
      </c>
      <c r="C154" s="298" t="s">
        <v>687</v>
      </c>
      <c r="D154" s="125" t="s">
        <v>688</v>
      </c>
      <c r="E154" s="125" t="s">
        <v>689</v>
      </c>
      <c r="F154" s="126" t="s">
        <v>690</v>
      </c>
      <c r="G154" s="209" t="s">
        <v>648</v>
      </c>
      <c r="H154" s="212"/>
      <c r="I154" s="210" t="s">
        <v>149</v>
      </c>
      <c r="J154" s="203" t="s">
        <v>149</v>
      </c>
      <c r="K154" s="203"/>
      <c r="L154" s="203" t="s">
        <v>149</v>
      </c>
      <c r="M154" s="203"/>
      <c r="N154" s="203" t="s">
        <v>149</v>
      </c>
      <c r="O154" s="203" t="s">
        <v>149</v>
      </c>
      <c r="P154" s="203" t="s">
        <v>149</v>
      </c>
      <c r="Q154" s="203" t="s">
        <v>149</v>
      </c>
      <c r="R154" s="203"/>
      <c r="S154" s="203"/>
      <c r="T154" s="203"/>
      <c r="U154" s="203"/>
      <c r="V154" s="203"/>
      <c r="W154" s="203"/>
      <c r="X154" s="203" t="s">
        <v>149</v>
      </c>
      <c r="Y154" s="203" t="s">
        <v>149</v>
      </c>
      <c r="Z154" s="203" t="s">
        <v>149</v>
      </c>
      <c r="AA154" s="203" t="s">
        <v>149</v>
      </c>
      <c r="AB154" s="203" t="s">
        <v>149</v>
      </c>
      <c r="AC154" s="203" t="s">
        <v>149</v>
      </c>
      <c r="AD154" s="203" t="s">
        <v>149</v>
      </c>
      <c r="AE154" s="203" t="s">
        <v>149</v>
      </c>
      <c r="AF154" s="203" t="s">
        <v>149</v>
      </c>
      <c r="AG154" s="203" t="s">
        <v>149</v>
      </c>
      <c r="AH154" s="203" t="s">
        <v>149</v>
      </c>
      <c r="AI154" s="203" t="s">
        <v>149</v>
      </c>
      <c r="AJ154" s="203" t="s">
        <v>149</v>
      </c>
      <c r="AK154" s="203" t="s">
        <v>149</v>
      </c>
      <c r="AL154" s="203" t="s">
        <v>149</v>
      </c>
      <c r="AM154" s="203" t="s">
        <v>149</v>
      </c>
      <c r="AN154" s="203" t="s">
        <v>149</v>
      </c>
      <c r="AO154" s="203" t="s">
        <v>149</v>
      </c>
      <c r="AP154" s="203"/>
      <c r="AQ154" s="203" t="s">
        <v>149</v>
      </c>
      <c r="AR154" s="203" t="s">
        <v>149</v>
      </c>
      <c r="AS154" s="203" t="s">
        <v>149</v>
      </c>
      <c r="AT154" s="203"/>
      <c r="AU154" s="203"/>
      <c r="AV154" s="203" t="s">
        <v>149</v>
      </c>
      <c r="AW154" s="203" t="s">
        <v>149</v>
      </c>
      <c r="AX154" s="203" t="s">
        <v>149</v>
      </c>
      <c r="AY154" s="203"/>
      <c r="AZ154" s="203" t="s">
        <v>149</v>
      </c>
      <c r="BA154" s="203" t="s">
        <v>149</v>
      </c>
      <c r="BB154" s="203" t="s">
        <v>149</v>
      </c>
      <c r="BC154" s="203"/>
      <c r="BD154" s="203"/>
      <c r="BE154" s="203"/>
      <c r="BF154" s="203" t="s">
        <v>149</v>
      </c>
      <c r="BG154" s="203" t="s">
        <v>149</v>
      </c>
      <c r="BH154" s="203" t="s">
        <v>149</v>
      </c>
      <c r="BI154" s="203" t="s">
        <v>149</v>
      </c>
      <c r="BJ154" s="252"/>
      <c r="BK154" s="252"/>
    </row>
    <row r="155" spans="1:63" ht="225">
      <c r="A155" s="124">
        <v>45793</v>
      </c>
      <c r="B155" s="125" t="s">
        <v>34</v>
      </c>
      <c r="C155" s="298" t="s">
        <v>691</v>
      </c>
      <c r="D155" s="125" t="s">
        <v>692</v>
      </c>
      <c r="E155" s="125" t="s">
        <v>693</v>
      </c>
      <c r="F155" s="126" t="s">
        <v>694</v>
      </c>
      <c r="G155" s="209" t="s">
        <v>648</v>
      </c>
      <c r="H155" s="212"/>
      <c r="I155" s="210" t="s">
        <v>149</v>
      </c>
      <c r="J155" s="203" t="s">
        <v>149</v>
      </c>
      <c r="K155" s="203"/>
      <c r="L155" s="203" t="s">
        <v>149</v>
      </c>
      <c r="M155" s="203"/>
      <c r="N155" s="203" t="s">
        <v>149</v>
      </c>
      <c r="O155" s="203" t="s">
        <v>149</v>
      </c>
      <c r="P155" s="203" t="s">
        <v>149</v>
      </c>
      <c r="Q155" s="203" t="s">
        <v>149</v>
      </c>
      <c r="R155" s="203"/>
      <c r="S155" s="203"/>
      <c r="T155" s="203"/>
      <c r="U155" s="203"/>
      <c r="V155" s="203"/>
      <c r="W155" s="203"/>
      <c r="X155" s="203" t="s">
        <v>149</v>
      </c>
      <c r="Y155" s="203" t="s">
        <v>149</v>
      </c>
      <c r="Z155" s="203" t="s">
        <v>149</v>
      </c>
      <c r="AA155" s="203" t="s">
        <v>149</v>
      </c>
      <c r="AB155" s="203" t="s">
        <v>149</v>
      </c>
      <c r="AC155" s="203" t="s">
        <v>149</v>
      </c>
      <c r="AD155" s="203" t="s">
        <v>149</v>
      </c>
      <c r="AE155" s="203" t="s">
        <v>149</v>
      </c>
      <c r="AF155" s="203" t="s">
        <v>149</v>
      </c>
      <c r="AG155" s="203" t="s">
        <v>149</v>
      </c>
      <c r="AH155" s="203" t="s">
        <v>149</v>
      </c>
      <c r="AI155" s="203" t="s">
        <v>149</v>
      </c>
      <c r="AJ155" s="203" t="s">
        <v>149</v>
      </c>
      <c r="AK155" s="203" t="s">
        <v>149</v>
      </c>
      <c r="AL155" s="203" t="s">
        <v>149</v>
      </c>
      <c r="AM155" s="203" t="s">
        <v>149</v>
      </c>
      <c r="AN155" s="203" t="s">
        <v>149</v>
      </c>
      <c r="AO155" s="203" t="s">
        <v>149</v>
      </c>
      <c r="AP155" s="203"/>
      <c r="AQ155" s="203" t="s">
        <v>149</v>
      </c>
      <c r="AR155" s="203" t="s">
        <v>149</v>
      </c>
      <c r="AS155" s="203" t="s">
        <v>149</v>
      </c>
      <c r="AT155" s="203"/>
      <c r="AU155" s="203"/>
      <c r="AV155" s="203" t="s">
        <v>149</v>
      </c>
      <c r="AW155" s="203" t="s">
        <v>149</v>
      </c>
      <c r="AX155" s="203" t="s">
        <v>149</v>
      </c>
      <c r="AY155" s="203"/>
      <c r="AZ155" s="203" t="s">
        <v>149</v>
      </c>
      <c r="BA155" s="203" t="s">
        <v>149</v>
      </c>
      <c r="BB155" s="203" t="s">
        <v>149</v>
      </c>
      <c r="BC155" s="203"/>
      <c r="BD155" s="203"/>
      <c r="BE155" s="203"/>
      <c r="BF155" s="203" t="s">
        <v>149</v>
      </c>
      <c r="BG155" s="203" t="s">
        <v>149</v>
      </c>
      <c r="BH155" s="203" t="s">
        <v>149</v>
      </c>
      <c r="BI155" s="203" t="s">
        <v>149</v>
      </c>
      <c r="BJ155" s="252"/>
      <c r="BK155" s="252"/>
    </row>
    <row r="156" spans="1:63" ht="409.5">
      <c r="A156" s="124">
        <v>45810</v>
      </c>
      <c r="B156" s="125" t="s">
        <v>34</v>
      </c>
      <c r="C156" s="298" t="s">
        <v>695</v>
      </c>
      <c r="D156" s="125" t="s">
        <v>696</v>
      </c>
      <c r="E156" s="125" t="s">
        <v>697</v>
      </c>
      <c r="F156" s="126" t="s">
        <v>698</v>
      </c>
      <c r="G156" s="209" t="s">
        <v>648</v>
      </c>
      <c r="H156" s="212"/>
      <c r="I156" s="210" t="s">
        <v>149</v>
      </c>
      <c r="J156" s="203" t="s">
        <v>149</v>
      </c>
      <c r="K156" s="203"/>
      <c r="L156" s="203" t="s">
        <v>149</v>
      </c>
      <c r="M156" s="203"/>
      <c r="N156" s="203" t="s">
        <v>149</v>
      </c>
      <c r="O156" s="203" t="s">
        <v>149</v>
      </c>
      <c r="P156" s="203" t="s">
        <v>149</v>
      </c>
      <c r="Q156" s="203" t="s">
        <v>149</v>
      </c>
      <c r="R156" s="203"/>
      <c r="S156" s="203"/>
      <c r="T156" s="203"/>
      <c r="U156" s="203"/>
      <c r="V156" s="203"/>
      <c r="W156" s="203"/>
      <c r="X156" s="203" t="s">
        <v>149</v>
      </c>
      <c r="Y156" s="203" t="s">
        <v>149</v>
      </c>
      <c r="Z156" s="203" t="s">
        <v>149</v>
      </c>
      <c r="AA156" s="203" t="s">
        <v>149</v>
      </c>
      <c r="AB156" s="203" t="s">
        <v>149</v>
      </c>
      <c r="AC156" s="203" t="s">
        <v>149</v>
      </c>
      <c r="AD156" s="203" t="s">
        <v>149</v>
      </c>
      <c r="AE156" s="203" t="s">
        <v>149</v>
      </c>
      <c r="AF156" s="203" t="s">
        <v>149</v>
      </c>
      <c r="AG156" s="203" t="s">
        <v>149</v>
      </c>
      <c r="AH156" s="203" t="s">
        <v>149</v>
      </c>
      <c r="AI156" s="203" t="s">
        <v>149</v>
      </c>
      <c r="AJ156" s="203" t="s">
        <v>149</v>
      </c>
      <c r="AK156" s="203" t="s">
        <v>149</v>
      </c>
      <c r="AL156" s="203" t="s">
        <v>149</v>
      </c>
      <c r="AM156" s="203" t="s">
        <v>149</v>
      </c>
      <c r="AN156" s="203" t="s">
        <v>149</v>
      </c>
      <c r="AO156" s="203" t="s">
        <v>149</v>
      </c>
      <c r="AP156" s="203"/>
      <c r="AQ156" s="203" t="s">
        <v>149</v>
      </c>
      <c r="AR156" s="203" t="s">
        <v>149</v>
      </c>
      <c r="AS156" s="203" t="s">
        <v>149</v>
      </c>
      <c r="AT156" s="203"/>
      <c r="AU156" s="203"/>
      <c r="AV156" s="203" t="s">
        <v>149</v>
      </c>
      <c r="AW156" s="203" t="s">
        <v>149</v>
      </c>
      <c r="AX156" s="203" t="s">
        <v>149</v>
      </c>
      <c r="AY156" s="203"/>
      <c r="AZ156" s="203" t="s">
        <v>149</v>
      </c>
      <c r="BA156" s="203" t="s">
        <v>149</v>
      </c>
      <c r="BB156" s="203" t="s">
        <v>149</v>
      </c>
      <c r="BC156" s="203"/>
      <c r="BD156" s="203"/>
      <c r="BE156" s="203"/>
      <c r="BF156" s="203" t="s">
        <v>149</v>
      </c>
      <c r="BG156" s="203" t="s">
        <v>149</v>
      </c>
      <c r="BH156" s="203" t="s">
        <v>149</v>
      </c>
      <c r="BI156" s="203" t="s">
        <v>149</v>
      </c>
      <c r="BJ156" s="252"/>
      <c r="BK156" s="252"/>
    </row>
    <row r="157" spans="1:63" ht="360">
      <c r="A157" s="124">
        <v>45817</v>
      </c>
      <c r="B157" s="125" t="s">
        <v>34</v>
      </c>
      <c r="C157" s="298" t="s">
        <v>699</v>
      </c>
      <c r="D157" s="125" t="s">
        <v>700</v>
      </c>
      <c r="E157" s="125" t="s">
        <v>701</v>
      </c>
      <c r="F157" s="126" t="s">
        <v>702</v>
      </c>
      <c r="G157" s="209" t="s">
        <v>648</v>
      </c>
      <c r="H157" s="212"/>
      <c r="I157" s="210" t="s">
        <v>149</v>
      </c>
      <c r="J157" s="203" t="s">
        <v>149</v>
      </c>
      <c r="K157" s="203"/>
      <c r="L157" s="203" t="s">
        <v>149</v>
      </c>
      <c r="M157" s="203"/>
      <c r="N157" s="203" t="s">
        <v>149</v>
      </c>
      <c r="O157" s="203" t="s">
        <v>149</v>
      </c>
      <c r="P157" s="203" t="s">
        <v>149</v>
      </c>
      <c r="Q157" s="203" t="s">
        <v>149</v>
      </c>
      <c r="R157" s="203"/>
      <c r="S157" s="203"/>
      <c r="T157" s="203"/>
      <c r="U157" s="203"/>
      <c r="V157" s="203"/>
      <c r="W157" s="203"/>
      <c r="X157" s="203" t="s">
        <v>149</v>
      </c>
      <c r="Y157" s="203" t="s">
        <v>149</v>
      </c>
      <c r="Z157" s="203" t="s">
        <v>149</v>
      </c>
      <c r="AA157" s="203" t="s">
        <v>149</v>
      </c>
      <c r="AB157" s="203" t="s">
        <v>149</v>
      </c>
      <c r="AC157" s="203" t="s">
        <v>149</v>
      </c>
      <c r="AD157" s="203" t="s">
        <v>149</v>
      </c>
      <c r="AE157" s="203" t="s">
        <v>149</v>
      </c>
      <c r="AF157" s="203" t="s">
        <v>149</v>
      </c>
      <c r="AG157" s="203" t="s">
        <v>149</v>
      </c>
      <c r="AH157" s="203" t="s">
        <v>149</v>
      </c>
      <c r="AI157" s="203" t="s">
        <v>149</v>
      </c>
      <c r="AJ157" s="203" t="s">
        <v>149</v>
      </c>
      <c r="AK157" s="203" t="s">
        <v>149</v>
      </c>
      <c r="AL157" s="203" t="s">
        <v>149</v>
      </c>
      <c r="AM157" s="203" t="s">
        <v>149</v>
      </c>
      <c r="AN157" s="203" t="s">
        <v>149</v>
      </c>
      <c r="AO157" s="203" t="s">
        <v>149</v>
      </c>
      <c r="AP157" s="203"/>
      <c r="AQ157" s="203" t="s">
        <v>149</v>
      </c>
      <c r="AR157" s="203" t="s">
        <v>149</v>
      </c>
      <c r="AS157" s="203" t="s">
        <v>149</v>
      </c>
      <c r="AT157" s="203"/>
      <c r="AU157" s="203"/>
      <c r="AV157" s="203" t="s">
        <v>149</v>
      </c>
      <c r="AW157" s="203" t="s">
        <v>149</v>
      </c>
      <c r="AX157" s="203" t="s">
        <v>149</v>
      </c>
      <c r="AY157" s="203"/>
      <c r="AZ157" s="203" t="s">
        <v>149</v>
      </c>
      <c r="BA157" s="203" t="s">
        <v>149</v>
      </c>
      <c r="BB157" s="203" t="s">
        <v>149</v>
      </c>
      <c r="BC157" s="203"/>
      <c r="BD157" s="203"/>
      <c r="BE157" s="203"/>
      <c r="BF157" s="203" t="s">
        <v>149</v>
      </c>
      <c r="BG157" s="203" t="s">
        <v>149</v>
      </c>
      <c r="BH157" s="203" t="s">
        <v>149</v>
      </c>
      <c r="BI157" s="203" t="s">
        <v>149</v>
      </c>
      <c r="BJ157" s="252"/>
      <c r="BK157" s="252"/>
    </row>
    <row r="158" spans="1:63" ht="225">
      <c r="A158" s="124">
        <v>45821</v>
      </c>
      <c r="B158" s="125" t="s">
        <v>34</v>
      </c>
      <c r="C158" s="298" t="s">
        <v>703</v>
      </c>
      <c r="D158" s="125" t="s">
        <v>704</v>
      </c>
      <c r="E158" s="125" t="s">
        <v>705</v>
      </c>
      <c r="F158" s="126" t="s">
        <v>706</v>
      </c>
      <c r="G158" s="209" t="s">
        <v>648</v>
      </c>
      <c r="H158" s="212"/>
      <c r="I158" s="210" t="s">
        <v>149</v>
      </c>
      <c r="J158" s="203" t="s">
        <v>149</v>
      </c>
      <c r="K158" s="203"/>
      <c r="L158" s="203" t="s">
        <v>149</v>
      </c>
      <c r="M158" s="203"/>
      <c r="N158" s="203" t="s">
        <v>149</v>
      </c>
      <c r="O158" s="203" t="s">
        <v>149</v>
      </c>
      <c r="P158" s="203" t="s">
        <v>149</v>
      </c>
      <c r="Q158" s="203" t="s">
        <v>149</v>
      </c>
      <c r="R158" s="203"/>
      <c r="S158" s="203"/>
      <c r="T158" s="203"/>
      <c r="U158" s="203"/>
      <c r="V158" s="203"/>
      <c r="W158" s="203"/>
      <c r="X158" s="203" t="s">
        <v>149</v>
      </c>
      <c r="Y158" s="203" t="s">
        <v>149</v>
      </c>
      <c r="Z158" s="203" t="s">
        <v>149</v>
      </c>
      <c r="AA158" s="203" t="s">
        <v>149</v>
      </c>
      <c r="AB158" s="203" t="s">
        <v>149</v>
      </c>
      <c r="AC158" s="203" t="s">
        <v>149</v>
      </c>
      <c r="AD158" s="203" t="s">
        <v>149</v>
      </c>
      <c r="AE158" s="203" t="s">
        <v>149</v>
      </c>
      <c r="AF158" s="203" t="s">
        <v>149</v>
      </c>
      <c r="AG158" s="203" t="s">
        <v>149</v>
      </c>
      <c r="AH158" s="203" t="s">
        <v>149</v>
      </c>
      <c r="AI158" s="203" t="s">
        <v>149</v>
      </c>
      <c r="AJ158" s="203" t="s">
        <v>149</v>
      </c>
      <c r="AK158" s="203" t="s">
        <v>149</v>
      </c>
      <c r="AL158" s="203" t="s">
        <v>149</v>
      </c>
      <c r="AM158" s="203" t="s">
        <v>149</v>
      </c>
      <c r="AN158" s="203" t="s">
        <v>149</v>
      </c>
      <c r="AO158" s="203" t="s">
        <v>149</v>
      </c>
      <c r="AP158" s="203"/>
      <c r="AQ158" s="203" t="s">
        <v>149</v>
      </c>
      <c r="AR158" s="203" t="s">
        <v>149</v>
      </c>
      <c r="AS158" s="203" t="s">
        <v>149</v>
      </c>
      <c r="AT158" s="203"/>
      <c r="AU158" s="203"/>
      <c r="AV158" s="203" t="s">
        <v>149</v>
      </c>
      <c r="AW158" s="203" t="s">
        <v>149</v>
      </c>
      <c r="AX158" s="203" t="s">
        <v>149</v>
      </c>
      <c r="AY158" s="203"/>
      <c r="AZ158" s="203" t="s">
        <v>149</v>
      </c>
      <c r="BA158" s="203" t="s">
        <v>149</v>
      </c>
      <c r="BB158" s="203" t="s">
        <v>149</v>
      </c>
      <c r="BC158" s="203"/>
      <c r="BD158" s="203"/>
      <c r="BE158" s="203"/>
      <c r="BF158" s="203" t="s">
        <v>149</v>
      </c>
      <c r="BG158" s="203" t="s">
        <v>149</v>
      </c>
      <c r="BH158" s="203" t="s">
        <v>149</v>
      </c>
      <c r="BI158" s="203" t="s">
        <v>149</v>
      </c>
      <c r="BJ158" s="252"/>
      <c r="BK158" s="252"/>
    </row>
    <row r="159" spans="1:63" ht="225">
      <c r="A159" s="124">
        <v>45828</v>
      </c>
      <c r="B159" s="125" t="s">
        <v>34</v>
      </c>
      <c r="C159" s="298" t="s">
        <v>707</v>
      </c>
      <c r="D159" s="125" t="s">
        <v>708</v>
      </c>
      <c r="E159" s="125" t="s">
        <v>709</v>
      </c>
      <c r="F159" s="126" t="s">
        <v>710</v>
      </c>
      <c r="G159" s="209" t="s">
        <v>648</v>
      </c>
      <c r="H159" s="212"/>
      <c r="I159" s="210" t="s">
        <v>149</v>
      </c>
      <c r="J159" s="203" t="s">
        <v>149</v>
      </c>
      <c r="K159" s="203"/>
      <c r="L159" s="203" t="s">
        <v>149</v>
      </c>
      <c r="M159" s="203"/>
      <c r="N159" s="203" t="s">
        <v>149</v>
      </c>
      <c r="O159" s="203" t="s">
        <v>149</v>
      </c>
      <c r="P159" s="203" t="s">
        <v>149</v>
      </c>
      <c r="Q159" s="203" t="s">
        <v>149</v>
      </c>
      <c r="R159" s="203"/>
      <c r="S159" s="203"/>
      <c r="T159" s="203"/>
      <c r="U159" s="203"/>
      <c r="V159" s="203"/>
      <c r="W159" s="203"/>
      <c r="X159" s="203" t="s">
        <v>149</v>
      </c>
      <c r="Y159" s="203" t="s">
        <v>149</v>
      </c>
      <c r="Z159" s="203" t="s">
        <v>149</v>
      </c>
      <c r="AA159" s="203" t="s">
        <v>149</v>
      </c>
      <c r="AB159" s="203" t="s">
        <v>149</v>
      </c>
      <c r="AC159" s="203" t="s">
        <v>149</v>
      </c>
      <c r="AD159" s="203" t="s">
        <v>149</v>
      </c>
      <c r="AE159" s="203" t="s">
        <v>149</v>
      </c>
      <c r="AF159" s="203" t="s">
        <v>149</v>
      </c>
      <c r="AG159" s="203" t="s">
        <v>149</v>
      </c>
      <c r="AH159" s="203" t="s">
        <v>149</v>
      </c>
      <c r="AI159" s="203" t="s">
        <v>149</v>
      </c>
      <c r="AJ159" s="203" t="s">
        <v>149</v>
      </c>
      <c r="AK159" s="203" t="s">
        <v>149</v>
      </c>
      <c r="AL159" s="203" t="s">
        <v>149</v>
      </c>
      <c r="AM159" s="203" t="s">
        <v>149</v>
      </c>
      <c r="AN159" s="203" t="s">
        <v>149</v>
      </c>
      <c r="AO159" s="203" t="s">
        <v>149</v>
      </c>
      <c r="AP159" s="203"/>
      <c r="AQ159" s="203" t="s">
        <v>149</v>
      </c>
      <c r="AR159" s="203" t="s">
        <v>149</v>
      </c>
      <c r="AS159" s="203" t="s">
        <v>149</v>
      </c>
      <c r="AT159" s="203"/>
      <c r="AU159" s="203"/>
      <c r="AV159" s="203" t="s">
        <v>149</v>
      </c>
      <c r="AW159" s="203" t="s">
        <v>149</v>
      </c>
      <c r="AX159" s="203" t="s">
        <v>149</v>
      </c>
      <c r="AY159" s="203"/>
      <c r="AZ159" s="203" t="s">
        <v>149</v>
      </c>
      <c r="BA159" s="203" t="s">
        <v>149</v>
      </c>
      <c r="BB159" s="203" t="s">
        <v>149</v>
      </c>
      <c r="BC159" s="203"/>
      <c r="BD159" s="203"/>
      <c r="BE159" s="203"/>
      <c r="BF159" s="203" t="s">
        <v>149</v>
      </c>
      <c r="BG159" s="203" t="s">
        <v>149</v>
      </c>
      <c r="BH159" s="203" t="s">
        <v>149</v>
      </c>
      <c r="BI159" s="203" t="s">
        <v>149</v>
      </c>
      <c r="BJ159" s="252"/>
      <c r="BK159" s="252"/>
    </row>
    <row r="160" spans="1:63" ht="390">
      <c r="A160" s="124">
        <v>45838</v>
      </c>
      <c r="B160" s="125" t="s">
        <v>34</v>
      </c>
      <c r="C160" s="298" t="s">
        <v>711</v>
      </c>
      <c r="D160" s="125" t="s">
        <v>712</v>
      </c>
      <c r="E160" s="125" t="s">
        <v>713</v>
      </c>
      <c r="F160" s="126" t="s">
        <v>714</v>
      </c>
      <c r="G160" s="209" t="s">
        <v>648</v>
      </c>
      <c r="H160" s="212"/>
      <c r="I160" s="210" t="s">
        <v>149</v>
      </c>
      <c r="J160" s="203" t="s">
        <v>149</v>
      </c>
      <c r="K160" s="203"/>
      <c r="L160" s="203" t="s">
        <v>149</v>
      </c>
      <c r="M160" s="203"/>
      <c r="N160" s="203" t="s">
        <v>149</v>
      </c>
      <c r="O160" s="203" t="s">
        <v>149</v>
      </c>
      <c r="P160" s="203" t="s">
        <v>149</v>
      </c>
      <c r="Q160" s="203" t="s">
        <v>149</v>
      </c>
      <c r="R160" s="203"/>
      <c r="S160" s="203"/>
      <c r="T160" s="203"/>
      <c r="U160" s="203"/>
      <c r="V160" s="203"/>
      <c r="W160" s="203"/>
      <c r="X160" s="203" t="s">
        <v>149</v>
      </c>
      <c r="Y160" s="203" t="s">
        <v>149</v>
      </c>
      <c r="Z160" s="203" t="s">
        <v>149</v>
      </c>
      <c r="AA160" s="203" t="s">
        <v>149</v>
      </c>
      <c r="AB160" s="203" t="s">
        <v>149</v>
      </c>
      <c r="AC160" s="203" t="s">
        <v>149</v>
      </c>
      <c r="AD160" s="203" t="s">
        <v>149</v>
      </c>
      <c r="AE160" s="203" t="s">
        <v>149</v>
      </c>
      <c r="AF160" s="203" t="s">
        <v>149</v>
      </c>
      <c r="AG160" s="203" t="s">
        <v>149</v>
      </c>
      <c r="AH160" s="203" t="s">
        <v>149</v>
      </c>
      <c r="AI160" s="203" t="s">
        <v>149</v>
      </c>
      <c r="AJ160" s="203" t="s">
        <v>149</v>
      </c>
      <c r="AK160" s="203" t="s">
        <v>149</v>
      </c>
      <c r="AL160" s="203" t="s">
        <v>149</v>
      </c>
      <c r="AM160" s="203" t="s">
        <v>149</v>
      </c>
      <c r="AN160" s="203" t="s">
        <v>149</v>
      </c>
      <c r="AO160" s="203" t="s">
        <v>149</v>
      </c>
      <c r="AP160" s="203"/>
      <c r="AQ160" s="203" t="s">
        <v>149</v>
      </c>
      <c r="AR160" s="203" t="s">
        <v>149</v>
      </c>
      <c r="AS160" s="203" t="s">
        <v>149</v>
      </c>
      <c r="AT160" s="203"/>
      <c r="AU160" s="203"/>
      <c r="AV160" s="203" t="s">
        <v>149</v>
      </c>
      <c r="AW160" s="203" t="s">
        <v>149</v>
      </c>
      <c r="AX160" s="203" t="s">
        <v>149</v>
      </c>
      <c r="AY160" s="203"/>
      <c r="AZ160" s="203" t="s">
        <v>149</v>
      </c>
      <c r="BA160" s="203" t="s">
        <v>149</v>
      </c>
      <c r="BB160" s="203" t="s">
        <v>149</v>
      </c>
      <c r="BC160" s="203"/>
      <c r="BD160" s="203"/>
      <c r="BE160" s="203"/>
      <c r="BF160" s="203" t="s">
        <v>149</v>
      </c>
      <c r="BG160" s="203" t="s">
        <v>149</v>
      </c>
      <c r="BH160" s="203" t="s">
        <v>149</v>
      </c>
      <c r="BI160" s="203" t="s">
        <v>149</v>
      </c>
      <c r="BJ160" s="252"/>
      <c r="BK160" s="252"/>
    </row>
    <row r="161" spans="1:63" ht="225">
      <c r="A161" s="124">
        <v>45845</v>
      </c>
      <c r="B161" s="125" t="s">
        <v>34</v>
      </c>
      <c r="C161" s="298" t="s">
        <v>715</v>
      </c>
      <c r="D161" s="125" t="s">
        <v>716</v>
      </c>
      <c r="E161" s="125" t="s">
        <v>717</v>
      </c>
      <c r="F161" s="126" t="s">
        <v>718</v>
      </c>
      <c r="G161" s="209" t="s">
        <v>648</v>
      </c>
      <c r="H161" s="212"/>
      <c r="I161" s="210" t="s">
        <v>149</v>
      </c>
      <c r="J161" s="203" t="s">
        <v>149</v>
      </c>
      <c r="K161" s="203"/>
      <c r="L161" s="203" t="s">
        <v>149</v>
      </c>
      <c r="M161" s="203"/>
      <c r="N161" s="203" t="s">
        <v>149</v>
      </c>
      <c r="O161" s="203" t="s">
        <v>149</v>
      </c>
      <c r="P161" s="203" t="s">
        <v>149</v>
      </c>
      <c r="Q161" s="203" t="s">
        <v>149</v>
      </c>
      <c r="R161" s="203"/>
      <c r="S161" s="203"/>
      <c r="T161" s="203"/>
      <c r="U161" s="203"/>
      <c r="V161" s="203"/>
      <c r="W161" s="203"/>
      <c r="X161" s="203" t="s">
        <v>149</v>
      </c>
      <c r="Y161" s="203" t="s">
        <v>149</v>
      </c>
      <c r="Z161" s="203" t="s">
        <v>149</v>
      </c>
      <c r="AA161" s="203" t="s">
        <v>149</v>
      </c>
      <c r="AB161" s="203" t="s">
        <v>149</v>
      </c>
      <c r="AC161" s="203" t="s">
        <v>149</v>
      </c>
      <c r="AD161" s="203" t="s">
        <v>149</v>
      </c>
      <c r="AE161" s="203" t="s">
        <v>149</v>
      </c>
      <c r="AF161" s="203" t="s">
        <v>149</v>
      </c>
      <c r="AG161" s="203" t="s">
        <v>149</v>
      </c>
      <c r="AH161" s="203" t="s">
        <v>149</v>
      </c>
      <c r="AI161" s="203" t="s">
        <v>149</v>
      </c>
      <c r="AJ161" s="203" t="s">
        <v>149</v>
      </c>
      <c r="AK161" s="203" t="s">
        <v>149</v>
      </c>
      <c r="AL161" s="203" t="s">
        <v>149</v>
      </c>
      <c r="AM161" s="203" t="s">
        <v>149</v>
      </c>
      <c r="AN161" s="203" t="s">
        <v>149</v>
      </c>
      <c r="AO161" s="203" t="s">
        <v>149</v>
      </c>
      <c r="AP161" s="203"/>
      <c r="AQ161" s="203" t="s">
        <v>149</v>
      </c>
      <c r="AR161" s="203" t="s">
        <v>149</v>
      </c>
      <c r="AS161" s="203" t="s">
        <v>149</v>
      </c>
      <c r="AT161" s="203"/>
      <c r="AU161" s="203"/>
      <c r="AV161" s="203" t="s">
        <v>149</v>
      </c>
      <c r="AW161" s="203" t="s">
        <v>149</v>
      </c>
      <c r="AX161" s="203" t="s">
        <v>149</v>
      </c>
      <c r="AY161" s="203"/>
      <c r="AZ161" s="203" t="s">
        <v>149</v>
      </c>
      <c r="BA161" s="203" t="s">
        <v>149</v>
      </c>
      <c r="BB161" s="203" t="s">
        <v>149</v>
      </c>
      <c r="BC161" s="203"/>
      <c r="BD161" s="203"/>
      <c r="BE161" s="203"/>
      <c r="BF161" s="203" t="s">
        <v>149</v>
      </c>
      <c r="BG161" s="203" t="s">
        <v>149</v>
      </c>
      <c r="BH161" s="203" t="s">
        <v>149</v>
      </c>
      <c r="BI161" s="203" t="s">
        <v>149</v>
      </c>
      <c r="BJ161" s="252"/>
      <c r="BK161" s="252"/>
    </row>
    <row r="162" spans="1:63" ht="409.5">
      <c r="A162" s="124">
        <v>45852</v>
      </c>
      <c r="B162" s="125" t="s">
        <v>34</v>
      </c>
      <c r="C162" s="298" t="s">
        <v>719</v>
      </c>
      <c r="D162" s="125" t="s">
        <v>720</v>
      </c>
      <c r="E162" s="125" t="s">
        <v>721</v>
      </c>
      <c r="F162" s="126" t="s">
        <v>722</v>
      </c>
      <c r="G162" s="209" t="s">
        <v>648</v>
      </c>
      <c r="H162" s="212"/>
      <c r="I162" s="210" t="s">
        <v>149</v>
      </c>
      <c r="J162" s="203" t="s">
        <v>149</v>
      </c>
      <c r="K162" s="203"/>
      <c r="L162" s="203" t="s">
        <v>149</v>
      </c>
      <c r="M162" s="203"/>
      <c r="N162" s="203" t="s">
        <v>149</v>
      </c>
      <c r="O162" s="203" t="s">
        <v>149</v>
      </c>
      <c r="P162" s="203" t="s">
        <v>149</v>
      </c>
      <c r="Q162" s="203" t="s">
        <v>149</v>
      </c>
      <c r="R162" s="203"/>
      <c r="S162" s="203"/>
      <c r="T162" s="203"/>
      <c r="U162" s="203"/>
      <c r="V162" s="203"/>
      <c r="W162" s="203"/>
      <c r="X162" s="203" t="s">
        <v>149</v>
      </c>
      <c r="Y162" s="203" t="s">
        <v>149</v>
      </c>
      <c r="Z162" s="203" t="s">
        <v>149</v>
      </c>
      <c r="AA162" s="203" t="s">
        <v>149</v>
      </c>
      <c r="AB162" s="203" t="s">
        <v>149</v>
      </c>
      <c r="AC162" s="203" t="s">
        <v>149</v>
      </c>
      <c r="AD162" s="203" t="s">
        <v>149</v>
      </c>
      <c r="AE162" s="203" t="s">
        <v>149</v>
      </c>
      <c r="AF162" s="203" t="s">
        <v>149</v>
      </c>
      <c r="AG162" s="203" t="s">
        <v>149</v>
      </c>
      <c r="AH162" s="203" t="s">
        <v>149</v>
      </c>
      <c r="AI162" s="203" t="s">
        <v>149</v>
      </c>
      <c r="AJ162" s="203" t="s">
        <v>149</v>
      </c>
      <c r="AK162" s="203" t="s">
        <v>149</v>
      </c>
      <c r="AL162" s="203" t="s">
        <v>149</v>
      </c>
      <c r="AM162" s="203" t="s">
        <v>149</v>
      </c>
      <c r="AN162" s="203" t="s">
        <v>149</v>
      </c>
      <c r="AO162" s="203" t="s">
        <v>149</v>
      </c>
      <c r="AP162" s="203"/>
      <c r="AQ162" s="203" t="s">
        <v>149</v>
      </c>
      <c r="AR162" s="203" t="s">
        <v>149</v>
      </c>
      <c r="AS162" s="203" t="s">
        <v>149</v>
      </c>
      <c r="AT162" s="203"/>
      <c r="AU162" s="203"/>
      <c r="AV162" s="203" t="s">
        <v>149</v>
      </c>
      <c r="AW162" s="203" t="s">
        <v>149</v>
      </c>
      <c r="AX162" s="203" t="s">
        <v>149</v>
      </c>
      <c r="AY162" s="203" t="s">
        <v>149</v>
      </c>
      <c r="AZ162" s="203" t="s">
        <v>149</v>
      </c>
      <c r="BA162" s="203" t="s">
        <v>149</v>
      </c>
      <c r="BB162" s="203" t="s">
        <v>149</v>
      </c>
      <c r="BC162" s="203"/>
      <c r="BD162" s="203"/>
      <c r="BE162" s="203"/>
      <c r="BF162" s="203" t="s">
        <v>149</v>
      </c>
      <c r="BG162" s="203" t="s">
        <v>149</v>
      </c>
      <c r="BH162" s="203" t="s">
        <v>149</v>
      </c>
      <c r="BI162" s="203" t="s">
        <v>149</v>
      </c>
      <c r="BJ162" s="252"/>
      <c r="BK162" s="252"/>
    </row>
    <row r="163" spans="1:63" ht="225">
      <c r="A163" s="124">
        <v>45852</v>
      </c>
      <c r="B163" s="125" t="s">
        <v>34</v>
      </c>
      <c r="C163" s="298" t="s">
        <v>723</v>
      </c>
      <c r="D163" s="125" t="s">
        <v>724</v>
      </c>
      <c r="E163" s="125" t="s">
        <v>725</v>
      </c>
      <c r="F163" s="126" t="s">
        <v>726</v>
      </c>
      <c r="G163" s="209" t="s">
        <v>648</v>
      </c>
      <c r="H163" s="212"/>
      <c r="I163" s="210" t="s">
        <v>149</v>
      </c>
      <c r="J163" s="203" t="s">
        <v>149</v>
      </c>
      <c r="K163" s="203"/>
      <c r="L163" s="203" t="s">
        <v>149</v>
      </c>
      <c r="M163" s="203"/>
      <c r="N163" s="203" t="s">
        <v>149</v>
      </c>
      <c r="O163" s="203" t="s">
        <v>149</v>
      </c>
      <c r="P163" s="203" t="s">
        <v>149</v>
      </c>
      <c r="Q163" s="203" t="s">
        <v>149</v>
      </c>
      <c r="R163" s="203"/>
      <c r="S163" s="203"/>
      <c r="T163" s="203"/>
      <c r="U163" s="203"/>
      <c r="V163" s="203"/>
      <c r="W163" s="203"/>
      <c r="X163" s="203" t="s">
        <v>149</v>
      </c>
      <c r="Y163" s="203" t="s">
        <v>149</v>
      </c>
      <c r="Z163" s="203" t="s">
        <v>149</v>
      </c>
      <c r="AA163" s="203" t="s">
        <v>149</v>
      </c>
      <c r="AB163" s="203" t="s">
        <v>149</v>
      </c>
      <c r="AC163" s="203" t="s">
        <v>149</v>
      </c>
      <c r="AD163" s="203" t="s">
        <v>149</v>
      </c>
      <c r="AE163" s="203" t="s">
        <v>149</v>
      </c>
      <c r="AF163" s="203" t="s">
        <v>149</v>
      </c>
      <c r="AG163" s="203" t="s">
        <v>149</v>
      </c>
      <c r="AH163" s="203" t="s">
        <v>149</v>
      </c>
      <c r="AI163" s="203" t="s">
        <v>149</v>
      </c>
      <c r="AJ163" s="203" t="s">
        <v>149</v>
      </c>
      <c r="AK163" s="203" t="s">
        <v>149</v>
      </c>
      <c r="AL163" s="203" t="s">
        <v>149</v>
      </c>
      <c r="AM163" s="203" t="s">
        <v>149</v>
      </c>
      <c r="AN163" s="203" t="s">
        <v>149</v>
      </c>
      <c r="AO163" s="203" t="s">
        <v>149</v>
      </c>
      <c r="AP163" s="203"/>
      <c r="AQ163" s="203" t="s">
        <v>149</v>
      </c>
      <c r="AR163" s="203" t="s">
        <v>149</v>
      </c>
      <c r="AS163" s="203" t="s">
        <v>149</v>
      </c>
      <c r="AT163" s="203"/>
      <c r="AU163" s="203"/>
      <c r="AV163" s="203" t="s">
        <v>149</v>
      </c>
      <c r="AW163" s="203" t="s">
        <v>149</v>
      </c>
      <c r="AX163" s="203" t="s">
        <v>149</v>
      </c>
      <c r="AY163" s="203"/>
      <c r="AZ163" s="203" t="s">
        <v>149</v>
      </c>
      <c r="BA163" s="203" t="s">
        <v>149</v>
      </c>
      <c r="BB163" s="203" t="s">
        <v>149</v>
      </c>
      <c r="BC163" s="203"/>
      <c r="BD163" s="203"/>
      <c r="BE163" s="203"/>
      <c r="BF163" s="203" t="s">
        <v>149</v>
      </c>
      <c r="BG163" s="203" t="s">
        <v>149</v>
      </c>
      <c r="BH163" s="203" t="s">
        <v>149</v>
      </c>
      <c r="BI163" s="203" t="s">
        <v>149</v>
      </c>
      <c r="BJ163" s="252"/>
      <c r="BK163" s="252"/>
    </row>
    <row r="164" spans="1:63" ht="409.5">
      <c r="A164" s="124">
        <v>45859</v>
      </c>
      <c r="B164" s="125" t="s">
        <v>34</v>
      </c>
      <c r="C164" s="298" t="s">
        <v>719</v>
      </c>
      <c r="D164" s="125" t="s">
        <v>727</v>
      </c>
      <c r="E164" s="125" t="s">
        <v>728</v>
      </c>
      <c r="F164" s="126" t="s">
        <v>729</v>
      </c>
      <c r="G164" s="209" t="s">
        <v>648</v>
      </c>
      <c r="H164" s="212"/>
      <c r="I164" s="210" t="s">
        <v>149</v>
      </c>
      <c r="J164" s="203" t="s">
        <v>149</v>
      </c>
      <c r="K164" s="203"/>
      <c r="L164" s="203" t="s">
        <v>149</v>
      </c>
      <c r="M164" s="203"/>
      <c r="N164" s="203" t="s">
        <v>149</v>
      </c>
      <c r="O164" s="203" t="s">
        <v>149</v>
      </c>
      <c r="P164" s="203" t="s">
        <v>149</v>
      </c>
      <c r="Q164" s="203" t="s">
        <v>149</v>
      </c>
      <c r="R164" s="203"/>
      <c r="S164" s="203"/>
      <c r="T164" s="203"/>
      <c r="U164" s="203"/>
      <c r="V164" s="203"/>
      <c r="W164" s="203"/>
      <c r="X164" s="203" t="s">
        <v>149</v>
      </c>
      <c r="Y164" s="203" t="s">
        <v>149</v>
      </c>
      <c r="Z164" s="203" t="s">
        <v>149</v>
      </c>
      <c r="AA164" s="203" t="s">
        <v>149</v>
      </c>
      <c r="AB164" s="203" t="s">
        <v>149</v>
      </c>
      <c r="AC164" s="203" t="s">
        <v>149</v>
      </c>
      <c r="AD164" s="203" t="s">
        <v>149</v>
      </c>
      <c r="AE164" s="203" t="s">
        <v>149</v>
      </c>
      <c r="AF164" s="203" t="s">
        <v>149</v>
      </c>
      <c r="AG164" s="203" t="s">
        <v>149</v>
      </c>
      <c r="AH164" s="203" t="s">
        <v>149</v>
      </c>
      <c r="AI164" s="203" t="s">
        <v>149</v>
      </c>
      <c r="AJ164" s="203" t="s">
        <v>149</v>
      </c>
      <c r="AK164" s="203" t="s">
        <v>149</v>
      </c>
      <c r="AL164" s="203" t="s">
        <v>149</v>
      </c>
      <c r="AM164" s="203" t="s">
        <v>149</v>
      </c>
      <c r="AN164" s="203" t="s">
        <v>149</v>
      </c>
      <c r="AO164" s="203" t="s">
        <v>149</v>
      </c>
      <c r="AP164" s="203"/>
      <c r="AQ164" s="203" t="s">
        <v>149</v>
      </c>
      <c r="AR164" s="203" t="s">
        <v>149</v>
      </c>
      <c r="AS164" s="203" t="s">
        <v>149</v>
      </c>
      <c r="AT164" s="203"/>
      <c r="AU164" s="203"/>
      <c r="AV164" s="203" t="s">
        <v>149</v>
      </c>
      <c r="AW164" s="203" t="s">
        <v>149</v>
      </c>
      <c r="AX164" s="203" t="s">
        <v>149</v>
      </c>
      <c r="AY164" s="203" t="s">
        <v>149</v>
      </c>
      <c r="AZ164" s="203" t="s">
        <v>149</v>
      </c>
      <c r="BA164" s="203" t="s">
        <v>149</v>
      </c>
      <c r="BB164" s="203" t="s">
        <v>149</v>
      </c>
      <c r="BC164" s="203"/>
      <c r="BD164" s="203"/>
      <c r="BE164" s="203"/>
      <c r="BF164" s="203" t="s">
        <v>149</v>
      </c>
      <c r="BG164" s="203" t="s">
        <v>149</v>
      </c>
      <c r="BH164" s="203" t="s">
        <v>149</v>
      </c>
      <c r="BI164" s="203" t="s">
        <v>149</v>
      </c>
      <c r="BJ164" s="252"/>
      <c r="BK164" s="252"/>
    </row>
    <row r="165" spans="1:63" ht="409.5">
      <c r="A165" s="124">
        <v>45866</v>
      </c>
      <c r="B165" s="125" t="s">
        <v>34</v>
      </c>
      <c r="C165" s="298" t="s">
        <v>719</v>
      </c>
      <c r="D165" s="125" t="s">
        <v>730</v>
      </c>
      <c r="E165" s="125" t="s">
        <v>731</v>
      </c>
      <c r="F165" s="126" t="s">
        <v>732</v>
      </c>
      <c r="G165" s="209"/>
      <c r="H165" s="212"/>
      <c r="I165" s="210" t="s">
        <v>149</v>
      </c>
      <c r="J165" s="203" t="s">
        <v>149</v>
      </c>
      <c r="K165" s="203"/>
      <c r="L165" s="203" t="s">
        <v>149</v>
      </c>
      <c r="M165" s="203"/>
      <c r="N165" s="203" t="s">
        <v>149</v>
      </c>
      <c r="O165" s="203" t="s">
        <v>149</v>
      </c>
      <c r="P165" s="203" t="s">
        <v>149</v>
      </c>
      <c r="Q165" s="203" t="s">
        <v>149</v>
      </c>
      <c r="R165" s="203"/>
      <c r="S165" s="203"/>
      <c r="T165" s="203"/>
      <c r="U165" s="203"/>
      <c r="V165" s="203"/>
      <c r="W165" s="203"/>
      <c r="X165" s="203" t="s">
        <v>149</v>
      </c>
      <c r="Y165" s="203" t="s">
        <v>149</v>
      </c>
      <c r="Z165" s="203" t="s">
        <v>149</v>
      </c>
      <c r="AA165" s="203" t="s">
        <v>149</v>
      </c>
      <c r="AB165" s="203" t="s">
        <v>149</v>
      </c>
      <c r="AC165" s="203" t="s">
        <v>149</v>
      </c>
      <c r="AD165" s="203" t="s">
        <v>149</v>
      </c>
      <c r="AE165" s="203" t="s">
        <v>149</v>
      </c>
      <c r="AF165" s="203" t="s">
        <v>149</v>
      </c>
      <c r="AG165" s="203" t="s">
        <v>149</v>
      </c>
      <c r="AH165" s="203" t="s">
        <v>149</v>
      </c>
      <c r="AI165" s="203" t="s">
        <v>149</v>
      </c>
      <c r="AJ165" s="203" t="s">
        <v>149</v>
      </c>
      <c r="AK165" s="203" t="s">
        <v>149</v>
      </c>
      <c r="AL165" s="203" t="s">
        <v>149</v>
      </c>
      <c r="AM165" s="203" t="s">
        <v>149</v>
      </c>
      <c r="AN165" s="203" t="s">
        <v>149</v>
      </c>
      <c r="AO165" s="203" t="s">
        <v>149</v>
      </c>
      <c r="AP165" s="203"/>
      <c r="AQ165" s="203" t="s">
        <v>149</v>
      </c>
      <c r="AR165" s="203" t="s">
        <v>149</v>
      </c>
      <c r="AS165" s="203" t="s">
        <v>149</v>
      </c>
      <c r="AT165" s="203"/>
      <c r="AU165" s="203"/>
      <c r="AV165" s="203" t="s">
        <v>149</v>
      </c>
      <c r="AW165" s="203" t="s">
        <v>149</v>
      </c>
      <c r="AX165" s="203" t="s">
        <v>149</v>
      </c>
      <c r="AY165" s="203" t="s">
        <v>149</v>
      </c>
      <c r="AZ165" s="203" t="s">
        <v>149</v>
      </c>
      <c r="BA165" s="203" t="s">
        <v>149</v>
      </c>
      <c r="BB165" s="203" t="s">
        <v>149</v>
      </c>
      <c r="BC165" s="203"/>
      <c r="BD165" s="203"/>
      <c r="BE165" s="203"/>
      <c r="BF165" s="203" t="s">
        <v>149</v>
      </c>
      <c r="BG165" s="203" t="s">
        <v>149</v>
      </c>
      <c r="BH165" s="203" t="s">
        <v>149</v>
      </c>
      <c r="BI165" s="203" t="s">
        <v>149</v>
      </c>
      <c r="BJ165" s="252"/>
      <c r="BK165" s="252"/>
    </row>
    <row r="166" spans="1:63" ht="409.5">
      <c r="A166" s="124">
        <v>45866</v>
      </c>
      <c r="B166" s="125" t="s">
        <v>34</v>
      </c>
      <c r="C166" s="298" t="s">
        <v>733</v>
      </c>
      <c r="D166" s="125" t="s">
        <v>734</v>
      </c>
      <c r="E166" s="125" t="s">
        <v>735</v>
      </c>
      <c r="F166" s="126" t="s">
        <v>736</v>
      </c>
      <c r="G166" s="209" t="s">
        <v>648</v>
      </c>
      <c r="H166" s="212"/>
      <c r="I166" s="210" t="s">
        <v>149</v>
      </c>
      <c r="J166" s="203" t="s">
        <v>149</v>
      </c>
      <c r="K166" s="203"/>
      <c r="L166" s="203" t="s">
        <v>149</v>
      </c>
      <c r="M166" s="203"/>
      <c r="N166" s="203" t="s">
        <v>149</v>
      </c>
      <c r="O166" s="203" t="s">
        <v>149</v>
      </c>
      <c r="P166" s="203" t="s">
        <v>149</v>
      </c>
      <c r="Q166" s="203" t="s">
        <v>149</v>
      </c>
      <c r="R166" s="203"/>
      <c r="S166" s="203"/>
      <c r="T166" s="203"/>
      <c r="U166" s="203"/>
      <c r="V166" s="203"/>
      <c r="W166" s="203"/>
      <c r="X166" s="203" t="s">
        <v>149</v>
      </c>
      <c r="Y166" s="203" t="s">
        <v>149</v>
      </c>
      <c r="Z166" s="203" t="s">
        <v>149</v>
      </c>
      <c r="AA166" s="203" t="s">
        <v>149</v>
      </c>
      <c r="AB166" s="203" t="s">
        <v>149</v>
      </c>
      <c r="AC166" s="203" t="s">
        <v>149</v>
      </c>
      <c r="AD166" s="203" t="s">
        <v>149</v>
      </c>
      <c r="AE166" s="203" t="s">
        <v>149</v>
      </c>
      <c r="AF166" s="203" t="s">
        <v>149</v>
      </c>
      <c r="AG166" s="203" t="s">
        <v>149</v>
      </c>
      <c r="AH166" s="203" t="s">
        <v>149</v>
      </c>
      <c r="AI166" s="203" t="s">
        <v>149</v>
      </c>
      <c r="AJ166" s="203" t="s">
        <v>149</v>
      </c>
      <c r="AK166" s="203" t="s">
        <v>149</v>
      </c>
      <c r="AL166" s="203" t="s">
        <v>149</v>
      </c>
      <c r="AM166" s="203" t="s">
        <v>149</v>
      </c>
      <c r="AN166" s="203" t="s">
        <v>149</v>
      </c>
      <c r="AO166" s="203" t="s">
        <v>149</v>
      </c>
      <c r="AP166" s="203"/>
      <c r="AQ166" s="203" t="s">
        <v>149</v>
      </c>
      <c r="AR166" s="203" t="s">
        <v>149</v>
      </c>
      <c r="AS166" s="203" t="s">
        <v>149</v>
      </c>
      <c r="AT166" s="203"/>
      <c r="AU166" s="203"/>
      <c r="AV166" s="203" t="s">
        <v>149</v>
      </c>
      <c r="AW166" s="203" t="s">
        <v>149</v>
      </c>
      <c r="AX166" s="203" t="s">
        <v>149</v>
      </c>
      <c r="AY166" s="203"/>
      <c r="AZ166" s="203" t="s">
        <v>149</v>
      </c>
      <c r="BA166" s="203" t="s">
        <v>149</v>
      </c>
      <c r="BB166" s="203" t="s">
        <v>149</v>
      </c>
      <c r="BC166" s="203"/>
      <c r="BD166" s="203"/>
      <c r="BE166" s="203"/>
      <c r="BF166" s="203" t="s">
        <v>149</v>
      </c>
      <c r="BG166" s="203" t="s">
        <v>149</v>
      </c>
      <c r="BH166" s="203" t="s">
        <v>149</v>
      </c>
      <c r="BI166" s="203" t="s">
        <v>149</v>
      </c>
      <c r="BJ166" s="252"/>
      <c r="BK166" s="252"/>
    </row>
    <row r="167" spans="1:63" ht="225">
      <c r="A167" s="124">
        <v>45866</v>
      </c>
      <c r="B167" s="125" t="s">
        <v>34</v>
      </c>
      <c r="C167" s="298" t="s">
        <v>737</v>
      </c>
      <c r="D167" s="125" t="s">
        <v>738</v>
      </c>
      <c r="E167" s="125" t="s">
        <v>739</v>
      </c>
      <c r="F167" s="126" t="s">
        <v>740</v>
      </c>
      <c r="G167" s="209" t="s">
        <v>648</v>
      </c>
      <c r="H167" s="212"/>
      <c r="I167" s="210" t="s">
        <v>149</v>
      </c>
      <c r="J167" s="203" t="s">
        <v>149</v>
      </c>
      <c r="K167" s="203"/>
      <c r="L167" s="203" t="s">
        <v>149</v>
      </c>
      <c r="M167" s="203"/>
      <c r="N167" s="203" t="s">
        <v>149</v>
      </c>
      <c r="O167" s="203" t="s">
        <v>149</v>
      </c>
      <c r="P167" s="203" t="s">
        <v>149</v>
      </c>
      <c r="Q167" s="203" t="s">
        <v>149</v>
      </c>
      <c r="R167" s="203"/>
      <c r="S167" s="203"/>
      <c r="T167" s="203"/>
      <c r="U167" s="203"/>
      <c r="V167" s="203"/>
      <c r="W167" s="203"/>
      <c r="X167" s="203" t="s">
        <v>149</v>
      </c>
      <c r="Y167" s="203" t="s">
        <v>149</v>
      </c>
      <c r="Z167" s="203" t="s">
        <v>149</v>
      </c>
      <c r="AA167" s="203" t="s">
        <v>149</v>
      </c>
      <c r="AB167" s="203" t="s">
        <v>149</v>
      </c>
      <c r="AC167" s="203" t="s">
        <v>149</v>
      </c>
      <c r="AD167" s="203" t="s">
        <v>149</v>
      </c>
      <c r="AE167" s="203" t="s">
        <v>149</v>
      </c>
      <c r="AF167" s="203" t="s">
        <v>149</v>
      </c>
      <c r="AG167" s="203" t="s">
        <v>149</v>
      </c>
      <c r="AH167" s="203" t="s">
        <v>149</v>
      </c>
      <c r="AI167" s="203" t="s">
        <v>149</v>
      </c>
      <c r="AJ167" s="203" t="s">
        <v>149</v>
      </c>
      <c r="AK167" s="203" t="s">
        <v>149</v>
      </c>
      <c r="AL167" s="203" t="s">
        <v>149</v>
      </c>
      <c r="AM167" s="203" t="s">
        <v>149</v>
      </c>
      <c r="AN167" s="203" t="s">
        <v>149</v>
      </c>
      <c r="AO167" s="203" t="s">
        <v>149</v>
      </c>
      <c r="AP167" s="203"/>
      <c r="AQ167" s="203" t="s">
        <v>149</v>
      </c>
      <c r="AR167" s="203" t="s">
        <v>149</v>
      </c>
      <c r="AS167" s="203" t="s">
        <v>149</v>
      </c>
      <c r="AT167" s="203"/>
      <c r="AU167" s="203"/>
      <c r="AV167" s="203" t="s">
        <v>149</v>
      </c>
      <c r="AW167" s="203" t="s">
        <v>149</v>
      </c>
      <c r="AX167" s="203" t="s">
        <v>149</v>
      </c>
      <c r="AY167" s="203"/>
      <c r="AZ167" s="203" t="s">
        <v>149</v>
      </c>
      <c r="BA167" s="203" t="s">
        <v>149</v>
      </c>
      <c r="BB167" s="203" t="s">
        <v>149</v>
      </c>
      <c r="BC167" s="203"/>
      <c r="BD167" s="203"/>
      <c r="BE167" s="203"/>
      <c r="BF167" s="203" t="s">
        <v>149</v>
      </c>
      <c r="BG167" s="203" t="s">
        <v>149</v>
      </c>
      <c r="BH167" s="203" t="s">
        <v>149</v>
      </c>
      <c r="BI167" s="203" t="s">
        <v>149</v>
      </c>
      <c r="BJ167" s="252"/>
      <c r="BK167" s="252"/>
    </row>
    <row r="168" spans="1:63" ht="409.5">
      <c r="A168" s="124">
        <v>45870</v>
      </c>
      <c r="B168" s="125" t="s">
        <v>34</v>
      </c>
      <c r="C168" s="298" t="s">
        <v>719</v>
      </c>
      <c r="D168" s="125" t="s">
        <v>741</v>
      </c>
      <c r="E168" s="125" t="s">
        <v>742</v>
      </c>
      <c r="F168" s="126" t="s">
        <v>743</v>
      </c>
      <c r="G168" s="209"/>
      <c r="H168" s="212"/>
      <c r="I168" s="210" t="s">
        <v>149</v>
      </c>
      <c r="J168" s="203" t="s">
        <v>149</v>
      </c>
      <c r="K168" s="203"/>
      <c r="L168" s="203" t="s">
        <v>149</v>
      </c>
      <c r="M168" s="203"/>
      <c r="N168" s="203" t="s">
        <v>149</v>
      </c>
      <c r="O168" s="203" t="s">
        <v>149</v>
      </c>
      <c r="P168" s="203" t="s">
        <v>149</v>
      </c>
      <c r="Q168" s="203" t="s">
        <v>149</v>
      </c>
      <c r="R168" s="203"/>
      <c r="S168" s="203"/>
      <c r="T168" s="203"/>
      <c r="U168" s="203"/>
      <c r="V168" s="203"/>
      <c r="W168" s="203"/>
      <c r="X168" s="203" t="s">
        <v>149</v>
      </c>
      <c r="Y168" s="203" t="s">
        <v>149</v>
      </c>
      <c r="Z168" s="203" t="s">
        <v>149</v>
      </c>
      <c r="AA168" s="203" t="s">
        <v>149</v>
      </c>
      <c r="AB168" s="203" t="s">
        <v>149</v>
      </c>
      <c r="AC168" s="203" t="s">
        <v>149</v>
      </c>
      <c r="AD168" s="203" t="s">
        <v>149</v>
      </c>
      <c r="AE168" s="203" t="s">
        <v>149</v>
      </c>
      <c r="AF168" s="203" t="s">
        <v>149</v>
      </c>
      <c r="AG168" s="203" t="s">
        <v>149</v>
      </c>
      <c r="AH168" s="203" t="s">
        <v>149</v>
      </c>
      <c r="AI168" s="203" t="s">
        <v>149</v>
      </c>
      <c r="AJ168" s="203" t="s">
        <v>149</v>
      </c>
      <c r="AK168" s="203" t="s">
        <v>149</v>
      </c>
      <c r="AL168" s="203" t="s">
        <v>149</v>
      </c>
      <c r="AM168" s="203" t="s">
        <v>149</v>
      </c>
      <c r="AN168" s="203" t="s">
        <v>149</v>
      </c>
      <c r="AO168" s="203" t="s">
        <v>149</v>
      </c>
      <c r="AP168" s="203"/>
      <c r="AQ168" s="203" t="s">
        <v>149</v>
      </c>
      <c r="AR168" s="203" t="s">
        <v>149</v>
      </c>
      <c r="AS168" s="203" t="s">
        <v>149</v>
      </c>
      <c r="AT168" s="203"/>
      <c r="AU168" s="203"/>
      <c r="AV168" s="203" t="s">
        <v>149</v>
      </c>
      <c r="AW168" s="203" t="s">
        <v>149</v>
      </c>
      <c r="AX168" s="203" t="s">
        <v>149</v>
      </c>
      <c r="AY168" s="203" t="s">
        <v>149</v>
      </c>
      <c r="AZ168" s="203" t="s">
        <v>149</v>
      </c>
      <c r="BA168" s="203" t="s">
        <v>149</v>
      </c>
      <c r="BB168" s="203" t="s">
        <v>149</v>
      </c>
      <c r="BC168" s="203"/>
      <c r="BD168" s="203"/>
      <c r="BE168" s="203"/>
      <c r="BF168" s="203" t="s">
        <v>149</v>
      </c>
      <c r="BG168" s="203" t="s">
        <v>149</v>
      </c>
      <c r="BH168" s="203" t="s">
        <v>149</v>
      </c>
      <c r="BI168" s="203" t="s">
        <v>149</v>
      </c>
      <c r="BJ168" s="252"/>
      <c r="BK168" s="252"/>
    </row>
    <row r="169" spans="1:63" ht="360">
      <c r="A169" s="124">
        <v>45870</v>
      </c>
      <c r="B169" s="125" t="s">
        <v>34</v>
      </c>
      <c r="C169" s="298" t="s">
        <v>744</v>
      </c>
      <c r="D169" s="125" t="s">
        <v>745</v>
      </c>
      <c r="E169" s="125" t="s">
        <v>746</v>
      </c>
      <c r="F169" s="126" t="s">
        <v>747</v>
      </c>
      <c r="G169" s="209" t="s">
        <v>648</v>
      </c>
      <c r="H169" s="212"/>
      <c r="I169" s="210" t="s">
        <v>149</v>
      </c>
      <c r="J169" s="203" t="s">
        <v>149</v>
      </c>
      <c r="K169" s="203"/>
      <c r="L169" s="203" t="s">
        <v>149</v>
      </c>
      <c r="M169" s="203"/>
      <c r="N169" s="203" t="s">
        <v>149</v>
      </c>
      <c r="O169" s="203" t="s">
        <v>149</v>
      </c>
      <c r="P169" s="203" t="s">
        <v>149</v>
      </c>
      <c r="Q169" s="203" t="s">
        <v>149</v>
      </c>
      <c r="R169" s="203"/>
      <c r="S169" s="203"/>
      <c r="T169" s="203"/>
      <c r="U169" s="203"/>
      <c r="V169" s="203"/>
      <c r="W169" s="203"/>
      <c r="X169" s="203" t="s">
        <v>149</v>
      </c>
      <c r="Y169" s="203" t="s">
        <v>149</v>
      </c>
      <c r="Z169" s="203" t="s">
        <v>149</v>
      </c>
      <c r="AA169" s="203" t="s">
        <v>149</v>
      </c>
      <c r="AB169" s="203" t="s">
        <v>149</v>
      </c>
      <c r="AC169" s="203" t="s">
        <v>149</v>
      </c>
      <c r="AD169" s="203" t="s">
        <v>149</v>
      </c>
      <c r="AE169" s="203" t="s">
        <v>149</v>
      </c>
      <c r="AF169" s="203" t="s">
        <v>149</v>
      </c>
      <c r="AG169" s="203" t="s">
        <v>149</v>
      </c>
      <c r="AH169" s="203" t="s">
        <v>149</v>
      </c>
      <c r="AI169" s="203" t="s">
        <v>149</v>
      </c>
      <c r="AJ169" s="203" t="s">
        <v>149</v>
      </c>
      <c r="AK169" s="203" t="s">
        <v>149</v>
      </c>
      <c r="AL169" s="203" t="s">
        <v>149</v>
      </c>
      <c r="AM169" s="203" t="s">
        <v>149</v>
      </c>
      <c r="AN169" s="203" t="s">
        <v>149</v>
      </c>
      <c r="AO169" s="203" t="s">
        <v>149</v>
      </c>
      <c r="AP169" s="203"/>
      <c r="AQ169" s="203" t="s">
        <v>149</v>
      </c>
      <c r="AR169" s="203" t="s">
        <v>149</v>
      </c>
      <c r="AS169" s="203" t="s">
        <v>149</v>
      </c>
      <c r="AT169" s="203"/>
      <c r="AU169" s="203"/>
      <c r="AV169" s="203" t="s">
        <v>149</v>
      </c>
      <c r="AW169" s="203" t="s">
        <v>149</v>
      </c>
      <c r="AX169" s="203" t="s">
        <v>149</v>
      </c>
      <c r="AY169" s="203"/>
      <c r="AZ169" s="203" t="s">
        <v>149</v>
      </c>
      <c r="BA169" s="203" t="s">
        <v>149</v>
      </c>
      <c r="BB169" s="203" t="s">
        <v>149</v>
      </c>
      <c r="BC169" s="203"/>
      <c r="BD169" s="203"/>
      <c r="BE169" s="203"/>
      <c r="BF169" s="203" t="s">
        <v>149</v>
      </c>
      <c r="BG169" s="203" t="s">
        <v>149</v>
      </c>
      <c r="BH169" s="203" t="s">
        <v>149</v>
      </c>
      <c r="BI169" s="203" t="s">
        <v>149</v>
      </c>
      <c r="BJ169" s="252"/>
      <c r="BK169" s="252"/>
    </row>
    <row r="170" spans="1:63" ht="409.5">
      <c r="A170" s="124">
        <v>45877</v>
      </c>
      <c r="B170" s="125" t="s">
        <v>34</v>
      </c>
      <c r="C170" s="298" t="s">
        <v>748</v>
      </c>
      <c r="D170" s="125" t="s">
        <v>749</v>
      </c>
      <c r="E170" s="125" t="s">
        <v>750</v>
      </c>
      <c r="F170" s="126" t="s">
        <v>751</v>
      </c>
      <c r="G170" s="209"/>
      <c r="H170" s="212"/>
      <c r="I170" s="210" t="s">
        <v>149</v>
      </c>
      <c r="J170" s="203" t="s">
        <v>149</v>
      </c>
      <c r="K170" s="203"/>
      <c r="L170" s="203" t="s">
        <v>149</v>
      </c>
      <c r="M170" s="203"/>
      <c r="N170" s="203" t="s">
        <v>149</v>
      </c>
      <c r="O170" s="203" t="s">
        <v>149</v>
      </c>
      <c r="P170" s="203" t="s">
        <v>149</v>
      </c>
      <c r="Q170" s="203" t="s">
        <v>149</v>
      </c>
      <c r="R170" s="203"/>
      <c r="S170" s="203"/>
      <c r="T170" s="203"/>
      <c r="U170" s="203"/>
      <c r="V170" s="203"/>
      <c r="W170" s="203"/>
      <c r="X170" s="203" t="s">
        <v>149</v>
      </c>
      <c r="Y170" s="203" t="s">
        <v>149</v>
      </c>
      <c r="Z170" s="203" t="s">
        <v>149</v>
      </c>
      <c r="AA170" s="203" t="s">
        <v>149</v>
      </c>
      <c r="AB170" s="203" t="s">
        <v>149</v>
      </c>
      <c r="AC170" s="203" t="s">
        <v>149</v>
      </c>
      <c r="AD170" s="203" t="s">
        <v>149</v>
      </c>
      <c r="AE170" s="203" t="s">
        <v>149</v>
      </c>
      <c r="AF170" s="203" t="s">
        <v>149</v>
      </c>
      <c r="AG170" s="203" t="s">
        <v>149</v>
      </c>
      <c r="AH170" s="203" t="s">
        <v>149</v>
      </c>
      <c r="AI170" s="203" t="s">
        <v>149</v>
      </c>
      <c r="AJ170" s="203" t="s">
        <v>149</v>
      </c>
      <c r="AK170" s="203" t="s">
        <v>149</v>
      </c>
      <c r="AL170" s="203" t="s">
        <v>149</v>
      </c>
      <c r="AM170" s="203" t="s">
        <v>149</v>
      </c>
      <c r="AN170" s="203" t="s">
        <v>149</v>
      </c>
      <c r="AO170" s="203" t="s">
        <v>149</v>
      </c>
      <c r="AP170" s="203"/>
      <c r="AQ170" s="203" t="s">
        <v>149</v>
      </c>
      <c r="AR170" s="203" t="s">
        <v>149</v>
      </c>
      <c r="AS170" s="203" t="s">
        <v>149</v>
      </c>
      <c r="AT170" s="203"/>
      <c r="AU170" s="203"/>
      <c r="AV170" s="203" t="s">
        <v>149</v>
      </c>
      <c r="AW170" s="203" t="s">
        <v>149</v>
      </c>
      <c r="AX170" s="203" t="s">
        <v>149</v>
      </c>
      <c r="AY170" s="203" t="s">
        <v>149</v>
      </c>
      <c r="AZ170" s="203" t="s">
        <v>149</v>
      </c>
      <c r="BA170" s="203" t="s">
        <v>149</v>
      </c>
      <c r="BB170" s="203" t="s">
        <v>149</v>
      </c>
      <c r="BC170" s="203"/>
      <c r="BD170" s="203"/>
      <c r="BE170" s="203"/>
      <c r="BF170" s="203" t="s">
        <v>149</v>
      </c>
      <c r="BG170" s="203" t="s">
        <v>149</v>
      </c>
      <c r="BH170" s="203" t="s">
        <v>149</v>
      </c>
      <c r="BI170" s="203" t="s">
        <v>149</v>
      </c>
      <c r="BJ170" s="252"/>
      <c r="BK170" s="252"/>
    </row>
    <row r="171" spans="1:63" ht="225">
      <c r="A171" s="124">
        <v>45884</v>
      </c>
      <c r="B171" s="125" t="s">
        <v>34</v>
      </c>
      <c r="C171" s="298" t="s">
        <v>752</v>
      </c>
      <c r="D171" s="125" t="s">
        <v>753</v>
      </c>
      <c r="E171" s="125" t="s">
        <v>754</v>
      </c>
      <c r="F171" s="126" t="s">
        <v>755</v>
      </c>
      <c r="G171" s="209" t="s">
        <v>648</v>
      </c>
      <c r="H171" s="212"/>
      <c r="I171" s="210" t="s">
        <v>149</v>
      </c>
      <c r="J171" s="203" t="s">
        <v>149</v>
      </c>
      <c r="K171" s="203"/>
      <c r="L171" s="203" t="s">
        <v>149</v>
      </c>
      <c r="M171" s="203"/>
      <c r="N171" s="203" t="s">
        <v>149</v>
      </c>
      <c r="O171" s="203" t="s">
        <v>149</v>
      </c>
      <c r="P171" s="203" t="s">
        <v>149</v>
      </c>
      <c r="Q171" s="203" t="s">
        <v>149</v>
      </c>
      <c r="R171" s="203"/>
      <c r="S171" s="203"/>
      <c r="T171" s="203"/>
      <c r="U171" s="203"/>
      <c r="V171" s="203"/>
      <c r="W171" s="203"/>
      <c r="X171" s="203" t="s">
        <v>149</v>
      </c>
      <c r="Y171" s="203" t="s">
        <v>149</v>
      </c>
      <c r="Z171" s="203" t="s">
        <v>149</v>
      </c>
      <c r="AA171" s="203" t="s">
        <v>149</v>
      </c>
      <c r="AB171" s="203" t="s">
        <v>149</v>
      </c>
      <c r="AC171" s="203" t="s">
        <v>149</v>
      </c>
      <c r="AD171" s="203" t="s">
        <v>149</v>
      </c>
      <c r="AE171" s="203" t="s">
        <v>149</v>
      </c>
      <c r="AF171" s="203" t="s">
        <v>149</v>
      </c>
      <c r="AG171" s="203" t="s">
        <v>149</v>
      </c>
      <c r="AH171" s="203" t="s">
        <v>149</v>
      </c>
      <c r="AI171" s="203" t="s">
        <v>149</v>
      </c>
      <c r="AJ171" s="203" t="s">
        <v>149</v>
      </c>
      <c r="AK171" s="203" t="s">
        <v>149</v>
      </c>
      <c r="AL171" s="203" t="s">
        <v>149</v>
      </c>
      <c r="AM171" s="203" t="s">
        <v>149</v>
      </c>
      <c r="AN171" s="203" t="s">
        <v>149</v>
      </c>
      <c r="AO171" s="203" t="s">
        <v>149</v>
      </c>
      <c r="AP171" s="203"/>
      <c r="AQ171" s="203" t="s">
        <v>149</v>
      </c>
      <c r="AR171" s="203" t="s">
        <v>149</v>
      </c>
      <c r="AS171" s="203" t="s">
        <v>149</v>
      </c>
      <c r="AT171" s="203"/>
      <c r="AU171" s="203"/>
      <c r="AV171" s="203" t="s">
        <v>149</v>
      </c>
      <c r="AW171" s="203" t="s">
        <v>149</v>
      </c>
      <c r="AX171" s="203" t="s">
        <v>149</v>
      </c>
      <c r="AY171" s="203"/>
      <c r="AZ171" s="203" t="s">
        <v>149</v>
      </c>
      <c r="BA171" s="203" t="s">
        <v>149</v>
      </c>
      <c r="BB171" s="203" t="s">
        <v>149</v>
      </c>
      <c r="BC171" s="203"/>
      <c r="BD171" s="203"/>
      <c r="BE171" s="203"/>
      <c r="BF171" s="203" t="s">
        <v>149</v>
      </c>
      <c r="BG171" s="203" t="s">
        <v>149</v>
      </c>
      <c r="BH171" s="203" t="s">
        <v>149</v>
      </c>
      <c r="BI171" s="203" t="s">
        <v>149</v>
      </c>
      <c r="BJ171" s="252"/>
      <c r="BK171" s="252"/>
    </row>
    <row r="172" spans="1:63" ht="409.5">
      <c r="A172" s="124">
        <v>45884</v>
      </c>
      <c r="B172" s="125" t="s">
        <v>34</v>
      </c>
      <c r="C172" s="298" t="s">
        <v>748</v>
      </c>
      <c r="D172" s="125" t="s">
        <v>756</v>
      </c>
      <c r="E172" s="125" t="s">
        <v>757</v>
      </c>
      <c r="F172" s="126" t="s">
        <v>758</v>
      </c>
      <c r="G172" s="209"/>
      <c r="H172" s="212"/>
      <c r="I172" s="210" t="s">
        <v>149</v>
      </c>
      <c r="J172" s="203" t="s">
        <v>149</v>
      </c>
      <c r="K172" s="203"/>
      <c r="L172" s="203" t="s">
        <v>149</v>
      </c>
      <c r="M172" s="203"/>
      <c r="N172" s="203" t="s">
        <v>149</v>
      </c>
      <c r="O172" s="203" t="s">
        <v>149</v>
      </c>
      <c r="P172" s="203" t="s">
        <v>149</v>
      </c>
      <c r="Q172" s="203" t="s">
        <v>149</v>
      </c>
      <c r="R172" s="203"/>
      <c r="S172" s="203"/>
      <c r="T172" s="203"/>
      <c r="U172" s="203"/>
      <c r="V172" s="203"/>
      <c r="W172" s="203"/>
      <c r="X172" s="203" t="s">
        <v>149</v>
      </c>
      <c r="Y172" s="203" t="s">
        <v>149</v>
      </c>
      <c r="Z172" s="203" t="s">
        <v>149</v>
      </c>
      <c r="AA172" s="203" t="s">
        <v>149</v>
      </c>
      <c r="AB172" s="203" t="s">
        <v>149</v>
      </c>
      <c r="AC172" s="203" t="s">
        <v>149</v>
      </c>
      <c r="AD172" s="203" t="s">
        <v>149</v>
      </c>
      <c r="AE172" s="203" t="s">
        <v>149</v>
      </c>
      <c r="AF172" s="203" t="s">
        <v>149</v>
      </c>
      <c r="AG172" s="203" t="s">
        <v>149</v>
      </c>
      <c r="AH172" s="203" t="s">
        <v>149</v>
      </c>
      <c r="AI172" s="203" t="s">
        <v>149</v>
      </c>
      <c r="AJ172" s="203" t="s">
        <v>149</v>
      </c>
      <c r="AK172" s="203" t="s">
        <v>149</v>
      </c>
      <c r="AL172" s="203" t="s">
        <v>149</v>
      </c>
      <c r="AM172" s="203" t="s">
        <v>149</v>
      </c>
      <c r="AN172" s="203" t="s">
        <v>149</v>
      </c>
      <c r="AO172" s="203" t="s">
        <v>149</v>
      </c>
      <c r="AP172" s="203"/>
      <c r="AQ172" s="203" t="s">
        <v>149</v>
      </c>
      <c r="AR172" s="203" t="s">
        <v>149</v>
      </c>
      <c r="AS172" s="203" t="s">
        <v>149</v>
      </c>
      <c r="AT172" s="203"/>
      <c r="AU172" s="203"/>
      <c r="AV172" s="203" t="s">
        <v>149</v>
      </c>
      <c r="AW172" s="203" t="s">
        <v>149</v>
      </c>
      <c r="AX172" s="203" t="s">
        <v>149</v>
      </c>
      <c r="AY172" s="203" t="s">
        <v>149</v>
      </c>
      <c r="AZ172" s="203" t="s">
        <v>149</v>
      </c>
      <c r="BA172" s="203" t="s">
        <v>149</v>
      </c>
      <c r="BB172" s="203" t="s">
        <v>149</v>
      </c>
      <c r="BC172" s="203"/>
      <c r="BD172" s="203"/>
      <c r="BE172" s="203"/>
      <c r="BF172" s="203" t="s">
        <v>149</v>
      </c>
      <c r="BG172" s="203" t="s">
        <v>149</v>
      </c>
      <c r="BH172" s="203" t="s">
        <v>149</v>
      </c>
      <c r="BI172" s="203" t="s">
        <v>149</v>
      </c>
      <c r="BJ172" s="252"/>
      <c r="BK172" s="252"/>
    </row>
    <row r="173" spans="1:63" ht="409.5">
      <c r="A173" s="124">
        <v>45891</v>
      </c>
      <c r="B173" s="125" t="s">
        <v>34</v>
      </c>
      <c r="C173" s="298" t="s">
        <v>748</v>
      </c>
      <c r="D173" s="125" t="s">
        <v>759</v>
      </c>
      <c r="E173" s="125" t="s">
        <v>760</v>
      </c>
      <c r="F173" s="126" t="s">
        <v>761</v>
      </c>
      <c r="G173" s="209"/>
      <c r="H173" s="212"/>
      <c r="I173" s="210" t="s">
        <v>149</v>
      </c>
      <c r="J173" s="203" t="s">
        <v>149</v>
      </c>
      <c r="K173" s="203"/>
      <c r="L173" s="203" t="s">
        <v>149</v>
      </c>
      <c r="M173" s="203"/>
      <c r="N173" s="203" t="s">
        <v>149</v>
      </c>
      <c r="O173" s="203" t="s">
        <v>149</v>
      </c>
      <c r="P173" s="203" t="s">
        <v>149</v>
      </c>
      <c r="Q173" s="203" t="s">
        <v>149</v>
      </c>
      <c r="R173" s="203"/>
      <c r="S173" s="203"/>
      <c r="T173" s="203"/>
      <c r="U173" s="203"/>
      <c r="V173" s="203"/>
      <c r="W173" s="203"/>
      <c r="X173" s="203" t="s">
        <v>149</v>
      </c>
      <c r="Y173" s="203" t="s">
        <v>149</v>
      </c>
      <c r="Z173" s="203" t="s">
        <v>149</v>
      </c>
      <c r="AA173" s="203" t="s">
        <v>149</v>
      </c>
      <c r="AB173" s="203" t="s">
        <v>149</v>
      </c>
      <c r="AC173" s="203" t="s">
        <v>149</v>
      </c>
      <c r="AD173" s="203" t="s">
        <v>149</v>
      </c>
      <c r="AE173" s="203" t="s">
        <v>149</v>
      </c>
      <c r="AF173" s="203" t="s">
        <v>149</v>
      </c>
      <c r="AG173" s="203" t="s">
        <v>149</v>
      </c>
      <c r="AH173" s="203" t="s">
        <v>149</v>
      </c>
      <c r="AI173" s="203" t="s">
        <v>149</v>
      </c>
      <c r="AJ173" s="203" t="s">
        <v>149</v>
      </c>
      <c r="AK173" s="203" t="s">
        <v>149</v>
      </c>
      <c r="AL173" s="203" t="s">
        <v>149</v>
      </c>
      <c r="AM173" s="203" t="s">
        <v>149</v>
      </c>
      <c r="AN173" s="203" t="s">
        <v>149</v>
      </c>
      <c r="AO173" s="203" t="s">
        <v>149</v>
      </c>
      <c r="AP173" s="203"/>
      <c r="AQ173" s="203" t="s">
        <v>149</v>
      </c>
      <c r="AR173" s="203" t="s">
        <v>149</v>
      </c>
      <c r="AS173" s="203" t="s">
        <v>149</v>
      </c>
      <c r="AT173" s="203"/>
      <c r="AU173" s="203"/>
      <c r="AV173" s="203" t="s">
        <v>149</v>
      </c>
      <c r="AW173" s="203" t="s">
        <v>149</v>
      </c>
      <c r="AX173" s="203" t="s">
        <v>149</v>
      </c>
      <c r="AY173" s="203" t="s">
        <v>149</v>
      </c>
      <c r="AZ173" s="203" t="s">
        <v>149</v>
      </c>
      <c r="BA173" s="203" t="s">
        <v>149</v>
      </c>
      <c r="BB173" s="203" t="s">
        <v>149</v>
      </c>
      <c r="BC173" s="203"/>
      <c r="BD173" s="203"/>
      <c r="BE173" s="203"/>
      <c r="BF173" s="203" t="s">
        <v>149</v>
      </c>
      <c r="BG173" s="203" t="s">
        <v>149</v>
      </c>
      <c r="BH173" s="203" t="s">
        <v>149</v>
      </c>
      <c r="BI173" s="203" t="s">
        <v>149</v>
      </c>
      <c r="BJ173" s="252"/>
      <c r="BK173" s="252"/>
    </row>
    <row r="174" spans="1:63" ht="285">
      <c r="A174" s="124">
        <v>45898</v>
      </c>
      <c r="B174" s="125" t="s">
        <v>34</v>
      </c>
      <c r="C174" s="298" t="s">
        <v>748</v>
      </c>
      <c r="D174" s="125" t="s">
        <v>762</v>
      </c>
      <c r="E174" s="125" t="s">
        <v>763</v>
      </c>
      <c r="F174" s="126" t="s">
        <v>764</v>
      </c>
      <c r="G174" s="209"/>
      <c r="H174" s="212"/>
      <c r="I174" s="210" t="s">
        <v>149</v>
      </c>
      <c r="J174" s="203" t="s">
        <v>149</v>
      </c>
      <c r="K174" s="203"/>
      <c r="L174" s="203" t="s">
        <v>149</v>
      </c>
      <c r="M174" s="203"/>
      <c r="N174" s="203" t="s">
        <v>149</v>
      </c>
      <c r="O174" s="203" t="s">
        <v>149</v>
      </c>
      <c r="P174" s="203" t="s">
        <v>149</v>
      </c>
      <c r="Q174" s="203" t="s">
        <v>149</v>
      </c>
      <c r="R174" s="203"/>
      <c r="S174" s="203"/>
      <c r="T174" s="203"/>
      <c r="U174" s="203"/>
      <c r="V174" s="203"/>
      <c r="W174" s="203"/>
      <c r="X174" s="203" t="s">
        <v>149</v>
      </c>
      <c r="Y174" s="203" t="s">
        <v>149</v>
      </c>
      <c r="Z174" s="203" t="s">
        <v>149</v>
      </c>
      <c r="AA174" s="203" t="s">
        <v>149</v>
      </c>
      <c r="AB174" s="203" t="s">
        <v>149</v>
      </c>
      <c r="AC174" s="203" t="s">
        <v>149</v>
      </c>
      <c r="AD174" s="203" t="s">
        <v>149</v>
      </c>
      <c r="AE174" s="203" t="s">
        <v>149</v>
      </c>
      <c r="AF174" s="203" t="s">
        <v>149</v>
      </c>
      <c r="AG174" s="203" t="s">
        <v>149</v>
      </c>
      <c r="AH174" s="203" t="s">
        <v>149</v>
      </c>
      <c r="AI174" s="203" t="s">
        <v>149</v>
      </c>
      <c r="AJ174" s="203" t="s">
        <v>149</v>
      </c>
      <c r="AK174" s="203" t="s">
        <v>149</v>
      </c>
      <c r="AL174" s="203" t="s">
        <v>149</v>
      </c>
      <c r="AM174" s="203" t="s">
        <v>149</v>
      </c>
      <c r="AN174" s="203" t="s">
        <v>149</v>
      </c>
      <c r="AO174" s="203" t="s">
        <v>149</v>
      </c>
      <c r="AP174" s="203"/>
      <c r="AQ174" s="203" t="s">
        <v>149</v>
      </c>
      <c r="AR174" s="203" t="s">
        <v>149</v>
      </c>
      <c r="AS174" s="203" t="s">
        <v>149</v>
      </c>
      <c r="AT174" s="203"/>
      <c r="AU174" s="203"/>
      <c r="AV174" s="203" t="s">
        <v>149</v>
      </c>
      <c r="AW174" s="203" t="s">
        <v>149</v>
      </c>
      <c r="AX174" s="203" t="s">
        <v>149</v>
      </c>
      <c r="AY174" s="203" t="s">
        <v>149</v>
      </c>
      <c r="AZ174" s="203" t="s">
        <v>149</v>
      </c>
      <c r="BA174" s="203" t="s">
        <v>149</v>
      </c>
      <c r="BB174" s="203" t="s">
        <v>149</v>
      </c>
      <c r="BC174" s="203"/>
      <c r="BD174" s="203"/>
      <c r="BE174" s="203"/>
      <c r="BF174" s="203" t="s">
        <v>149</v>
      </c>
      <c r="BG174" s="203" t="s">
        <v>149</v>
      </c>
      <c r="BH174" s="203" t="s">
        <v>149</v>
      </c>
      <c r="BI174" s="203" t="s">
        <v>149</v>
      </c>
      <c r="BJ174" s="203"/>
      <c r="BK174" s="252"/>
    </row>
    <row r="175" spans="1:63" ht="390">
      <c r="A175" s="124">
        <v>45898</v>
      </c>
      <c r="B175" s="125" t="s">
        <v>34</v>
      </c>
      <c r="C175" s="298" t="s">
        <v>765</v>
      </c>
      <c r="D175" s="125" t="s">
        <v>766</v>
      </c>
      <c r="E175" s="125" t="s">
        <v>767</v>
      </c>
      <c r="F175" s="126" t="s">
        <v>768</v>
      </c>
      <c r="G175" s="209"/>
      <c r="H175" s="212"/>
      <c r="I175" s="210" t="s">
        <v>149</v>
      </c>
      <c r="J175" s="203" t="s">
        <v>149</v>
      </c>
      <c r="K175" s="203"/>
      <c r="L175" s="203" t="s">
        <v>149</v>
      </c>
      <c r="M175" s="203"/>
      <c r="N175" s="203" t="s">
        <v>149</v>
      </c>
      <c r="O175" s="203" t="s">
        <v>149</v>
      </c>
      <c r="P175" s="203" t="s">
        <v>149</v>
      </c>
      <c r="Q175" s="203" t="s">
        <v>149</v>
      </c>
      <c r="R175" s="203"/>
      <c r="S175" s="203"/>
      <c r="T175" s="203"/>
      <c r="U175" s="203"/>
      <c r="V175" s="203"/>
      <c r="W175" s="203"/>
      <c r="X175" s="203" t="s">
        <v>149</v>
      </c>
      <c r="Y175" s="203" t="s">
        <v>149</v>
      </c>
      <c r="Z175" s="203" t="s">
        <v>149</v>
      </c>
      <c r="AA175" s="203" t="s">
        <v>149</v>
      </c>
      <c r="AB175" s="203" t="s">
        <v>149</v>
      </c>
      <c r="AC175" s="203" t="s">
        <v>149</v>
      </c>
      <c r="AD175" s="203" t="s">
        <v>149</v>
      </c>
      <c r="AE175" s="203" t="s">
        <v>149</v>
      </c>
      <c r="AF175" s="203" t="s">
        <v>149</v>
      </c>
      <c r="AG175" s="203" t="s">
        <v>149</v>
      </c>
      <c r="AH175" s="203" t="s">
        <v>149</v>
      </c>
      <c r="AI175" s="203" t="s">
        <v>149</v>
      </c>
      <c r="AJ175" s="203" t="s">
        <v>149</v>
      </c>
      <c r="AK175" s="203" t="s">
        <v>149</v>
      </c>
      <c r="AL175" s="203" t="s">
        <v>149</v>
      </c>
      <c r="AM175" s="203" t="s">
        <v>149</v>
      </c>
      <c r="AN175" s="203" t="s">
        <v>149</v>
      </c>
      <c r="AO175" s="203" t="s">
        <v>149</v>
      </c>
      <c r="AP175" s="203"/>
      <c r="AQ175" s="203" t="s">
        <v>149</v>
      </c>
      <c r="AR175" s="203" t="s">
        <v>149</v>
      </c>
      <c r="AS175" s="203" t="s">
        <v>149</v>
      </c>
      <c r="AT175" s="203"/>
      <c r="AU175" s="203"/>
      <c r="AV175" s="203" t="s">
        <v>149</v>
      </c>
      <c r="AW175" s="203" t="s">
        <v>149</v>
      </c>
      <c r="AX175" s="203" t="s">
        <v>149</v>
      </c>
      <c r="AY175" s="203" t="s">
        <v>149</v>
      </c>
      <c r="AZ175" s="203" t="s">
        <v>149</v>
      </c>
      <c r="BA175" s="203" t="s">
        <v>149</v>
      </c>
      <c r="BB175" s="203" t="s">
        <v>149</v>
      </c>
      <c r="BC175" s="203"/>
      <c r="BD175" s="203"/>
      <c r="BE175" s="203"/>
      <c r="BF175" s="203" t="s">
        <v>149</v>
      </c>
      <c r="BG175" s="203" t="s">
        <v>149</v>
      </c>
      <c r="BH175" s="203" t="s">
        <v>149</v>
      </c>
      <c r="BI175" s="203" t="s">
        <v>149</v>
      </c>
      <c r="BJ175" s="252"/>
      <c r="BK175" s="252"/>
    </row>
    <row r="176" spans="1:63" ht="135">
      <c r="A176" s="124">
        <v>45898</v>
      </c>
      <c r="B176" s="125" t="s">
        <v>34</v>
      </c>
      <c r="C176" s="298" t="s">
        <v>769</v>
      </c>
      <c r="D176" s="125" t="s">
        <v>770</v>
      </c>
      <c r="E176" s="125" t="s">
        <v>771</v>
      </c>
      <c r="F176" s="126" t="s">
        <v>772</v>
      </c>
      <c r="G176" s="209"/>
      <c r="H176" s="212"/>
      <c r="I176" s="210" t="s">
        <v>149</v>
      </c>
      <c r="J176" s="203" t="s">
        <v>149</v>
      </c>
      <c r="K176" s="203"/>
      <c r="L176" s="203" t="s">
        <v>149</v>
      </c>
      <c r="M176" s="203"/>
      <c r="N176" s="203" t="s">
        <v>149</v>
      </c>
      <c r="O176" s="203" t="s">
        <v>149</v>
      </c>
      <c r="P176" s="203" t="s">
        <v>149</v>
      </c>
      <c r="Q176" s="203" t="s">
        <v>149</v>
      </c>
      <c r="R176" s="203"/>
      <c r="S176" s="203"/>
      <c r="T176" s="203"/>
      <c r="U176" s="203"/>
      <c r="V176" s="203"/>
      <c r="W176" s="203"/>
      <c r="X176" s="203" t="s">
        <v>149</v>
      </c>
      <c r="Y176" s="203" t="s">
        <v>149</v>
      </c>
      <c r="Z176" s="203" t="s">
        <v>149</v>
      </c>
      <c r="AA176" s="203" t="s">
        <v>149</v>
      </c>
      <c r="AB176" s="203" t="s">
        <v>149</v>
      </c>
      <c r="AC176" s="203" t="s">
        <v>149</v>
      </c>
      <c r="AD176" s="203" t="s">
        <v>149</v>
      </c>
      <c r="AE176" s="203" t="s">
        <v>149</v>
      </c>
      <c r="AF176" s="203" t="s">
        <v>149</v>
      </c>
      <c r="AG176" s="203" t="s">
        <v>149</v>
      </c>
      <c r="AH176" s="203" t="s">
        <v>149</v>
      </c>
      <c r="AI176" s="203" t="s">
        <v>149</v>
      </c>
      <c r="AJ176" s="203" t="s">
        <v>149</v>
      </c>
      <c r="AK176" s="203" t="s">
        <v>149</v>
      </c>
      <c r="AL176" s="203" t="s">
        <v>149</v>
      </c>
      <c r="AM176" s="203" t="s">
        <v>149</v>
      </c>
      <c r="AN176" s="203" t="s">
        <v>149</v>
      </c>
      <c r="AO176" s="203" t="s">
        <v>149</v>
      </c>
      <c r="AP176" s="203"/>
      <c r="AQ176" s="203" t="s">
        <v>149</v>
      </c>
      <c r="AR176" s="203" t="s">
        <v>149</v>
      </c>
      <c r="AS176" s="203" t="s">
        <v>149</v>
      </c>
      <c r="AT176" s="203"/>
      <c r="AU176" s="203"/>
      <c r="AV176" s="203" t="s">
        <v>149</v>
      </c>
      <c r="AW176" s="203" t="s">
        <v>149</v>
      </c>
      <c r="AX176" s="203" t="s">
        <v>149</v>
      </c>
      <c r="AY176" s="203" t="s">
        <v>149</v>
      </c>
      <c r="AZ176" s="203" t="s">
        <v>149</v>
      </c>
      <c r="BA176" s="203" t="s">
        <v>149</v>
      </c>
      <c r="BB176" s="203" t="s">
        <v>149</v>
      </c>
      <c r="BC176" s="203"/>
      <c r="BD176" s="203"/>
      <c r="BE176" s="203"/>
      <c r="BF176" s="203" t="s">
        <v>149</v>
      </c>
      <c r="BG176" s="203" t="s">
        <v>149</v>
      </c>
      <c r="BH176" s="203" t="s">
        <v>149</v>
      </c>
      <c r="BI176" s="203" t="s">
        <v>149</v>
      </c>
      <c r="BJ176" s="203" t="s">
        <v>149</v>
      </c>
      <c r="BK176" s="252"/>
    </row>
    <row r="177" spans="1:63" ht="285">
      <c r="A177" s="124">
        <v>45905</v>
      </c>
      <c r="B177" s="125" t="s">
        <v>34</v>
      </c>
      <c r="C177" s="298" t="s">
        <v>773</v>
      </c>
      <c r="D177" s="125" t="s">
        <v>774</v>
      </c>
      <c r="E177" s="125" t="s">
        <v>775</v>
      </c>
      <c r="F177" s="126" t="s">
        <v>776</v>
      </c>
      <c r="G177" s="209"/>
      <c r="H177" s="212"/>
      <c r="I177" s="210" t="s">
        <v>149</v>
      </c>
      <c r="J177" s="203" t="s">
        <v>149</v>
      </c>
      <c r="K177" s="203"/>
      <c r="L177" s="203" t="s">
        <v>149</v>
      </c>
      <c r="M177" s="203"/>
      <c r="N177" s="203" t="s">
        <v>149</v>
      </c>
      <c r="O177" s="203" t="s">
        <v>149</v>
      </c>
      <c r="P177" s="203" t="s">
        <v>149</v>
      </c>
      <c r="Q177" s="203" t="s">
        <v>149</v>
      </c>
      <c r="R177" s="203"/>
      <c r="S177" s="203"/>
      <c r="T177" s="203"/>
      <c r="U177" s="203"/>
      <c r="V177" s="203"/>
      <c r="W177" s="203"/>
      <c r="X177" s="203" t="s">
        <v>149</v>
      </c>
      <c r="Y177" s="203" t="s">
        <v>149</v>
      </c>
      <c r="Z177" s="203" t="s">
        <v>149</v>
      </c>
      <c r="AA177" s="203" t="s">
        <v>149</v>
      </c>
      <c r="AB177" s="203" t="s">
        <v>149</v>
      </c>
      <c r="AC177" s="203" t="s">
        <v>149</v>
      </c>
      <c r="AD177" s="203" t="s">
        <v>149</v>
      </c>
      <c r="AE177" s="203" t="s">
        <v>149</v>
      </c>
      <c r="AF177" s="203" t="s">
        <v>149</v>
      </c>
      <c r="AG177" s="203" t="s">
        <v>149</v>
      </c>
      <c r="AH177" s="203" t="s">
        <v>149</v>
      </c>
      <c r="AI177" s="203" t="s">
        <v>149</v>
      </c>
      <c r="AJ177" s="203" t="s">
        <v>149</v>
      </c>
      <c r="AK177" s="203" t="s">
        <v>149</v>
      </c>
      <c r="AL177" s="203" t="s">
        <v>149</v>
      </c>
      <c r="AM177" s="203" t="s">
        <v>149</v>
      </c>
      <c r="AN177" s="203" t="s">
        <v>149</v>
      </c>
      <c r="AO177" s="203" t="s">
        <v>149</v>
      </c>
      <c r="AP177" s="203"/>
      <c r="AQ177" s="203" t="s">
        <v>149</v>
      </c>
      <c r="AR177" s="203" t="s">
        <v>149</v>
      </c>
      <c r="AS177" s="203" t="s">
        <v>149</v>
      </c>
      <c r="AT177" s="203"/>
      <c r="AU177" s="203"/>
      <c r="AV177" s="203" t="s">
        <v>149</v>
      </c>
      <c r="AW177" s="203" t="s">
        <v>149</v>
      </c>
      <c r="AX177" s="203" t="s">
        <v>149</v>
      </c>
      <c r="AY177" s="203" t="s">
        <v>149</v>
      </c>
      <c r="AZ177" s="203" t="s">
        <v>149</v>
      </c>
      <c r="BA177" s="203" t="s">
        <v>149</v>
      </c>
      <c r="BB177" s="203" t="s">
        <v>149</v>
      </c>
      <c r="BC177" s="203"/>
      <c r="BD177" s="203"/>
      <c r="BE177" s="203"/>
      <c r="BF177" s="203" t="s">
        <v>149</v>
      </c>
      <c r="BG177" s="203" t="s">
        <v>149</v>
      </c>
      <c r="BH177" s="203" t="s">
        <v>149</v>
      </c>
      <c r="BI177" s="203" t="s">
        <v>149</v>
      </c>
      <c r="BJ177" s="203"/>
      <c r="BK177" s="252"/>
    </row>
    <row r="178" spans="1:63" ht="180">
      <c r="A178" s="124">
        <v>45905</v>
      </c>
      <c r="B178" s="125" t="s">
        <v>34</v>
      </c>
      <c r="C178" s="298" t="s">
        <v>777</v>
      </c>
      <c r="D178" s="125" t="s">
        <v>778</v>
      </c>
      <c r="E178" s="125" t="s">
        <v>779</v>
      </c>
      <c r="F178" s="126" t="s">
        <v>780</v>
      </c>
      <c r="G178" s="209"/>
      <c r="H178" s="212"/>
      <c r="I178" s="210" t="s">
        <v>149</v>
      </c>
      <c r="J178" s="203" t="s">
        <v>149</v>
      </c>
      <c r="K178" s="203"/>
      <c r="L178" s="203" t="s">
        <v>149</v>
      </c>
      <c r="M178" s="203"/>
      <c r="N178" s="203" t="s">
        <v>149</v>
      </c>
      <c r="O178" s="203" t="s">
        <v>149</v>
      </c>
      <c r="P178" s="203" t="s">
        <v>149</v>
      </c>
      <c r="Q178" s="203" t="s">
        <v>149</v>
      </c>
      <c r="R178" s="203"/>
      <c r="S178" s="203"/>
      <c r="T178" s="203"/>
      <c r="U178" s="203"/>
      <c r="V178" s="203"/>
      <c r="W178" s="203"/>
      <c r="X178" s="203" t="s">
        <v>149</v>
      </c>
      <c r="Y178" s="203" t="s">
        <v>149</v>
      </c>
      <c r="Z178" s="203" t="s">
        <v>149</v>
      </c>
      <c r="AA178" s="203" t="s">
        <v>149</v>
      </c>
      <c r="AB178" s="203" t="s">
        <v>149</v>
      </c>
      <c r="AC178" s="203" t="s">
        <v>149</v>
      </c>
      <c r="AD178" s="203" t="s">
        <v>149</v>
      </c>
      <c r="AE178" s="203" t="s">
        <v>149</v>
      </c>
      <c r="AF178" s="203" t="s">
        <v>149</v>
      </c>
      <c r="AG178" s="203" t="s">
        <v>149</v>
      </c>
      <c r="AH178" s="203" t="s">
        <v>149</v>
      </c>
      <c r="AI178" s="203" t="s">
        <v>149</v>
      </c>
      <c r="AJ178" s="203" t="s">
        <v>149</v>
      </c>
      <c r="AK178" s="203" t="s">
        <v>149</v>
      </c>
      <c r="AL178" s="203" t="s">
        <v>149</v>
      </c>
      <c r="AM178" s="203" t="s">
        <v>149</v>
      </c>
      <c r="AN178" s="203" t="s">
        <v>149</v>
      </c>
      <c r="AO178" s="203" t="s">
        <v>149</v>
      </c>
      <c r="AP178" s="203"/>
      <c r="AQ178" s="203" t="s">
        <v>149</v>
      </c>
      <c r="AR178" s="203" t="s">
        <v>149</v>
      </c>
      <c r="AS178" s="203" t="s">
        <v>149</v>
      </c>
      <c r="AT178" s="203"/>
      <c r="AU178" s="203"/>
      <c r="AV178" s="203" t="s">
        <v>149</v>
      </c>
      <c r="AW178" s="203" t="s">
        <v>149</v>
      </c>
      <c r="AX178" s="203" t="s">
        <v>149</v>
      </c>
      <c r="AY178" s="203" t="s">
        <v>149</v>
      </c>
      <c r="AZ178" s="203" t="s">
        <v>149</v>
      </c>
      <c r="BA178" s="203" t="s">
        <v>149</v>
      </c>
      <c r="BB178" s="203" t="s">
        <v>149</v>
      </c>
      <c r="BC178" s="203"/>
      <c r="BD178" s="203"/>
      <c r="BE178" s="203"/>
      <c r="BF178" s="203" t="s">
        <v>149</v>
      </c>
      <c r="BG178" s="203" t="s">
        <v>149</v>
      </c>
      <c r="BH178" s="203" t="s">
        <v>149</v>
      </c>
      <c r="BI178" s="203" t="s">
        <v>149</v>
      </c>
      <c r="BJ178" s="252"/>
      <c r="BK178" s="252"/>
    </row>
    <row r="179" spans="1:63" ht="150">
      <c r="A179" s="124">
        <v>45905</v>
      </c>
      <c r="B179" s="125" t="s">
        <v>34</v>
      </c>
      <c r="C179" s="298" t="s">
        <v>781</v>
      </c>
      <c r="D179" s="125" t="s">
        <v>782</v>
      </c>
      <c r="E179" s="125" t="s">
        <v>783</v>
      </c>
      <c r="F179" s="126" t="s">
        <v>784</v>
      </c>
      <c r="G179" s="209"/>
      <c r="H179" s="212"/>
      <c r="I179" s="210" t="s">
        <v>149</v>
      </c>
      <c r="J179" s="203" t="s">
        <v>149</v>
      </c>
      <c r="K179" s="203"/>
      <c r="L179" s="203" t="s">
        <v>149</v>
      </c>
      <c r="M179" s="203"/>
      <c r="N179" s="203" t="s">
        <v>149</v>
      </c>
      <c r="O179" s="203" t="s">
        <v>149</v>
      </c>
      <c r="P179" s="203" t="s">
        <v>149</v>
      </c>
      <c r="Q179" s="203" t="s">
        <v>149</v>
      </c>
      <c r="R179" s="203"/>
      <c r="S179" s="203"/>
      <c r="T179" s="203"/>
      <c r="U179" s="203"/>
      <c r="V179" s="203"/>
      <c r="W179" s="203"/>
      <c r="X179" s="203" t="s">
        <v>149</v>
      </c>
      <c r="Y179" s="203" t="s">
        <v>149</v>
      </c>
      <c r="Z179" s="203" t="s">
        <v>149</v>
      </c>
      <c r="AA179" s="203" t="s">
        <v>149</v>
      </c>
      <c r="AB179" s="203" t="s">
        <v>149</v>
      </c>
      <c r="AC179" s="203" t="s">
        <v>149</v>
      </c>
      <c r="AD179" s="203" t="s">
        <v>149</v>
      </c>
      <c r="AE179" s="203" t="s">
        <v>149</v>
      </c>
      <c r="AF179" s="203" t="s">
        <v>149</v>
      </c>
      <c r="AG179" s="203" t="s">
        <v>149</v>
      </c>
      <c r="AH179" s="203" t="s">
        <v>149</v>
      </c>
      <c r="AI179" s="203" t="s">
        <v>149</v>
      </c>
      <c r="AJ179" s="203" t="s">
        <v>149</v>
      </c>
      <c r="AK179" s="203" t="s">
        <v>149</v>
      </c>
      <c r="AL179" s="203" t="s">
        <v>149</v>
      </c>
      <c r="AM179" s="203" t="s">
        <v>149</v>
      </c>
      <c r="AN179" s="203" t="s">
        <v>149</v>
      </c>
      <c r="AO179" s="203" t="s">
        <v>149</v>
      </c>
      <c r="AP179" s="203"/>
      <c r="AQ179" s="203" t="s">
        <v>149</v>
      </c>
      <c r="AR179" s="203" t="s">
        <v>149</v>
      </c>
      <c r="AS179" s="203" t="s">
        <v>149</v>
      </c>
      <c r="AT179" s="203"/>
      <c r="AU179" s="203"/>
      <c r="AV179" s="203" t="s">
        <v>149</v>
      </c>
      <c r="AW179" s="203" t="s">
        <v>149</v>
      </c>
      <c r="AX179" s="203" t="s">
        <v>149</v>
      </c>
      <c r="AY179" s="203" t="s">
        <v>149</v>
      </c>
      <c r="AZ179" s="203" t="s">
        <v>149</v>
      </c>
      <c r="BA179" s="203" t="s">
        <v>149</v>
      </c>
      <c r="BB179" s="203" t="s">
        <v>149</v>
      </c>
      <c r="BC179" s="203"/>
      <c r="BD179" s="203"/>
      <c r="BE179" s="203"/>
      <c r="BF179" s="203" t="s">
        <v>149</v>
      </c>
      <c r="BG179" s="203" t="s">
        <v>149</v>
      </c>
      <c r="BH179" s="203" t="s">
        <v>149</v>
      </c>
      <c r="BI179" s="203" t="s">
        <v>149</v>
      </c>
      <c r="BJ179" s="203" t="s">
        <v>149</v>
      </c>
      <c r="BK179" s="252"/>
    </row>
    <row r="180" spans="1:63" ht="165">
      <c r="A180" s="124">
        <v>45912</v>
      </c>
      <c r="B180" s="125" t="s">
        <v>34</v>
      </c>
      <c r="C180" s="298" t="s">
        <v>785</v>
      </c>
      <c r="D180" s="125" t="s">
        <v>786</v>
      </c>
      <c r="E180" s="125" t="s">
        <v>787</v>
      </c>
      <c r="F180" s="126" t="s">
        <v>788</v>
      </c>
      <c r="G180" s="209"/>
      <c r="H180" s="212"/>
      <c r="I180" s="210" t="s">
        <v>149</v>
      </c>
      <c r="J180" s="203" t="s">
        <v>149</v>
      </c>
      <c r="K180" s="203"/>
      <c r="L180" s="203" t="s">
        <v>149</v>
      </c>
      <c r="M180" s="203"/>
      <c r="N180" s="203" t="s">
        <v>149</v>
      </c>
      <c r="O180" s="203" t="s">
        <v>149</v>
      </c>
      <c r="P180" s="203" t="s">
        <v>149</v>
      </c>
      <c r="Q180" s="203" t="s">
        <v>149</v>
      </c>
      <c r="R180" s="203"/>
      <c r="S180" s="203"/>
      <c r="T180" s="203"/>
      <c r="U180" s="203"/>
      <c r="V180" s="203"/>
      <c r="W180" s="203"/>
      <c r="X180" s="203" t="s">
        <v>149</v>
      </c>
      <c r="Y180" s="203" t="s">
        <v>149</v>
      </c>
      <c r="Z180" s="203" t="s">
        <v>149</v>
      </c>
      <c r="AA180" s="203" t="s">
        <v>149</v>
      </c>
      <c r="AB180" s="203" t="s">
        <v>149</v>
      </c>
      <c r="AC180" s="203" t="s">
        <v>149</v>
      </c>
      <c r="AD180" s="203" t="s">
        <v>149</v>
      </c>
      <c r="AE180" s="203" t="s">
        <v>149</v>
      </c>
      <c r="AF180" s="203" t="s">
        <v>149</v>
      </c>
      <c r="AG180" s="203" t="s">
        <v>149</v>
      </c>
      <c r="AH180" s="203" t="s">
        <v>149</v>
      </c>
      <c r="AI180" s="203" t="s">
        <v>149</v>
      </c>
      <c r="AJ180" s="203" t="s">
        <v>149</v>
      </c>
      <c r="AK180" s="203" t="s">
        <v>149</v>
      </c>
      <c r="AL180" s="203" t="s">
        <v>149</v>
      </c>
      <c r="AM180" s="203" t="s">
        <v>149</v>
      </c>
      <c r="AN180" s="203" t="s">
        <v>149</v>
      </c>
      <c r="AO180" s="203" t="s">
        <v>149</v>
      </c>
      <c r="AP180" s="203"/>
      <c r="AQ180" s="203" t="s">
        <v>149</v>
      </c>
      <c r="AR180" s="203" t="s">
        <v>149</v>
      </c>
      <c r="AS180" s="203" t="s">
        <v>149</v>
      </c>
      <c r="AT180" s="203"/>
      <c r="AU180" s="203"/>
      <c r="AV180" s="203" t="s">
        <v>149</v>
      </c>
      <c r="AW180" s="203" t="s">
        <v>149</v>
      </c>
      <c r="AX180" s="203" t="s">
        <v>149</v>
      </c>
      <c r="AY180" s="203" t="s">
        <v>149</v>
      </c>
      <c r="AZ180" s="203" t="s">
        <v>149</v>
      </c>
      <c r="BA180" s="203" t="s">
        <v>149</v>
      </c>
      <c r="BB180" s="203" t="s">
        <v>149</v>
      </c>
      <c r="BC180" s="203"/>
      <c r="BD180" s="203"/>
      <c r="BE180" s="203"/>
      <c r="BF180" s="203" t="s">
        <v>149</v>
      </c>
      <c r="BG180" s="203" t="s">
        <v>149</v>
      </c>
      <c r="BH180" s="203" t="s">
        <v>149</v>
      </c>
      <c r="BI180" s="203" t="s">
        <v>149</v>
      </c>
      <c r="BJ180" s="252"/>
      <c r="BK180" s="252"/>
    </row>
    <row r="181" spans="1:63" ht="330">
      <c r="A181" s="124">
        <v>45912</v>
      </c>
      <c r="B181" s="125" t="s">
        <v>34</v>
      </c>
      <c r="C181" s="298" t="s">
        <v>773</v>
      </c>
      <c r="D181" s="125" t="s">
        <v>789</v>
      </c>
      <c r="E181" s="125" t="s">
        <v>790</v>
      </c>
      <c r="F181" s="126" t="s">
        <v>791</v>
      </c>
      <c r="G181" s="209"/>
      <c r="H181" s="212"/>
      <c r="I181" s="210" t="s">
        <v>149</v>
      </c>
      <c r="J181" s="203" t="s">
        <v>149</v>
      </c>
      <c r="K181" s="203"/>
      <c r="L181" s="203" t="s">
        <v>149</v>
      </c>
      <c r="M181" s="203"/>
      <c r="N181" s="203" t="s">
        <v>149</v>
      </c>
      <c r="O181" s="203" t="s">
        <v>149</v>
      </c>
      <c r="P181" s="203" t="s">
        <v>149</v>
      </c>
      <c r="Q181" s="203" t="s">
        <v>149</v>
      </c>
      <c r="R181" s="203"/>
      <c r="S181" s="203"/>
      <c r="T181" s="203"/>
      <c r="U181" s="203"/>
      <c r="V181" s="203"/>
      <c r="W181" s="203"/>
      <c r="X181" s="203" t="s">
        <v>149</v>
      </c>
      <c r="Y181" s="203" t="s">
        <v>149</v>
      </c>
      <c r="Z181" s="203" t="s">
        <v>149</v>
      </c>
      <c r="AA181" s="203" t="s">
        <v>149</v>
      </c>
      <c r="AB181" s="203" t="s">
        <v>149</v>
      </c>
      <c r="AC181" s="203" t="s">
        <v>149</v>
      </c>
      <c r="AD181" s="203" t="s">
        <v>149</v>
      </c>
      <c r="AE181" s="203" t="s">
        <v>149</v>
      </c>
      <c r="AF181" s="203" t="s">
        <v>149</v>
      </c>
      <c r="AG181" s="203" t="s">
        <v>149</v>
      </c>
      <c r="AH181" s="203" t="s">
        <v>149</v>
      </c>
      <c r="AI181" s="203" t="s">
        <v>149</v>
      </c>
      <c r="AJ181" s="203" t="s">
        <v>149</v>
      </c>
      <c r="AK181" s="203" t="s">
        <v>149</v>
      </c>
      <c r="AL181" s="203" t="s">
        <v>149</v>
      </c>
      <c r="AM181" s="203" t="s">
        <v>149</v>
      </c>
      <c r="AN181" s="203" t="s">
        <v>149</v>
      </c>
      <c r="AO181" s="203" t="s">
        <v>149</v>
      </c>
      <c r="AP181" s="203"/>
      <c r="AQ181" s="203" t="s">
        <v>149</v>
      </c>
      <c r="AR181" s="203" t="s">
        <v>149</v>
      </c>
      <c r="AS181" s="203" t="s">
        <v>149</v>
      </c>
      <c r="AT181" s="203"/>
      <c r="AU181" s="203"/>
      <c r="AV181" s="203" t="s">
        <v>149</v>
      </c>
      <c r="AW181" s="203" t="s">
        <v>149</v>
      </c>
      <c r="AX181" s="203" t="s">
        <v>149</v>
      </c>
      <c r="AY181" s="203" t="s">
        <v>149</v>
      </c>
      <c r="AZ181" s="203" t="s">
        <v>149</v>
      </c>
      <c r="BA181" s="203" t="s">
        <v>149</v>
      </c>
      <c r="BB181" s="203" t="s">
        <v>149</v>
      </c>
      <c r="BC181" s="203"/>
      <c r="BD181" s="203"/>
      <c r="BE181" s="203"/>
      <c r="BF181" s="203" t="s">
        <v>149</v>
      </c>
      <c r="BG181" s="203" t="s">
        <v>149</v>
      </c>
      <c r="BH181" s="203" t="s">
        <v>149</v>
      </c>
      <c r="BI181" s="203" t="s">
        <v>149</v>
      </c>
      <c r="BJ181" s="203"/>
      <c r="BK181" s="252"/>
    </row>
    <row r="182" spans="1:63" ht="180">
      <c r="A182" s="124">
        <v>45912</v>
      </c>
      <c r="B182" s="125" t="s">
        <v>34</v>
      </c>
      <c r="C182" s="298" t="s">
        <v>781</v>
      </c>
      <c r="D182" s="125" t="s">
        <v>792</v>
      </c>
      <c r="E182" s="125" t="s">
        <v>793</v>
      </c>
      <c r="F182" s="126" t="s">
        <v>794</v>
      </c>
      <c r="G182" s="209"/>
      <c r="H182" s="212"/>
      <c r="I182" s="210" t="s">
        <v>149</v>
      </c>
      <c r="J182" s="203" t="s">
        <v>149</v>
      </c>
      <c r="K182" s="203"/>
      <c r="L182" s="203" t="s">
        <v>149</v>
      </c>
      <c r="M182" s="203"/>
      <c r="N182" s="203" t="s">
        <v>149</v>
      </c>
      <c r="O182" s="203" t="s">
        <v>149</v>
      </c>
      <c r="P182" s="203" t="s">
        <v>149</v>
      </c>
      <c r="Q182" s="203" t="s">
        <v>149</v>
      </c>
      <c r="R182" s="203"/>
      <c r="S182" s="203"/>
      <c r="T182" s="203"/>
      <c r="U182" s="203"/>
      <c r="V182" s="203"/>
      <c r="W182" s="203"/>
      <c r="X182" s="203" t="s">
        <v>149</v>
      </c>
      <c r="Y182" s="203" t="s">
        <v>149</v>
      </c>
      <c r="Z182" s="203" t="s">
        <v>149</v>
      </c>
      <c r="AA182" s="203" t="s">
        <v>149</v>
      </c>
      <c r="AB182" s="203" t="s">
        <v>149</v>
      </c>
      <c r="AC182" s="203" t="s">
        <v>149</v>
      </c>
      <c r="AD182" s="203" t="s">
        <v>149</v>
      </c>
      <c r="AE182" s="203" t="s">
        <v>149</v>
      </c>
      <c r="AF182" s="203" t="s">
        <v>149</v>
      </c>
      <c r="AG182" s="203" t="s">
        <v>149</v>
      </c>
      <c r="AH182" s="203" t="s">
        <v>149</v>
      </c>
      <c r="AI182" s="203" t="s">
        <v>149</v>
      </c>
      <c r="AJ182" s="203" t="s">
        <v>149</v>
      </c>
      <c r="AK182" s="203" t="s">
        <v>149</v>
      </c>
      <c r="AL182" s="203" t="s">
        <v>149</v>
      </c>
      <c r="AM182" s="203" t="s">
        <v>149</v>
      </c>
      <c r="AN182" s="203" t="s">
        <v>149</v>
      </c>
      <c r="AO182" s="203" t="s">
        <v>149</v>
      </c>
      <c r="AP182" s="203"/>
      <c r="AQ182" s="203" t="s">
        <v>149</v>
      </c>
      <c r="AR182" s="203" t="s">
        <v>149</v>
      </c>
      <c r="AS182" s="203" t="s">
        <v>149</v>
      </c>
      <c r="AT182" s="203"/>
      <c r="AU182" s="203"/>
      <c r="AV182" s="203" t="s">
        <v>149</v>
      </c>
      <c r="AW182" s="203" t="s">
        <v>149</v>
      </c>
      <c r="AX182" s="203" t="s">
        <v>149</v>
      </c>
      <c r="AY182" s="203" t="s">
        <v>149</v>
      </c>
      <c r="AZ182" s="203" t="s">
        <v>149</v>
      </c>
      <c r="BA182" s="203" t="s">
        <v>149</v>
      </c>
      <c r="BB182" s="203" t="s">
        <v>149</v>
      </c>
      <c r="BC182" s="203"/>
      <c r="BD182" s="203"/>
      <c r="BE182" s="203"/>
      <c r="BF182" s="203" t="s">
        <v>149</v>
      </c>
      <c r="BG182" s="203" t="s">
        <v>149</v>
      </c>
      <c r="BH182" s="203" t="s">
        <v>149</v>
      </c>
      <c r="BI182" s="203" t="s">
        <v>149</v>
      </c>
      <c r="BJ182" s="203" t="s">
        <v>149</v>
      </c>
      <c r="BK182" s="252"/>
    </row>
    <row r="183" spans="1:63" ht="300">
      <c r="A183" s="124">
        <v>45919</v>
      </c>
      <c r="B183" s="125" t="s">
        <v>34</v>
      </c>
      <c r="C183" s="298" t="s">
        <v>773</v>
      </c>
      <c r="D183" s="125" t="s">
        <v>795</v>
      </c>
      <c r="E183" s="125" t="s">
        <v>796</v>
      </c>
      <c r="F183" s="126" t="s">
        <v>797</v>
      </c>
      <c r="G183" s="209"/>
      <c r="H183" s="212"/>
      <c r="I183" s="210" t="s">
        <v>149</v>
      </c>
      <c r="J183" s="203" t="s">
        <v>149</v>
      </c>
      <c r="K183" s="203"/>
      <c r="L183" s="203" t="s">
        <v>149</v>
      </c>
      <c r="M183" s="203"/>
      <c r="N183" s="203" t="s">
        <v>149</v>
      </c>
      <c r="O183" s="203" t="s">
        <v>149</v>
      </c>
      <c r="P183" s="203" t="s">
        <v>149</v>
      </c>
      <c r="Q183" s="203" t="s">
        <v>149</v>
      </c>
      <c r="R183" s="203"/>
      <c r="S183" s="203"/>
      <c r="T183" s="203"/>
      <c r="U183" s="203"/>
      <c r="V183" s="203"/>
      <c r="W183" s="203"/>
      <c r="X183" s="203" t="s">
        <v>149</v>
      </c>
      <c r="Y183" s="203" t="s">
        <v>149</v>
      </c>
      <c r="Z183" s="203" t="s">
        <v>149</v>
      </c>
      <c r="AA183" s="203" t="s">
        <v>149</v>
      </c>
      <c r="AB183" s="203" t="s">
        <v>149</v>
      </c>
      <c r="AC183" s="203" t="s">
        <v>149</v>
      </c>
      <c r="AD183" s="203" t="s">
        <v>149</v>
      </c>
      <c r="AE183" s="203" t="s">
        <v>149</v>
      </c>
      <c r="AF183" s="203" t="s">
        <v>149</v>
      </c>
      <c r="AG183" s="203" t="s">
        <v>149</v>
      </c>
      <c r="AH183" s="203" t="s">
        <v>149</v>
      </c>
      <c r="AI183" s="203" t="s">
        <v>149</v>
      </c>
      <c r="AJ183" s="203" t="s">
        <v>149</v>
      </c>
      <c r="AK183" s="203" t="s">
        <v>149</v>
      </c>
      <c r="AL183" s="203" t="s">
        <v>149</v>
      </c>
      <c r="AM183" s="203" t="s">
        <v>149</v>
      </c>
      <c r="AN183" s="203" t="s">
        <v>149</v>
      </c>
      <c r="AO183" s="203" t="s">
        <v>149</v>
      </c>
      <c r="AP183" s="203"/>
      <c r="AQ183" s="203" t="s">
        <v>149</v>
      </c>
      <c r="AR183" s="203" t="s">
        <v>149</v>
      </c>
      <c r="AS183" s="203" t="s">
        <v>149</v>
      </c>
      <c r="AT183" s="203"/>
      <c r="AU183" s="203"/>
      <c r="AV183" s="203" t="s">
        <v>149</v>
      </c>
      <c r="AW183" s="203" t="s">
        <v>149</v>
      </c>
      <c r="AX183" s="203" t="s">
        <v>149</v>
      </c>
      <c r="AY183" s="203" t="s">
        <v>149</v>
      </c>
      <c r="AZ183" s="203" t="s">
        <v>149</v>
      </c>
      <c r="BA183" s="203" t="s">
        <v>149</v>
      </c>
      <c r="BB183" s="203" t="s">
        <v>149</v>
      </c>
      <c r="BC183" s="203"/>
      <c r="BD183" s="203"/>
      <c r="BE183" s="203"/>
      <c r="BF183" s="203" t="s">
        <v>149</v>
      </c>
      <c r="BG183" s="203" t="s">
        <v>149</v>
      </c>
      <c r="BH183" s="203" t="s">
        <v>149</v>
      </c>
      <c r="BI183" s="203" t="s">
        <v>149</v>
      </c>
      <c r="BJ183" s="203"/>
      <c r="BK183" s="252"/>
    </row>
    <row r="184" spans="1:63" ht="150">
      <c r="A184" s="124">
        <v>45919</v>
      </c>
      <c r="B184" s="125" t="s">
        <v>34</v>
      </c>
      <c r="C184" s="298" t="s">
        <v>781</v>
      </c>
      <c r="D184" s="125" t="s">
        <v>798</v>
      </c>
      <c r="E184" s="125" t="s">
        <v>799</v>
      </c>
      <c r="F184" s="126" t="s">
        <v>800</v>
      </c>
      <c r="G184" s="209"/>
      <c r="H184" s="212"/>
      <c r="I184" s="210" t="s">
        <v>149</v>
      </c>
      <c r="J184" s="203" t="s">
        <v>149</v>
      </c>
      <c r="K184" s="203"/>
      <c r="L184" s="203" t="s">
        <v>149</v>
      </c>
      <c r="M184" s="203"/>
      <c r="N184" s="203" t="s">
        <v>149</v>
      </c>
      <c r="O184" s="203" t="s">
        <v>149</v>
      </c>
      <c r="P184" s="203" t="s">
        <v>149</v>
      </c>
      <c r="Q184" s="203" t="s">
        <v>149</v>
      </c>
      <c r="R184" s="203"/>
      <c r="S184" s="203"/>
      <c r="T184" s="203"/>
      <c r="U184" s="203"/>
      <c r="V184" s="203"/>
      <c r="W184" s="203"/>
      <c r="X184" s="203" t="s">
        <v>149</v>
      </c>
      <c r="Y184" s="203" t="s">
        <v>149</v>
      </c>
      <c r="Z184" s="203" t="s">
        <v>149</v>
      </c>
      <c r="AA184" s="203" t="s">
        <v>149</v>
      </c>
      <c r="AB184" s="203" t="s">
        <v>149</v>
      </c>
      <c r="AC184" s="203" t="s">
        <v>149</v>
      </c>
      <c r="AD184" s="203" t="s">
        <v>149</v>
      </c>
      <c r="AE184" s="203" t="s">
        <v>149</v>
      </c>
      <c r="AF184" s="203" t="s">
        <v>149</v>
      </c>
      <c r="AG184" s="203" t="s">
        <v>149</v>
      </c>
      <c r="AH184" s="203" t="s">
        <v>149</v>
      </c>
      <c r="AI184" s="203" t="s">
        <v>149</v>
      </c>
      <c r="AJ184" s="203" t="s">
        <v>149</v>
      </c>
      <c r="AK184" s="203" t="s">
        <v>149</v>
      </c>
      <c r="AL184" s="203" t="s">
        <v>149</v>
      </c>
      <c r="AM184" s="203" t="s">
        <v>149</v>
      </c>
      <c r="AN184" s="203" t="s">
        <v>149</v>
      </c>
      <c r="AO184" s="203" t="s">
        <v>149</v>
      </c>
      <c r="AP184" s="203"/>
      <c r="AQ184" s="203" t="s">
        <v>149</v>
      </c>
      <c r="AR184" s="203" t="s">
        <v>149</v>
      </c>
      <c r="AS184" s="203" t="s">
        <v>149</v>
      </c>
      <c r="AT184" s="203"/>
      <c r="AU184" s="203"/>
      <c r="AV184" s="203" t="s">
        <v>149</v>
      </c>
      <c r="AW184" s="203" t="s">
        <v>149</v>
      </c>
      <c r="AX184" s="203" t="s">
        <v>149</v>
      </c>
      <c r="AY184" s="203" t="s">
        <v>149</v>
      </c>
      <c r="AZ184" s="203" t="s">
        <v>149</v>
      </c>
      <c r="BA184" s="203" t="s">
        <v>149</v>
      </c>
      <c r="BB184" s="203" t="s">
        <v>149</v>
      </c>
      <c r="BC184" s="203"/>
      <c r="BD184" s="203"/>
      <c r="BE184" s="203"/>
      <c r="BF184" s="203" t="s">
        <v>149</v>
      </c>
      <c r="BG184" s="203" t="s">
        <v>149</v>
      </c>
      <c r="BH184" s="203" t="s">
        <v>149</v>
      </c>
      <c r="BI184" s="203" t="s">
        <v>149</v>
      </c>
      <c r="BJ184" s="203" t="s">
        <v>149</v>
      </c>
      <c r="BK184" s="252"/>
    </row>
    <row r="185" spans="1:63" ht="210">
      <c r="A185" s="124">
        <v>45933</v>
      </c>
      <c r="B185" s="125" t="s">
        <v>34</v>
      </c>
      <c r="C185" s="298" t="s">
        <v>785</v>
      </c>
      <c r="D185" s="125" t="s">
        <v>801</v>
      </c>
      <c r="E185" s="125" t="s">
        <v>802</v>
      </c>
      <c r="F185" s="126" t="s">
        <v>803</v>
      </c>
      <c r="G185" s="209" t="s">
        <v>804</v>
      </c>
      <c r="H185" s="212"/>
      <c r="I185" s="210" t="s">
        <v>149</v>
      </c>
      <c r="J185" s="203" t="s">
        <v>149</v>
      </c>
      <c r="K185" s="203"/>
      <c r="L185" s="203" t="s">
        <v>149</v>
      </c>
      <c r="M185" s="203"/>
      <c r="N185" s="203" t="s">
        <v>149</v>
      </c>
      <c r="O185" s="203" t="s">
        <v>149</v>
      </c>
      <c r="P185" s="203" t="s">
        <v>149</v>
      </c>
      <c r="Q185" s="203" t="s">
        <v>149</v>
      </c>
      <c r="R185" s="203"/>
      <c r="S185" s="203"/>
      <c r="T185" s="203"/>
      <c r="U185" s="203"/>
      <c r="V185" s="203"/>
      <c r="W185" s="203"/>
      <c r="X185" s="203" t="s">
        <v>149</v>
      </c>
      <c r="Y185" s="203" t="s">
        <v>149</v>
      </c>
      <c r="Z185" s="203" t="s">
        <v>149</v>
      </c>
      <c r="AA185" s="203" t="s">
        <v>149</v>
      </c>
      <c r="AB185" s="203" t="s">
        <v>149</v>
      </c>
      <c r="AC185" s="203" t="s">
        <v>149</v>
      </c>
      <c r="AD185" s="203" t="s">
        <v>149</v>
      </c>
      <c r="AE185" s="203" t="s">
        <v>149</v>
      </c>
      <c r="AF185" s="203" t="s">
        <v>149</v>
      </c>
      <c r="AG185" s="203" t="s">
        <v>149</v>
      </c>
      <c r="AH185" s="203" t="s">
        <v>149</v>
      </c>
      <c r="AI185" s="203" t="s">
        <v>149</v>
      </c>
      <c r="AJ185" s="203" t="s">
        <v>149</v>
      </c>
      <c r="AK185" s="203" t="s">
        <v>149</v>
      </c>
      <c r="AL185" s="203" t="s">
        <v>149</v>
      </c>
      <c r="AM185" s="203" t="s">
        <v>149</v>
      </c>
      <c r="AN185" s="203" t="s">
        <v>149</v>
      </c>
      <c r="AO185" s="203" t="s">
        <v>149</v>
      </c>
      <c r="AP185" s="203"/>
      <c r="AQ185" s="203" t="s">
        <v>149</v>
      </c>
      <c r="AR185" s="203" t="s">
        <v>149</v>
      </c>
      <c r="AS185" s="203" t="s">
        <v>149</v>
      </c>
      <c r="AT185" s="203"/>
      <c r="AU185" s="203"/>
      <c r="AV185" s="203" t="s">
        <v>149</v>
      </c>
      <c r="AW185" s="203" t="s">
        <v>149</v>
      </c>
      <c r="AX185" s="203" t="s">
        <v>149</v>
      </c>
      <c r="AY185" s="203" t="s">
        <v>149</v>
      </c>
      <c r="AZ185" s="203" t="s">
        <v>149</v>
      </c>
      <c r="BA185" s="203" t="s">
        <v>149</v>
      </c>
      <c r="BB185" s="203" t="s">
        <v>149</v>
      </c>
      <c r="BC185" s="203"/>
      <c r="BD185" s="203"/>
      <c r="BE185" s="203"/>
      <c r="BF185" s="203" t="s">
        <v>149</v>
      </c>
      <c r="BG185" s="203" t="s">
        <v>149</v>
      </c>
      <c r="BH185" s="203" t="s">
        <v>149</v>
      </c>
      <c r="BI185" s="203" t="s">
        <v>149</v>
      </c>
      <c r="BJ185" s="252"/>
      <c r="BK185" s="252"/>
    </row>
    <row r="186" spans="1:63" ht="390">
      <c r="A186" s="124">
        <v>45933</v>
      </c>
      <c r="B186" s="125" t="s">
        <v>34</v>
      </c>
      <c r="C186" s="298" t="s">
        <v>773</v>
      </c>
      <c r="D186" s="125" t="s">
        <v>805</v>
      </c>
      <c r="E186" s="125" t="s">
        <v>806</v>
      </c>
      <c r="F186" s="126" t="s">
        <v>807</v>
      </c>
      <c r="G186" s="209" t="s">
        <v>804</v>
      </c>
      <c r="H186" s="212"/>
      <c r="I186" s="210" t="s">
        <v>149</v>
      </c>
      <c r="J186" s="203" t="s">
        <v>149</v>
      </c>
      <c r="K186" s="203"/>
      <c r="L186" s="203" t="s">
        <v>149</v>
      </c>
      <c r="M186" s="203"/>
      <c r="N186" s="203" t="s">
        <v>149</v>
      </c>
      <c r="O186" s="203" t="s">
        <v>149</v>
      </c>
      <c r="P186" s="203" t="s">
        <v>149</v>
      </c>
      <c r="Q186" s="203" t="s">
        <v>149</v>
      </c>
      <c r="R186" s="203"/>
      <c r="S186" s="203"/>
      <c r="T186" s="203"/>
      <c r="U186" s="203"/>
      <c r="V186" s="203"/>
      <c r="W186" s="203"/>
      <c r="X186" s="203" t="s">
        <v>149</v>
      </c>
      <c r="Y186" s="203" t="s">
        <v>149</v>
      </c>
      <c r="Z186" s="203" t="s">
        <v>149</v>
      </c>
      <c r="AA186" s="203" t="s">
        <v>149</v>
      </c>
      <c r="AB186" s="203" t="s">
        <v>149</v>
      </c>
      <c r="AC186" s="203" t="s">
        <v>149</v>
      </c>
      <c r="AD186" s="203" t="s">
        <v>149</v>
      </c>
      <c r="AE186" s="203" t="s">
        <v>149</v>
      </c>
      <c r="AF186" s="203" t="s">
        <v>149</v>
      </c>
      <c r="AG186" s="203" t="s">
        <v>149</v>
      </c>
      <c r="AH186" s="203" t="s">
        <v>149</v>
      </c>
      <c r="AI186" s="203" t="s">
        <v>149</v>
      </c>
      <c r="AJ186" s="203" t="s">
        <v>149</v>
      </c>
      <c r="AK186" s="203" t="s">
        <v>149</v>
      </c>
      <c r="AL186" s="203" t="s">
        <v>149</v>
      </c>
      <c r="AM186" s="203" t="s">
        <v>149</v>
      </c>
      <c r="AN186" s="203" t="s">
        <v>149</v>
      </c>
      <c r="AO186" s="203" t="s">
        <v>149</v>
      </c>
      <c r="AP186" s="203"/>
      <c r="AQ186" s="203" t="s">
        <v>149</v>
      </c>
      <c r="AR186" s="203" t="s">
        <v>149</v>
      </c>
      <c r="AS186" s="203" t="s">
        <v>149</v>
      </c>
      <c r="AT186" s="203"/>
      <c r="AU186" s="203"/>
      <c r="AV186" s="203" t="s">
        <v>149</v>
      </c>
      <c r="AW186" s="203" t="s">
        <v>149</v>
      </c>
      <c r="AX186" s="203" t="s">
        <v>149</v>
      </c>
      <c r="AY186" s="203" t="s">
        <v>149</v>
      </c>
      <c r="AZ186" s="203" t="s">
        <v>149</v>
      </c>
      <c r="BA186" s="203" t="s">
        <v>149</v>
      </c>
      <c r="BB186" s="203" t="s">
        <v>149</v>
      </c>
      <c r="BC186" s="203"/>
      <c r="BD186" s="203"/>
      <c r="BE186" s="203"/>
      <c r="BF186" s="203" t="s">
        <v>149</v>
      </c>
      <c r="BG186" s="203" t="s">
        <v>149</v>
      </c>
      <c r="BH186" s="203" t="s">
        <v>149</v>
      </c>
      <c r="BI186" s="203" t="s">
        <v>149</v>
      </c>
      <c r="BJ186" s="203"/>
      <c r="BK186" s="252"/>
    </row>
    <row r="187" spans="1:63" ht="409.5">
      <c r="A187" s="124">
        <v>45933</v>
      </c>
      <c r="B187" s="125" t="s">
        <v>34</v>
      </c>
      <c r="C187" s="298" t="s">
        <v>781</v>
      </c>
      <c r="D187" s="125" t="s">
        <v>808</v>
      </c>
      <c r="E187" s="125" t="s">
        <v>809</v>
      </c>
      <c r="F187" s="126" t="s">
        <v>810</v>
      </c>
      <c r="G187" s="209" t="s">
        <v>811</v>
      </c>
      <c r="H187" s="212"/>
      <c r="I187" s="210" t="s">
        <v>149</v>
      </c>
      <c r="J187" s="203" t="s">
        <v>149</v>
      </c>
      <c r="K187" s="203"/>
      <c r="L187" s="203" t="s">
        <v>149</v>
      </c>
      <c r="M187" s="203"/>
      <c r="N187" s="203" t="s">
        <v>149</v>
      </c>
      <c r="O187" s="203" t="s">
        <v>149</v>
      </c>
      <c r="P187" s="203" t="s">
        <v>149</v>
      </c>
      <c r="Q187" s="203" t="s">
        <v>149</v>
      </c>
      <c r="R187" s="203"/>
      <c r="S187" s="203"/>
      <c r="T187" s="203"/>
      <c r="U187" s="203"/>
      <c r="V187" s="203"/>
      <c r="W187" s="203"/>
      <c r="X187" s="203" t="s">
        <v>149</v>
      </c>
      <c r="Y187" s="203" t="s">
        <v>149</v>
      </c>
      <c r="Z187" s="203" t="s">
        <v>149</v>
      </c>
      <c r="AA187" s="203" t="s">
        <v>149</v>
      </c>
      <c r="AB187" s="203" t="s">
        <v>149</v>
      </c>
      <c r="AC187" s="203" t="s">
        <v>149</v>
      </c>
      <c r="AD187" s="203" t="s">
        <v>149</v>
      </c>
      <c r="AE187" s="203" t="s">
        <v>149</v>
      </c>
      <c r="AF187" s="203" t="s">
        <v>149</v>
      </c>
      <c r="AG187" s="203" t="s">
        <v>149</v>
      </c>
      <c r="AH187" s="203" t="s">
        <v>149</v>
      </c>
      <c r="AI187" s="203" t="s">
        <v>149</v>
      </c>
      <c r="AJ187" s="203" t="s">
        <v>149</v>
      </c>
      <c r="AK187" s="203" t="s">
        <v>149</v>
      </c>
      <c r="AL187" s="203" t="s">
        <v>149</v>
      </c>
      <c r="AM187" s="203" t="s">
        <v>149</v>
      </c>
      <c r="AN187" s="203" t="s">
        <v>149</v>
      </c>
      <c r="AO187" s="203" t="s">
        <v>149</v>
      </c>
      <c r="AP187" s="203"/>
      <c r="AQ187" s="203" t="s">
        <v>149</v>
      </c>
      <c r="AR187" s="203" t="s">
        <v>149</v>
      </c>
      <c r="AS187" s="203" t="s">
        <v>149</v>
      </c>
      <c r="AT187" s="203"/>
      <c r="AU187" s="203"/>
      <c r="AV187" s="203" t="s">
        <v>149</v>
      </c>
      <c r="AW187" s="203" t="s">
        <v>149</v>
      </c>
      <c r="AX187" s="203" t="s">
        <v>149</v>
      </c>
      <c r="AY187" s="203" t="s">
        <v>149</v>
      </c>
      <c r="AZ187" s="203" t="s">
        <v>149</v>
      </c>
      <c r="BA187" s="203" t="s">
        <v>149</v>
      </c>
      <c r="BB187" s="203" t="s">
        <v>149</v>
      </c>
      <c r="BC187" s="203"/>
      <c r="BD187" s="203"/>
      <c r="BE187" s="203"/>
      <c r="BF187" s="203" t="s">
        <v>149</v>
      </c>
      <c r="BG187" s="203" t="s">
        <v>149</v>
      </c>
      <c r="BH187" s="203" t="s">
        <v>149</v>
      </c>
      <c r="BI187" s="203" t="s">
        <v>149</v>
      </c>
      <c r="BJ187" s="203" t="s">
        <v>149</v>
      </c>
      <c r="BK187" s="203" t="s">
        <v>149</v>
      </c>
    </row>
    <row r="188" spans="1:63" ht="409.5">
      <c r="A188" s="124">
        <v>45943</v>
      </c>
      <c r="B188" s="125" t="s">
        <v>34</v>
      </c>
      <c r="C188" s="298" t="s">
        <v>773</v>
      </c>
      <c r="D188" s="125" t="s">
        <v>812</v>
      </c>
      <c r="E188" s="125" t="s">
        <v>813</v>
      </c>
      <c r="F188" s="126" t="s">
        <v>814</v>
      </c>
      <c r="G188" s="209" t="s">
        <v>804</v>
      </c>
      <c r="H188" s="212"/>
      <c r="I188" s="210" t="s">
        <v>149</v>
      </c>
      <c r="J188" s="203" t="s">
        <v>149</v>
      </c>
      <c r="K188" s="203"/>
      <c r="L188" s="203" t="s">
        <v>149</v>
      </c>
      <c r="M188" s="203"/>
      <c r="N188" s="203" t="s">
        <v>149</v>
      </c>
      <c r="O188" s="203" t="s">
        <v>149</v>
      </c>
      <c r="P188" s="203" t="s">
        <v>149</v>
      </c>
      <c r="Q188" s="203" t="s">
        <v>149</v>
      </c>
      <c r="R188" s="203"/>
      <c r="S188" s="203"/>
      <c r="T188" s="203"/>
      <c r="U188" s="203"/>
      <c r="V188" s="203"/>
      <c r="W188" s="203"/>
      <c r="X188" s="203" t="s">
        <v>149</v>
      </c>
      <c r="Y188" s="203" t="s">
        <v>149</v>
      </c>
      <c r="Z188" s="203" t="s">
        <v>149</v>
      </c>
      <c r="AA188" s="203" t="s">
        <v>149</v>
      </c>
      <c r="AB188" s="203" t="s">
        <v>149</v>
      </c>
      <c r="AC188" s="203" t="s">
        <v>149</v>
      </c>
      <c r="AD188" s="203" t="s">
        <v>149</v>
      </c>
      <c r="AE188" s="203" t="s">
        <v>149</v>
      </c>
      <c r="AF188" s="203" t="s">
        <v>149</v>
      </c>
      <c r="AG188" s="203" t="s">
        <v>149</v>
      </c>
      <c r="AH188" s="203" t="s">
        <v>149</v>
      </c>
      <c r="AI188" s="203" t="s">
        <v>149</v>
      </c>
      <c r="AJ188" s="203" t="s">
        <v>149</v>
      </c>
      <c r="AK188" s="203" t="s">
        <v>149</v>
      </c>
      <c r="AL188" s="203" t="s">
        <v>149</v>
      </c>
      <c r="AM188" s="203" t="s">
        <v>149</v>
      </c>
      <c r="AN188" s="203" t="s">
        <v>149</v>
      </c>
      <c r="AO188" s="203" t="s">
        <v>149</v>
      </c>
      <c r="AP188" s="203"/>
      <c r="AQ188" s="203" t="s">
        <v>149</v>
      </c>
      <c r="AR188" s="203" t="s">
        <v>149</v>
      </c>
      <c r="AS188" s="203" t="s">
        <v>149</v>
      </c>
      <c r="AT188" s="203"/>
      <c r="AU188" s="203"/>
      <c r="AV188" s="203" t="s">
        <v>149</v>
      </c>
      <c r="AW188" s="203" t="s">
        <v>149</v>
      </c>
      <c r="AX188" s="203" t="s">
        <v>149</v>
      </c>
      <c r="AY188" s="203" t="s">
        <v>149</v>
      </c>
      <c r="AZ188" s="203" t="s">
        <v>149</v>
      </c>
      <c r="BA188" s="203" t="s">
        <v>149</v>
      </c>
      <c r="BB188" s="203" t="s">
        <v>149</v>
      </c>
      <c r="BC188" s="203"/>
      <c r="BD188" s="203"/>
      <c r="BE188" s="203"/>
      <c r="BF188" s="203" t="s">
        <v>149</v>
      </c>
      <c r="BG188" s="203" t="s">
        <v>149</v>
      </c>
      <c r="BH188" s="203" t="s">
        <v>149</v>
      </c>
      <c r="BI188" s="203" t="s">
        <v>149</v>
      </c>
      <c r="BJ188" s="203"/>
      <c r="BK188" s="252"/>
    </row>
    <row r="189" spans="1:63" ht="390">
      <c r="A189" s="124">
        <v>45943</v>
      </c>
      <c r="B189" s="125" t="s">
        <v>34</v>
      </c>
      <c r="C189" s="298" t="s">
        <v>781</v>
      </c>
      <c r="D189" s="125" t="s">
        <v>815</v>
      </c>
      <c r="E189" s="125" t="s">
        <v>816</v>
      </c>
      <c r="F189" s="126" t="s">
        <v>817</v>
      </c>
      <c r="G189" s="209" t="s">
        <v>811</v>
      </c>
      <c r="H189" s="212"/>
      <c r="I189" s="210" t="s">
        <v>149</v>
      </c>
      <c r="J189" s="203" t="s">
        <v>149</v>
      </c>
      <c r="K189" s="203"/>
      <c r="L189" s="203" t="s">
        <v>149</v>
      </c>
      <c r="M189" s="203"/>
      <c r="N189" s="203" t="s">
        <v>149</v>
      </c>
      <c r="O189" s="203" t="s">
        <v>149</v>
      </c>
      <c r="P189" s="203" t="s">
        <v>149</v>
      </c>
      <c r="Q189" s="203" t="s">
        <v>149</v>
      </c>
      <c r="R189" s="203"/>
      <c r="S189" s="203"/>
      <c r="T189" s="203"/>
      <c r="U189" s="203"/>
      <c r="V189" s="203"/>
      <c r="W189" s="203"/>
      <c r="X189" s="203" t="s">
        <v>149</v>
      </c>
      <c r="Y189" s="203" t="s">
        <v>149</v>
      </c>
      <c r="Z189" s="203" t="s">
        <v>149</v>
      </c>
      <c r="AA189" s="203" t="s">
        <v>149</v>
      </c>
      <c r="AB189" s="203" t="s">
        <v>149</v>
      </c>
      <c r="AC189" s="203" t="s">
        <v>149</v>
      </c>
      <c r="AD189" s="203" t="s">
        <v>149</v>
      </c>
      <c r="AE189" s="203" t="s">
        <v>149</v>
      </c>
      <c r="AF189" s="203" t="s">
        <v>149</v>
      </c>
      <c r="AG189" s="203" t="s">
        <v>149</v>
      </c>
      <c r="AH189" s="203" t="s">
        <v>149</v>
      </c>
      <c r="AI189" s="203" t="s">
        <v>149</v>
      </c>
      <c r="AJ189" s="203" t="s">
        <v>149</v>
      </c>
      <c r="AK189" s="203" t="s">
        <v>149</v>
      </c>
      <c r="AL189" s="203" t="s">
        <v>149</v>
      </c>
      <c r="AM189" s="203" t="s">
        <v>149</v>
      </c>
      <c r="AN189" s="203" t="s">
        <v>149</v>
      </c>
      <c r="AO189" s="203" t="s">
        <v>149</v>
      </c>
      <c r="AP189" s="203"/>
      <c r="AQ189" s="203" t="s">
        <v>149</v>
      </c>
      <c r="AR189" s="203" t="s">
        <v>149</v>
      </c>
      <c r="AS189" s="203" t="s">
        <v>149</v>
      </c>
      <c r="AT189" s="203"/>
      <c r="AU189" s="203"/>
      <c r="AV189" s="203" t="s">
        <v>149</v>
      </c>
      <c r="AW189" s="203" t="s">
        <v>149</v>
      </c>
      <c r="AX189" s="203" t="s">
        <v>149</v>
      </c>
      <c r="AY189" s="203" t="s">
        <v>149</v>
      </c>
      <c r="AZ189" s="203" t="s">
        <v>149</v>
      </c>
      <c r="BA189" s="203" t="s">
        <v>149</v>
      </c>
      <c r="BB189" s="203" t="s">
        <v>149</v>
      </c>
      <c r="BC189" s="203"/>
      <c r="BD189" s="203"/>
      <c r="BE189" s="203"/>
      <c r="BF189" s="203" t="s">
        <v>149</v>
      </c>
      <c r="BG189" s="203" t="s">
        <v>149</v>
      </c>
      <c r="BH189" s="203" t="s">
        <v>149</v>
      </c>
      <c r="BI189" s="203" t="s">
        <v>149</v>
      </c>
      <c r="BJ189" s="203" t="s">
        <v>149</v>
      </c>
      <c r="BK189" s="203" t="s">
        <v>149</v>
      </c>
    </row>
    <row r="190" spans="1:63" ht="409.5">
      <c r="A190" s="124">
        <v>45947</v>
      </c>
      <c r="B190" s="125" t="s">
        <v>34</v>
      </c>
      <c r="C190" s="298" t="s">
        <v>773</v>
      </c>
      <c r="D190" s="125" t="s">
        <v>818</v>
      </c>
      <c r="E190" s="125" t="s">
        <v>819</v>
      </c>
      <c r="F190" s="126" t="s">
        <v>820</v>
      </c>
      <c r="G190" s="209" t="s">
        <v>821</v>
      </c>
      <c r="H190" s="212"/>
      <c r="I190" s="210" t="s">
        <v>149</v>
      </c>
      <c r="J190" s="203" t="s">
        <v>149</v>
      </c>
      <c r="K190" s="203"/>
      <c r="L190" s="203" t="s">
        <v>149</v>
      </c>
      <c r="M190" s="203"/>
      <c r="N190" s="203" t="s">
        <v>149</v>
      </c>
      <c r="O190" s="203" t="s">
        <v>149</v>
      </c>
      <c r="P190" s="203" t="s">
        <v>149</v>
      </c>
      <c r="Q190" s="203" t="s">
        <v>149</v>
      </c>
      <c r="R190" s="203"/>
      <c r="S190" s="203"/>
      <c r="T190" s="203"/>
      <c r="U190" s="203"/>
      <c r="V190" s="203"/>
      <c r="W190" s="203"/>
      <c r="X190" s="203" t="s">
        <v>149</v>
      </c>
      <c r="Y190" s="203" t="s">
        <v>149</v>
      </c>
      <c r="Z190" s="203" t="s">
        <v>149</v>
      </c>
      <c r="AA190" s="203" t="s">
        <v>149</v>
      </c>
      <c r="AB190" s="203" t="s">
        <v>149</v>
      </c>
      <c r="AC190" s="203" t="s">
        <v>149</v>
      </c>
      <c r="AD190" s="203" t="s">
        <v>149</v>
      </c>
      <c r="AE190" s="203" t="s">
        <v>149</v>
      </c>
      <c r="AF190" s="203" t="s">
        <v>149</v>
      </c>
      <c r="AG190" s="203" t="s">
        <v>149</v>
      </c>
      <c r="AH190" s="203" t="s">
        <v>149</v>
      </c>
      <c r="AI190" s="203" t="s">
        <v>149</v>
      </c>
      <c r="AJ190" s="203" t="s">
        <v>149</v>
      </c>
      <c r="AK190" s="203" t="s">
        <v>149</v>
      </c>
      <c r="AL190" s="203" t="s">
        <v>149</v>
      </c>
      <c r="AM190" s="203" t="s">
        <v>149</v>
      </c>
      <c r="AN190" s="203" t="s">
        <v>149</v>
      </c>
      <c r="AO190" s="203" t="s">
        <v>149</v>
      </c>
      <c r="AP190" s="203"/>
      <c r="AQ190" s="203" t="s">
        <v>149</v>
      </c>
      <c r="AR190" s="203" t="s">
        <v>149</v>
      </c>
      <c r="AS190" s="203" t="s">
        <v>149</v>
      </c>
      <c r="AT190" s="203"/>
      <c r="AU190" s="203"/>
      <c r="AV190" s="203" t="s">
        <v>149</v>
      </c>
      <c r="AW190" s="203" t="s">
        <v>149</v>
      </c>
      <c r="AX190" s="203" t="s">
        <v>149</v>
      </c>
      <c r="AY190" s="203" t="s">
        <v>149</v>
      </c>
      <c r="AZ190" s="203" t="s">
        <v>149</v>
      </c>
      <c r="BA190" s="203" t="s">
        <v>149</v>
      </c>
      <c r="BB190" s="203" t="s">
        <v>149</v>
      </c>
      <c r="BC190" s="203"/>
      <c r="BD190" s="203"/>
      <c r="BE190" s="203"/>
      <c r="BF190" s="203" t="s">
        <v>149</v>
      </c>
      <c r="BG190" s="203" t="s">
        <v>149</v>
      </c>
      <c r="BH190" s="203" t="s">
        <v>149</v>
      </c>
      <c r="BI190" s="203" t="s">
        <v>149</v>
      </c>
      <c r="BJ190" s="203" t="s">
        <v>149</v>
      </c>
      <c r="BK190" s="252"/>
    </row>
    <row r="191" spans="1:63" ht="409.5">
      <c r="A191" s="124">
        <v>45947</v>
      </c>
      <c r="B191" s="125" t="s">
        <v>34</v>
      </c>
      <c r="C191" s="298" t="s">
        <v>781</v>
      </c>
      <c r="D191" s="125" t="s">
        <v>822</v>
      </c>
      <c r="E191" s="125" t="s">
        <v>823</v>
      </c>
      <c r="F191" s="126" t="s">
        <v>824</v>
      </c>
      <c r="G191" s="209" t="s">
        <v>811</v>
      </c>
      <c r="H191" s="212"/>
      <c r="I191" s="210" t="s">
        <v>149</v>
      </c>
      <c r="J191" s="203" t="s">
        <v>149</v>
      </c>
      <c r="K191" s="203"/>
      <c r="L191" s="203" t="s">
        <v>149</v>
      </c>
      <c r="M191" s="203"/>
      <c r="N191" s="203" t="s">
        <v>149</v>
      </c>
      <c r="O191" s="203" t="s">
        <v>149</v>
      </c>
      <c r="P191" s="203" t="s">
        <v>149</v>
      </c>
      <c r="Q191" s="203" t="s">
        <v>149</v>
      </c>
      <c r="R191" s="203"/>
      <c r="S191" s="203"/>
      <c r="T191" s="203"/>
      <c r="U191" s="203"/>
      <c r="V191" s="203"/>
      <c r="W191" s="203"/>
      <c r="X191" s="203" t="s">
        <v>149</v>
      </c>
      <c r="Y191" s="203" t="s">
        <v>149</v>
      </c>
      <c r="Z191" s="203" t="s">
        <v>149</v>
      </c>
      <c r="AA191" s="203" t="s">
        <v>149</v>
      </c>
      <c r="AB191" s="203" t="s">
        <v>149</v>
      </c>
      <c r="AC191" s="203" t="s">
        <v>149</v>
      </c>
      <c r="AD191" s="203" t="s">
        <v>149</v>
      </c>
      <c r="AE191" s="203" t="s">
        <v>149</v>
      </c>
      <c r="AF191" s="203" t="s">
        <v>149</v>
      </c>
      <c r="AG191" s="203" t="s">
        <v>149</v>
      </c>
      <c r="AH191" s="203" t="s">
        <v>149</v>
      </c>
      <c r="AI191" s="203" t="s">
        <v>149</v>
      </c>
      <c r="AJ191" s="203" t="s">
        <v>149</v>
      </c>
      <c r="AK191" s="203" t="s">
        <v>149</v>
      </c>
      <c r="AL191" s="203" t="s">
        <v>149</v>
      </c>
      <c r="AM191" s="203" t="s">
        <v>149</v>
      </c>
      <c r="AN191" s="203" t="s">
        <v>149</v>
      </c>
      <c r="AO191" s="203" t="s">
        <v>149</v>
      </c>
      <c r="AP191" s="203"/>
      <c r="AQ191" s="203" t="s">
        <v>149</v>
      </c>
      <c r="AR191" s="203" t="s">
        <v>149</v>
      </c>
      <c r="AS191" s="203" t="s">
        <v>149</v>
      </c>
      <c r="AT191" s="203"/>
      <c r="AU191" s="203"/>
      <c r="AV191" s="203" t="s">
        <v>149</v>
      </c>
      <c r="AW191" s="203" t="s">
        <v>149</v>
      </c>
      <c r="AX191" s="203" t="s">
        <v>149</v>
      </c>
      <c r="AY191" s="203" t="s">
        <v>149</v>
      </c>
      <c r="AZ191" s="203" t="s">
        <v>149</v>
      </c>
      <c r="BA191" s="203" t="s">
        <v>149</v>
      </c>
      <c r="BB191" s="203" t="s">
        <v>149</v>
      </c>
      <c r="BC191" s="203"/>
      <c r="BD191" s="203"/>
      <c r="BE191" s="203"/>
      <c r="BF191" s="203" t="s">
        <v>149</v>
      </c>
      <c r="BG191" s="203" t="s">
        <v>149</v>
      </c>
      <c r="BH191" s="203" t="s">
        <v>149</v>
      </c>
      <c r="BI191" s="203" t="s">
        <v>149</v>
      </c>
      <c r="BJ191" s="203" t="s">
        <v>149</v>
      </c>
      <c r="BK191" s="203" t="s">
        <v>149</v>
      </c>
    </row>
    <row r="192" spans="1:63" ht="409.5">
      <c r="A192" s="124">
        <v>45964</v>
      </c>
      <c r="B192" s="125" t="s">
        <v>34</v>
      </c>
      <c r="C192" s="298" t="s">
        <v>825</v>
      </c>
      <c r="D192" s="125" t="s">
        <v>826</v>
      </c>
      <c r="E192" s="125" t="s">
        <v>827</v>
      </c>
      <c r="F192" s="126" t="s">
        <v>828</v>
      </c>
      <c r="G192" s="209" t="s">
        <v>821</v>
      </c>
      <c r="H192" s="212"/>
      <c r="I192" s="210" t="s">
        <v>149</v>
      </c>
      <c r="J192" s="203" t="s">
        <v>149</v>
      </c>
      <c r="K192" s="203"/>
      <c r="L192" s="203" t="s">
        <v>149</v>
      </c>
      <c r="M192" s="203"/>
      <c r="N192" s="203" t="s">
        <v>149</v>
      </c>
      <c r="O192" s="203" t="s">
        <v>149</v>
      </c>
      <c r="P192" s="203" t="s">
        <v>149</v>
      </c>
      <c r="Q192" s="203" t="s">
        <v>149</v>
      </c>
      <c r="R192" s="203"/>
      <c r="S192" s="203"/>
      <c r="T192" s="203"/>
      <c r="U192" s="203"/>
      <c r="V192" s="203"/>
      <c r="W192" s="203"/>
      <c r="X192" s="203" t="s">
        <v>149</v>
      </c>
      <c r="Y192" s="203" t="s">
        <v>149</v>
      </c>
      <c r="Z192" s="203" t="s">
        <v>149</v>
      </c>
      <c r="AA192" s="203" t="s">
        <v>149</v>
      </c>
      <c r="AB192" s="203" t="s">
        <v>149</v>
      </c>
      <c r="AC192" s="203" t="s">
        <v>149</v>
      </c>
      <c r="AD192" s="203" t="s">
        <v>149</v>
      </c>
      <c r="AE192" s="203" t="s">
        <v>149</v>
      </c>
      <c r="AF192" s="203" t="s">
        <v>149</v>
      </c>
      <c r="AG192" s="203" t="s">
        <v>149</v>
      </c>
      <c r="AH192" s="203" t="s">
        <v>149</v>
      </c>
      <c r="AI192" s="203" t="s">
        <v>149</v>
      </c>
      <c r="AJ192" s="203" t="s">
        <v>149</v>
      </c>
      <c r="AK192" s="203" t="s">
        <v>149</v>
      </c>
      <c r="AL192" s="203" t="s">
        <v>149</v>
      </c>
      <c r="AM192" s="203" t="s">
        <v>149</v>
      </c>
      <c r="AN192" s="203" t="s">
        <v>149</v>
      </c>
      <c r="AO192" s="203" t="s">
        <v>149</v>
      </c>
      <c r="AP192" s="203"/>
      <c r="AQ192" s="203" t="s">
        <v>149</v>
      </c>
      <c r="AR192" s="203" t="s">
        <v>149</v>
      </c>
      <c r="AS192" s="203" t="s">
        <v>149</v>
      </c>
      <c r="AT192" s="203"/>
      <c r="AU192" s="203"/>
      <c r="AV192" s="203" t="s">
        <v>149</v>
      </c>
      <c r="AW192" s="203" t="s">
        <v>149</v>
      </c>
      <c r="AX192" s="203" t="s">
        <v>149</v>
      </c>
      <c r="AY192" s="203" t="s">
        <v>149</v>
      </c>
      <c r="AZ192" s="203" t="s">
        <v>149</v>
      </c>
      <c r="BA192" s="203" t="s">
        <v>149</v>
      </c>
      <c r="BB192" s="203" t="s">
        <v>149</v>
      </c>
      <c r="BC192" s="203"/>
      <c r="BD192" s="203"/>
      <c r="BE192" s="203"/>
      <c r="BF192" s="203" t="s">
        <v>149</v>
      </c>
      <c r="BG192" s="203" t="s">
        <v>149</v>
      </c>
      <c r="BH192" s="203" t="s">
        <v>149</v>
      </c>
      <c r="BI192" s="203" t="s">
        <v>149</v>
      </c>
      <c r="BJ192" s="203" t="s">
        <v>149</v>
      </c>
      <c r="BK192" s="252"/>
    </row>
    <row r="193" spans="1:63" ht="409.5">
      <c r="A193" s="124">
        <v>45964</v>
      </c>
      <c r="B193" s="125" t="s">
        <v>34</v>
      </c>
      <c r="C193" s="298" t="s">
        <v>829</v>
      </c>
      <c r="D193" s="125" t="s">
        <v>830</v>
      </c>
      <c r="E193" s="125" t="s">
        <v>831</v>
      </c>
      <c r="F193" s="126" t="s">
        <v>832</v>
      </c>
      <c r="G193" s="209" t="s">
        <v>811</v>
      </c>
      <c r="H193" s="212"/>
      <c r="I193" s="210" t="s">
        <v>149</v>
      </c>
      <c r="J193" s="203" t="s">
        <v>149</v>
      </c>
      <c r="K193" s="203"/>
      <c r="L193" s="203" t="s">
        <v>149</v>
      </c>
      <c r="M193" s="203"/>
      <c r="N193" s="203" t="s">
        <v>149</v>
      </c>
      <c r="O193" s="203" t="s">
        <v>149</v>
      </c>
      <c r="P193" s="203" t="s">
        <v>149</v>
      </c>
      <c r="Q193" s="203" t="s">
        <v>149</v>
      </c>
      <c r="R193" s="203"/>
      <c r="S193" s="203"/>
      <c r="T193" s="203"/>
      <c r="U193" s="203"/>
      <c r="V193" s="203"/>
      <c r="W193" s="203"/>
      <c r="X193" s="203" t="s">
        <v>149</v>
      </c>
      <c r="Y193" s="203" t="s">
        <v>149</v>
      </c>
      <c r="Z193" s="203" t="s">
        <v>149</v>
      </c>
      <c r="AA193" s="203" t="s">
        <v>149</v>
      </c>
      <c r="AB193" s="203" t="s">
        <v>149</v>
      </c>
      <c r="AC193" s="203" t="s">
        <v>149</v>
      </c>
      <c r="AD193" s="203" t="s">
        <v>149</v>
      </c>
      <c r="AE193" s="203" t="s">
        <v>149</v>
      </c>
      <c r="AF193" s="203" t="s">
        <v>149</v>
      </c>
      <c r="AG193" s="203" t="s">
        <v>149</v>
      </c>
      <c r="AH193" s="203" t="s">
        <v>149</v>
      </c>
      <c r="AI193" s="203" t="s">
        <v>149</v>
      </c>
      <c r="AJ193" s="203" t="s">
        <v>149</v>
      </c>
      <c r="AK193" s="203" t="s">
        <v>149</v>
      </c>
      <c r="AL193" s="203" t="s">
        <v>149</v>
      </c>
      <c r="AM193" s="203" t="s">
        <v>149</v>
      </c>
      <c r="AN193" s="203" t="s">
        <v>149</v>
      </c>
      <c r="AO193" s="203" t="s">
        <v>149</v>
      </c>
      <c r="AP193" s="203"/>
      <c r="AQ193" s="203" t="s">
        <v>149</v>
      </c>
      <c r="AR193" s="203" t="s">
        <v>149</v>
      </c>
      <c r="AS193" s="203" t="s">
        <v>149</v>
      </c>
      <c r="AT193" s="203"/>
      <c r="AU193" s="203"/>
      <c r="AV193" s="203" t="s">
        <v>149</v>
      </c>
      <c r="AW193" s="203" t="s">
        <v>149</v>
      </c>
      <c r="AX193" s="203" t="s">
        <v>149</v>
      </c>
      <c r="AY193" s="203" t="s">
        <v>149</v>
      </c>
      <c r="AZ193" s="203" t="s">
        <v>149</v>
      </c>
      <c r="BA193" s="203" t="s">
        <v>149</v>
      </c>
      <c r="BB193" s="203" t="s">
        <v>149</v>
      </c>
      <c r="BC193" s="203"/>
      <c r="BD193" s="203"/>
      <c r="BE193" s="203"/>
      <c r="BF193" s="203" t="s">
        <v>149</v>
      </c>
      <c r="BG193" s="203" t="s">
        <v>149</v>
      </c>
      <c r="BH193" s="203" t="s">
        <v>149</v>
      </c>
      <c r="BI193" s="203" t="s">
        <v>149</v>
      </c>
      <c r="BJ193" s="203" t="s">
        <v>149</v>
      </c>
      <c r="BK193" s="203" t="s">
        <v>149</v>
      </c>
    </row>
    <row r="194" spans="1:63" ht="409.5">
      <c r="A194" s="299">
        <v>45968</v>
      </c>
      <c r="B194" s="297" t="s">
        <v>34</v>
      </c>
      <c r="C194" s="300" t="s">
        <v>833</v>
      </c>
      <c r="D194" s="297" t="s">
        <v>834</v>
      </c>
      <c r="E194" s="297" t="s">
        <v>835</v>
      </c>
      <c r="F194" s="126" t="s">
        <v>836</v>
      </c>
      <c r="G194" s="209" t="s">
        <v>837</v>
      </c>
      <c r="H194" s="212"/>
      <c r="I194" s="210" t="s">
        <v>149</v>
      </c>
      <c r="J194" s="203" t="s">
        <v>149</v>
      </c>
      <c r="K194" s="203"/>
      <c r="L194" s="203" t="s">
        <v>149</v>
      </c>
      <c r="M194" s="203"/>
      <c r="N194" s="203" t="s">
        <v>149</v>
      </c>
      <c r="O194" s="203" t="s">
        <v>149</v>
      </c>
      <c r="P194" s="203" t="s">
        <v>149</v>
      </c>
      <c r="Q194" s="203" t="s">
        <v>149</v>
      </c>
      <c r="R194" s="203"/>
      <c r="S194" s="203"/>
      <c r="T194" s="203"/>
      <c r="U194" s="203"/>
      <c r="V194" s="203"/>
      <c r="W194" s="203"/>
      <c r="X194" s="203" t="s">
        <v>149</v>
      </c>
      <c r="Y194" s="203" t="s">
        <v>149</v>
      </c>
      <c r="Z194" s="203" t="s">
        <v>149</v>
      </c>
      <c r="AA194" s="203" t="s">
        <v>149</v>
      </c>
      <c r="AB194" s="203" t="s">
        <v>149</v>
      </c>
      <c r="AC194" s="203" t="s">
        <v>149</v>
      </c>
      <c r="AD194" s="203" t="s">
        <v>149</v>
      </c>
      <c r="AE194" s="203" t="s">
        <v>149</v>
      </c>
      <c r="AF194" s="203" t="s">
        <v>149</v>
      </c>
      <c r="AG194" s="203" t="s">
        <v>149</v>
      </c>
      <c r="AH194" s="203" t="s">
        <v>149</v>
      </c>
      <c r="AI194" s="203" t="s">
        <v>149</v>
      </c>
      <c r="AJ194" s="203" t="s">
        <v>149</v>
      </c>
      <c r="AK194" s="203" t="s">
        <v>149</v>
      </c>
      <c r="AL194" s="203" t="s">
        <v>149</v>
      </c>
      <c r="AM194" s="203" t="s">
        <v>149</v>
      </c>
      <c r="AN194" s="203" t="s">
        <v>149</v>
      </c>
      <c r="AO194" s="203" t="s">
        <v>149</v>
      </c>
      <c r="AP194" s="203"/>
      <c r="AQ194" s="203" t="s">
        <v>149</v>
      </c>
      <c r="AR194" s="203" t="s">
        <v>149</v>
      </c>
      <c r="AS194" s="203" t="s">
        <v>149</v>
      </c>
      <c r="AT194" s="203"/>
      <c r="AU194" s="203"/>
      <c r="AV194" s="203" t="s">
        <v>149</v>
      </c>
      <c r="AW194" s="203" t="s">
        <v>149</v>
      </c>
      <c r="AX194" s="203" t="s">
        <v>149</v>
      </c>
      <c r="AY194" s="203" t="s">
        <v>149</v>
      </c>
      <c r="AZ194" s="203" t="s">
        <v>149</v>
      </c>
      <c r="BA194" s="203" t="s">
        <v>149</v>
      </c>
      <c r="BB194" s="203" t="s">
        <v>149</v>
      </c>
      <c r="BC194" s="203"/>
      <c r="BD194" s="203"/>
      <c r="BE194" s="203"/>
      <c r="BF194" s="203" t="s">
        <v>149</v>
      </c>
      <c r="BG194" s="203" t="s">
        <v>149</v>
      </c>
      <c r="BH194" s="203" t="s">
        <v>149</v>
      </c>
      <c r="BI194" s="203" t="s">
        <v>149</v>
      </c>
      <c r="BJ194" s="203"/>
      <c r="BK194" s="203"/>
    </row>
    <row r="195" spans="1:63" ht="409.5">
      <c r="A195" s="299">
        <v>45968</v>
      </c>
      <c r="B195" s="297" t="s">
        <v>34</v>
      </c>
      <c r="C195" s="300" t="s">
        <v>825</v>
      </c>
      <c r="D195" s="297" t="s">
        <v>838</v>
      </c>
      <c r="E195" s="297" t="s">
        <v>839</v>
      </c>
      <c r="F195" s="126" t="s">
        <v>840</v>
      </c>
      <c r="G195" s="209" t="s">
        <v>811</v>
      </c>
      <c r="H195" s="212"/>
      <c r="I195" s="210" t="s">
        <v>149</v>
      </c>
      <c r="J195" s="203" t="s">
        <v>149</v>
      </c>
      <c r="K195" s="203"/>
      <c r="L195" s="203" t="s">
        <v>149</v>
      </c>
      <c r="M195" s="203"/>
      <c r="N195" s="203" t="s">
        <v>149</v>
      </c>
      <c r="O195" s="203" t="s">
        <v>149</v>
      </c>
      <c r="P195" s="203" t="s">
        <v>149</v>
      </c>
      <c r="Q195" s="203" t="s">
        <v>149</v>
      </c>
      <c r="R195" s="203"/>
      <c r="S195" s="203"/>
      <c r="T195" s="203"/>
      <c r="U195" s="203"/>
      <c r="V195" s="203"/>
      <c r="W195" s="203"/>
      <c r="X195" s="203" t="s">
        <v>149</v>
      </c>
      <c r="Y195" s="203" t="s">
        <v>149</v>
      </c>
      <c r="Z195" s="203" t="s">
        <v>149</v>
      </c>
      <c r="AA195" s="203" t="s">
        <v>149</v>
      </c>
      <c r="AB195" s="203" t="s">
        <v>149</v>
      </c>
      <c r="AC195" s="203" t="s">
        <v>149</v>
      </c>
      <c r="AD195" s="203" t="s">
        <v>149</v>
      </c>
      <c r="AE195" s="203" t="s">
        <v>149</v>
      </c>
      <c r="AF195" s="203" t="s">
        <v>149</v>
      </c>
      <c r="AG195" s="203" t="s">
        <v>149</v>
      </c>
      <c r="AH195" s="203" t="s">
        <v>149</v>
      </c>
      <c r="AI195" s="203" t="s">
        <v>149</v>
      </c>
      <c r="AJ195" s="203" t="s">
        <v>149</v>
      </c>
      <c r="AK195" s="203" t="s">
        <v>149</v>
      </c>
      <c r="AL195" s="203" t="s">
        <v>149</v>
      </c>
      <c r="AM195" s="203" t="s">
        <v>149</v>
      </c>
      <c r="AN195" s="203" t="s">
        <v>149</v>
      </c>
      <c r="AO195" s="203" t="s">
        <v>149</v>
      </c>
      <c r="AP195" s="203"/>
      <c r="AQ195" s="203" t="s">
        <v>149</v>
      </c>
      <c r="AR195" s="203" t="s">
        <v>149</v>
      </c>
      <c r="AS195" s="203" t="s">
        <v>149</v>
      </c>
      <c r="AT195" s="203"/>
      <c r="AU195" s="203"/>
      <c r="AV195" s="203" t="s">
        <v>149</v>
      </c>
      <c r="AW195" s="203" t="s">
        <v>149</v>
      </c>
      <c r="AX195" s="203" t="s">
        <v>149</v>
      </c>
      <c r="AY195" s="203" t="s">
        <v>149</v>
      </c>
      <c r="AZ195" s="203" t="s">
        <v>149</v>
      </c>
      <c r="BA195" s="203" t="s">
        <v>149</v>
      </c>
      <c r="BB195" s="203" t="s">
        <v>149</v>
      </c>
      <c r="BC195" s="203"/>
      <c r="BD195" s="203"/>
      <c r="BE195" s="203"/>
      <c r="BF195" s="203" t="s">
        <v>149</v>
      </c>
      <c r="BG195" s="203" t="s">
        <v>149</v>
      </c>
      <c r="BH195" s="203" t="s">
        <v>149</v>
      </c>
      <c r="BI195" s="203" t="s">
        <v>149</v>
      </c>
      <c r="BJ195" s="203" t="s">
        <v>149</v>
      </c>
      <c r="BK195" s="203" t="s">
        <v>149</v>
      </c>
    </row>
  </sheetData>
  <sheetProtection algorithmName="SHA-512" hashValue="WmMYul3wQybTuUIqFyjlWB6sZxU+jiPyy4dkBsap144F5aPcrZDxc3JQsoPByVNuNwyWWam9lUIZ1neKKiGU/g==" saltValue="mRRK3nkk1Ofryk0Tyj1OQg==" spinCount="100000" sheet="1" sort="0" autoFilter="0"/>
  <phoneticPr fontId="29" type="noConversion"/>
  <conditionalFormatting sqref="I1">
    <cfRule type="cellIs" dxfId="918" priority="11" operator="equal">
      <formula>"y"</formula>
    </cfRule>
    <cfRule type="cellIs" dxfId="917" priority="12" operator="equal">
      <formula>"n"</formula>
    </cfRule>
  </conditionalFormatting>
  <conditionalFormatting sqref="P3">
    <cfRule type="cellIs" dxfId="916" priority="15" operator="equal">
      <formula>"Y"</formula>
    </cfRule>
    <cfRule type="cellIs" dxfId="915" priority="16" operator="equal">
      <formula>"n"</formula>
    </cfRule>
  </conditionalFormatting>
  <conditionalFormatting sqref="Y1:AQ2 I2:X2 H3:O3 Q3:AZ3">
    <cfRule type="cellIs" dxfId="914" priority="17" operator="equal">
      <formula>"y"</formula>
    </cfRule>
    <cfRule type="cellIs" dxfId="913" priority="18" operator="equal">
      <formula>"n"</formula>
    </cfRule>
  </conditionalFormatting>
  <conditionalFormatting sqref="AT2:BK2">
    <cfRule type="cellIs" dxfId="912" priority="1" operator="equal">
      <formula>"y"</formula>
    </cfRule>
    <cfRule type="cellIs" dxfId="911" priority="2" operator="equal">
      <formula>"n"</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0D60-DECB-4C3F-AB00-A6B489DEDF25}">
  <sheetPr codeName="Sheet10"/>
  <dimension ref="A1:BP191"/>
  <sheetViews>
    <sheetView tabSelected="1" zoomScale="55" zoomScaleNormal="55" workbookViewId="0">
      <pane ySplit="3" topLeftCell="A175" activePane="bottomLeft" state="frozen"/>
      <selection pane="bottomLeft" activeCell="F36" sqref="F36"/>
    </sheetView>
  </sheetViews>
  <sheetFormatPr defaultRowHeight="15"/>
  <cols>
    <col min="1" max="1" width="14.140625" customWidth="1"/>
    <col min="2" max="2" width="11.85546875" bestFit="1" customWidth="1"/>
    <col min="3" max="3" width="16.5703125" bestFit="1" customWidth="1"/>
    <col min="4" max="4" width="19.28515625" bestFit="1" customWidth="1"/>
    <col min="5" max="5" width="19.28515625" customWidth="1"/>
    <col min="6" max="6" width="62.140625" bestFit="1" customWidth="1"/>
    <col min="7" max="7" width="21.42578125" bestFit="1" customWidth="1"/>
    <col min="8" max="8" width="17.85546875" customWidth="1"/>
    <col min="9" max="9" width="20.140625" bestFit="1" customWidth="1"/>
    <col min="10" max="10" width="13.85546875" bestFit="1" customWidth="1"/>
    <col min="11" max="11" width="13.28515625" customWidth="1"/>
    <col min="12" max="12" width="14.28515625" bestFit="1" customWidth="1"/>
    <col min="13" max="13" width="11.42578125" bestFit="1" customWidth="1"/>
    <col min="17" max="17" width="15.28515625" bestFit="1" customWidth="1"/>
    <col min="18" max="18" width="11.28515625" customWidth="1"/>
    <col min="20" max="20" width="18.28515625" customWidth="1"/>
    <col min="22" max="22" width="16.42578125" customWidth="1"/>
    <col min="23" max="23" width="13.5703125" bestFit="1" customWidth="1"/>
    <col min="24" max="27" width="13.5703125" customWidth="1"/>
    <col min="29" max="29" width="13.7109375" customWidth="1"/>
    <col min="32" max="32" width="13.140625" customWidth="1"/>
    <col min="34" max="35" width="13.28515625" customWidth="1"/>
    <col min="38" max="38" width="14.85546875" customWidth="1"/>
    <col min="40" max="40" width="10.140625" customWidth="1"/>
    <col min="44" max="44" width="15.28515625" customWidth="1"/>
    <col min="46" max="46" width="10.7109375" customWidth="1"/>
    <col min="47" max="47" width="12.140625" customWidth="1"/>
    <col min="48" max="48" width="10.85546875" customWidth="1"/>
    <col min="49" max="49" width="13.28515625" customWidth="1"/>
    <col min="51" max="53" width="13.28515625" customWidth="1"/>
    <col min="54" max="54" width="35.85546875" customWidth="1"/>
    <col min="55" max="55" width="12.140625" bestFit="1" customWidth="1"/>
    <col min="56" max="56" width="11.85546875" bestFit="1" customWidth="1"/>
    <col min="58" max="58" width="15.5703125" customWidth="1"/>
    <col min="59" max="59" width="16.28515625" bestFit="1" customWidth="1"/>
    <col min="60" max="60" width="16.28515625" customWidth="1"/>
    <col min="62" max="62" width="14" bestFit="1" customWidth="1"/>
    <col min="63" max="63" width="17.28515625" customWidth="1"/>
    <col min="64" max="64" width="11" bestFit="1" customWidth="1"/>
    <col min="65" max="65" width="9.42578125" bestFit="1" customWidth="1"/>
    <col min="66" max="66" width="21.42578125" bestFit="1" customWidth="1"/>
    <col min="67" max="67" width="18.85546875" customWidth="1"/>
    <col min="68" max="68" width="12.7109375" customWidth="1"/>
  </cols>
  <sheetData>
    <row r="1" spans="1:68" ht="60">
      <c r="B1" s="192"/>
      <c r="C1" s="192"/>
      <c r="D1" s="192"/>
      <c r="E1" s="192"/>
      <c r="F1" s="153"/>
      <c r="G1" s="153"/>
      <c r="H1" s="153"/>
      <c r="I1" s="153"/>
      <c r="J1" s="193" t="s">
        <v>83</v>
      </c>
      <c r="K1" s="154" t="s">
        <v>84</v>
      </c>
      <c r="L1" s="155" t="s">
        <v>85</v>
      </c>
      <c r="M1" s="157" t="s">
        <v>87</v>
      </c>
      <c r="N1" s="158" t="s">
        <v>56</v>
      </c>
      <c r="O1" s="159" t="s">
        <v>88</v>
      </c>
      <c r="P1" s="160"/>
      <c r="Q1" s="160"/>
      <c r="R1" s="160"/>
      <c r="S1" s="160"/>
      <c r="T1" s="160"/>
      <c r="U1" s="160"/>
      <c r="V1" s="160"/>
      <c r="W1" s="160"/>
      <c r="X1" s="160"/>
      <c r="Y1" s="160"/>
      <c r="Z1" s="160"/>
      <c r="AA1" s="316"/>
      <c r="AB1" s="161" t="s">
        <v>841</v>
      </c>
      <c r="AC1" s="162"/>
      <c r="AD1" s="162"/>
      <c r="AE1" s="162"/>
      <c r="AF1" s="162"/>
      <c r="AG1" s="162"/>
      <c r="AH1" s="162"/>
      <c r="AI1" s="301" t="s">
        <v>842</v>
      </c>
      <c r="AJ1" s="163" t="s">
        <v>843</v>
      </c>
      <c r="AK1" s="164"/>
      <c r="AL1" s="164"/>
      <c r="AM1" s="164"/>
      <c r="AN1" s="164"/>
      <c r="AO1" s="164"/>
      <c r="AP1" s="164"/>
      <c r="AQ1" s="164"/>
      <c r="AR1" s="164"/>
      <c r="AS1" s="164"/>
      <c r="AT1" s="164"/>
      <c r="AU1" s="164"/>
      <c r="AV1" s="164"/>
      <c r="AW1" s="164"/>
      <c r="AX1" s="164"/>
      <c r="AY1" s="164"/>
      <c r="AZ1" s="164"/>
      <c r="BA1" s="164"/>
      <c r="BB1" s="165"/>
      <c r="BC1" s="353" t="s">
        <v>844</v>
      </c>
      <c r="BD1" s="326"/>
      <c r="BE1" s="170" t="s">
        <v>91</v>
      </c>
      <c r="BF1" s="171"/>
      <c r="BG1" s="172" t="s">
        <v>92</v>
      </c>
      <c r="BH1" s="352"/>
      <c r="BI1" s="347" t="s">
        <v>93</v>
      </c>
      <c r="BJ1" s="226" t="s">
        <v>94</v>
      </c>
      <c r="BK1" s="256" t="s">
        <v>95</v>
      </c>
      <c r="BL1" s="291" t="s">
        <v>845</v>
      </c>
      <c r="BM1" s="338" t="s">
        <v>97</v>
      </c>
      <c r="BN1" s="318" t="s">
        <v>98</v>
      </c>
      <c r="BO1" s="324" t="s">
        <v>99</v>
      </c>
      <c r="BP1" s="335" t="s">
        <v>100</v>
      </c>
    </row>
    <row r="2" spans="1:68" ht="75">
      <c r="B2" s="192"/>
      <c r="C2" s="192"/>
      <c r="D2" s="192"/>
      <c r="E2" s="192"/>
      <c r="F2" s="173"/>
      <c r="G2" s="173"/>
      <c r="H2" s="173"/>
      <c r="I2" s="173"/>
      <c r="J2" s="194" t="s">
        <v>103</v>
      </c>
      <c r="K2" s="174"/>
      <c r="L2" s="175"/>
      <c r="M2" s="177"/>
      <c r="N2" s="178"/>
      <c r="O2" s="179"/>
      <c r="P2" s="180" t="s">
        <v>104</v>
      </c>
      <c r="Q2" s="180" t="s">
        <v>105</v>
      </c>
      <c r="R2" s="180" t="s">
        <v>106</v>
      </c>
      <c r="S2" s="180" t="s">
        <v>107</v>
      </c>
      <c r="T2" s="180" t="s">
        <v>108</v>
      </c>
      <c r="U2" s="180" t="s">
        <v>109</v>
      </c>
      <c r="V2" s="180" t="s">
        <v>110</v>
      </c>
      <c r="W2" s="180" t="s">
        <v>111</v>
      </c>
      <c r="X2" s="317" t="s">
        <v>846</v>
      </c>
      <c r="Y2" s="251" t="s">
        <v>112</v>
      </c>
      <c r="Z2" s="317" t="s">
        <v>847</v>
      </c>
      <c r="AA2" s="317" t="s">
        <v>113</v>
      </c>
      <c r="AB2" s="181"/>
      <c r="AC2" s="182" t="s">
        <v>848</v>
      </c>
      <c r="AD2" s="182" t="s">
        <v>849</v>
      </c>
      <c r="AE2" s="182" t="s">
        <v>850</v>
      </c>
      <c r="AF2" s="182" t="s">
        <v>851</v>
      </c>
      <c r="AG2" s="182" t="s">
        <v>852</v>
      </c>
      <c r="AH2" s="183" t="s">
        <v>853</v>
      </c>
      <c r="AI2" s="302"/>
      <c r="AJ2" s="184"/>
      <c r="AK2" s="185" t="s">
        <v>114</v>
      </c>
      <c r="AL2" s="180" t="s">
        <v>115</v>
      </c>
      <c r="AM2" s="180" t="s">
        <v>116</v>
      </c>
      <c r="AN2" s="180" t="s">
        <v>117</v>
      </c>
      <c r="AO2" s="180" t="s">
        <v>118</v>
      </c>
      <c r="AP2" s="180" t="s">
        <v>119</v>
      </c>
      <c r="AQ2" s="180" t="s">
        <v>120</v>
      </c>
      <c r="AR2" s="180" t="s">
        <v>121</v>
      </c>
      <c r="AS2" s="180" t="s">
        <v>122</v>
      </c>
      <c r="AT2" s="180" t="s">
        <v>123</v>
      </c>
      <c r="AU2" s="180" t="s">
        <v>124</v>
      </c>
      <c r="AV2" s="180" t="s">
        <v>125</v>
      </c>
      <c r="AW2" s="180" t="s">
        <v>126</v>
      </c>
      <c r="AX2" s="180" t="s">
        <v>127</v>
      </c>
      <c r="AY2" s="180" t="s">
        <v>128</v>
      </c>
      <c r="AZ2" s="180" t="s">
        <v>129</v>
      </c>
      <c r="BA2" s="180" t="s">
        <v>130</v>
      </c>
      <c r="BB2" s="180" t="s">
        <v>131</v>
      </c>
      <c r="BC2" s="166" t="s">
        <v>132</v>
      </c>
      <c r="BD2" s="167" t="s">
        <v>133</v>
      </c>
      <c r="BE2" s="188"/>
      <c r="BF2" s="189" t="s">
        <v>135</v>
      </c>
      <c r="BG2" s="190"/>
      <c r="BH2" s="189" t="s">
        <v>136</v>
      </c>
      <c r="BI2" s="191"/>
      <c r="BJ2" s="227"/>
      <c r="BK2" s="257"/>
      <c r="BL2" s="292"/>
      <c r="BM2" s="339"/>
      <c r="BN2" s="319"/>
      <c r="BO2" s="323"/>
      <c r="BP2" s="336"/>
    </row>
    <row r="3" spans="1:68" ht="42.75">
      <c r="A3" s="229" t="s">
        <v>854</v>
      </c>
      <c r="B3" s="229" t="s">
        <v>855</v>
      </c>
      <c r="C3" s="229" t="s">
        <v>856</v>
      </c>
      <c r="D3" s="229" t="s">
        <v>857</v>
      </c>
      <c r="E3" s="229" t="s">
        <v>858</v>
      </c>
      <c r="F3" s="229" t="s">
        <v>859</v>
      </c>
      <c r="G3" s="229" t="s">
        <v>860</v>
      </c>
      <c r="H3" s="229" t="s">
        <v>861</v>
      </c>
      <c r="I3" s="229" t="s">
        <v>862</v>
      </c>
      <c r="J3" s="192"/>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row>
    <row r="4" spans="1:68">
      <c r="A4" s="196" t="s">
        <v>863</v>
      </c>
      <c r="B4" s="196" t="s">
        <v>864</v>
      </c>
      <c r="C4" s="196" t="s">
        <v>865</v>
      </c>
      <c r="D4" s="196" t="s">
        <v>866</v>
      </c>
      <c r="E4" s="196"/>
      <c r="F4" s="198" t="s">
        <v>867</v>
      </c>
      <c r="G4" s="98"/>
      <c r="H4" s="98"/>
      <c r="I4" s="98"/>
      <c r="J4" s="192"/>
      <c r="K4" s="196" t="s">
        <v>868</v>
      </c>
      <c r="L4" s="196" t="s">
        <v>868</v>
      </c>
      <c r="M4" s="196" t="s">
        <v>868</v>
      </c>
      <c r="N4" s="196" t="s">
        <v>868</v>
      </c>
      <c r="O4" s="128"/>
      <c r="P4" s="128"/>
      <c r="Q4" s="128"/>
      <c r="R4" s="128"/>
      <c r="S4" s="128"/>
      <c r="T4" s="128"/>
      <c r="U4" s="128"/>
      <c r="V4" s="128"/>
      <c r="W4" s="128"/>
      <c r="X4" s="128"/>
      <c r="Y4" s="128"/>
      <c r="Z4" s="128"/>
      <c r="AA4" s="128"/>
      <c r="AB4" s="128"/>
      <c r="AC4" s="128"/>
      <c r="AD4" s="128"/>
      <c r="AE4" s="128"/>
      <c r="AF4" s="128"/>
      <c r="AG4" s="128"/>
      <c r="AH4" s="128"/>
      <c r="AI4" s="128"/>
      <c r="AJ4" s="196" t="s">
        <v>868</v>
      </c>
      <c r="AK4" s="197" t="s">
        <v>869</v>
      </c>
      <c r="AL4" s="196" t="s">
        <v>868</v>
      </c>
      <c r="AM4" s="196" t="s">
        <v>868</v>
      </c>
      <c r="AN4" s="196" t="s">
        <v>868</v>
      </c>
      <c r="AO4" s="196" t="s">
        <v>868</v>
      </c>
      <c r="AP4" s="196" t="s">
        <v>868</v>
      </c>
      <c r="AQ4" s="196" t="s">
        <v>868</v>
      </c>
      <c r="AR4" s="196" t="s">
        <v>868</v>
      </c>
      <c r="AS4" s="196" t="s">
        <v>868</v>
      </c>
      <c r="AT4" s="196" t="s">
        <v>868</v>
      </c>
      <c r="AU4" s="196" t="s">
        <v>868</v>
      </c>
      <c r="AV4" s="196" t="s">
        <v>868</v>
      </c>
      <c r="AW4" s="196" t="s">
        <v>868</v>
      </c>
      <c r="AX4" s="196" t="s">
        <v>868</v>
      </c>
      <c r="AY4" s="128"/>
      <c r="AZ4" s="128"/>
      <c r="BA4" s="196" t="s">
        <v>868</v>
      </c>
      <c r="BB4" s="196" t="s">
        <v>868</v>
      </c>
      <c r="BC4" s="128"/>
      <c r="BD4" s="128"/>
      <c r="BE4" s="127" t="s">
        <v>868</v>
      </c>
      <c r="BF4" s="127" t="s">
        <v>868</v>
      </c>
      <c r="BG4" s="128"/>
      <c r="BH4" s="128"/>
      <c r="BI4" s="127" t="s">
        <v>868</v>
      </c>
      <c r="BJ4" s="128"/>
      <c r="BK4" s="128"/>
      <c r="BL4" s="320" t="s">
        <v>870</v>
      </c>
      <c r="BM4" s="320"/>
      <c r="BN4" s="320" t="s">
        <v>868</v>
      </c>
      <c r="BO4" s="128"/>
      <c r="BP4" s="254" t="s">
        <v>870</v>
      </c>
    </row>
    <row r="5" spans="1:68">
      <c r="A5" s="196" t="s">
        <v>863</v>
      </c>
      <c r="B5" s="196" t="s">
        <v>864</v>
      </c>
      <c r="C5" s="196" t="s">
        <v>865</v>
      </c>
      <c r="D5" s="196" t="s">
        <v>871</v>
      </c>
      <c r="E5" s="196"/>
      <c r="F5" s="198" t="s">
        <v>872</v>
      </c>
      <c r="G5" s="98"/>
      <c r="H5" s="98"/>
      <c r="I5" s="98"/>
      <c r="J5" s="192"/>
      <c r="K5" s="196" t="s">
        <v>868</v>
      </c>
      <c r="L5" s="196" t="s">
        <v>868</v>
      </c>
      <c r="M5" s="196" t="s">
        <v>868</v>
      </c>
      <c r="N5" s="196" t="s">
        <v>868</v>
      </c>
      <c r="O5" s="128"/>
      <c r="P5" s="128"/>
      <c r="Q5" s="128"/>
      <c r="R5" s="128"/>
      <c r="S5" s="128"/>
      <c r="T5" s="128"/>
      <c r="U5" s="128"/>
      <c r="V5" s="128"/>
      <c r="W5" s="128"/>
      <c r="X5" s="128"/>
      <c r="Y5" s="128"/>
      <c r="Z5" s="128"/>
      <c r="AA5" s="128"/>
      <c r="AB5" s="128"/>
      <c r="AC5" s="128"/>
      <c r="AD5" s="128"/>
      <c r="AE5" s="128"/>
      <c r="AF5" s="128"/>
      <c r="AG5" s="128"/>
      <c r="AH5" s="128"/>
      <c r="AI5" s="128"/>
      <c r="AJ5" s="196" t="s">
        <v>868</v>
      </c>
      <c r="AK5" s="197" t="s">
        <v>869</v>
      </c>
      <c r="AL5" s="196" t="s">
        <v>868</v>
      </c>
      <c r="AM5" s="196" t="s">
        <v>868</v>
      </c>
      <c r="AN5" s="196" t="s">
        <v>868</v>
      </c>
      <c r="AO5" s="196" t="s">
        <v>868</v>
      </c>
      <c r="AP5" s="196" t="s">
        <v>868</v>
      </c>
      <c r="AQ5" s="196" t="s">
        <v>868</v>
      </c>
      <c r="AR5" s="196" t="s">
        <v>868</v>
      </c>
      <c r="AS5" s="196" t="s">
        <v>868</v>
      </c>
      <c r="AT5" s="196" t="s">
        <v>868</v>
      </c>
      <c r="AU5" s="196" t="s">
        <v>868</v>
      </c>
      <c r="AV5" s="196" t="s">
        <v>868</v>
      </c>
      <c r="AW5" s="196" t="s">
        <v>868</v>
      </c>
      <c r="AX5" s="196" t="s">
        <v>868</v>
      </c>
      <c r="AY5" s="128"/>
      <c r="AZ5" s="128"/>
      <c r="BA5" s="196" t="s">
        <v>868</v>
      </c>
      <c r="BB5" s="196" t="s">
        <v>868</v>
      </c>
      <c r="BC5" s="128"/>
      <c r="BD5" s="128"/>
      <c r="BE5" s="127" t="s">
        <v>868</v>
      </c>
      <c r="BF5" s="127" t="s">
        <v>868</v>
      </c>
      <c r="BG5" s="128"/>
      <c r="BH5" s="128"/>
      <c r="BI5" s="127" t="s">
        <v>868</v>
      </c>
      <c r="BJ5" s="128"/>
      <c r="BK5" s="128"/>
      <c r="BL5" s="320" t="s">
        <v>870</v>
      </c>
      <c r="BM5" s="320"/>
      <c r="BN5" s="320" t="s">
        <v>868</v>
      </c>
      <c r="BO5" s="128"/>
      <c r="BP5" s="254" t="s">
        <v>870</v>
      </c>
    </row>
    <row r="6" spans="1:68">
      <c r="A6" s="196" t="s">
        <v>863</v>
      </c>
      <c r="B6" s="196" t="s">
        <v>864</v>
      </c>
      <c r="C6" s="196" t="s">
        <v>873</v>
      </c>
      <c r="D6" s="196" t="s">
        <v>874</v>
      </c>
      <c r="E6" s="196"/>
      <c r="F6" s="198" t="s">
        <v>875</v>
      </c>
      <c r="G6" s="98"/>
      <c r="H6" s="98"/>
      <c r="I6" s="98"/>
      <c r="J6" s="192"/>
      <c r="K6" s="196" t="s">
        <v>868</v>
      </c>
      <c r="L6" s="196" t="s">
        <v>868</v>
      </c>
      <c r="M6" s="196" t="s">
        <v>868</v>
      </c>
      <c r="N6" s="196" t="s">
        <v>868</v>
      </c>
      <c r="O6" s="128"/>
      <c r="P6" s="128"/>
      <c r="Q6" s="128"/>
      <c r="R6" s="128"/>
      <c r="S6" s="128"/>
      <c r="T6" s="128"/>
      <c r="U6" s="128"/>
      <c r="V6" s="128"/>
      <c r="W6" s="128"/>
      <c r="X6" s="128"/>
      <c r="Y6" s="128"/>
      <c r="Z6" s="128"/>
      <c r="AA6" s="128"/>
      <c r="AB6" s="128"/>
      <c r="AC6" s="128"/>
      <c r="AD6" s="128"/>
      <c r="AE6" s="128"/>
      <c r="AF6" s="128"/>
      <c r="AG6" s="128"/>
      <c r="AH6" s="128"/>
      <c r="AI6" s="128"/>
      <c r="AJ6" s="196" t="s">
        <v>868</v>
      </c>
      <c r="AK6" s="197" t="s">
        <v>869</v>
      </c>
      <c r="AL6" s="196" t="s">
        <v>868</v>
      </c>
      <c r="AM6" s="196" t="s">
        <v>868</v>
      </c>
      <c r="AN6" s="196" t="s">
        <v>868</v>
      </c>
      <c r="AO6" s="196" t="s">
        <v>868</v>
      </c>
      <c r="AP6" s="196" t="s">
        <v>868</v>
      </c>
      <c r="AQ6" s="196" t="s">
        <v>868</v>
      </c>
      <c r="AR6" s="196" t="s">
        <v>868</v>
      </c>
      <c r="AS6" s="196" t="s">
        <v>868</v>
      </c>
      <c r="AT6" s="196" t="s">
        <v>868</v>
      </c>
      <c r="AU6" s="196" t="s">
        <v>868</v>
      </c>
      <c r="AV6" s="196" t="s">
        <v>868</v>
      </c>
      <c r="AW6" s="196" t="s">
        <v>868</v>
      </c>
      <c r="AX6" s="196" t="s">
        <v>868</v>
      </c>
      <c r="AY6" s="128"/>
      <c r="AZ6" s="128"/>
      <c r="BA6" s="196" t="s">
        <v>868</v>
      </c>
      <c r="BB6" s="196" t="s">
        <v>868</v>
      </c>
      <c r="BC6" s="128"/>
      <c r="BD6" s="128"/>
      <c r="BE6" s="127" t="s">
        <v>868</v>
      </c>
      <c r="BF6" s="127" t="s">
        <v>868</v>
      </c>
      <c r="BG6" s="128"/>
      <c r="BH6" s="128"/>
      <c r="BI6" s="127" t="s">
        <v>868</v>
      </c>
      <c r="BJ6" s="128"/>
      <c r="BK6" s="128"/>
      <c r="BL6" s="320" t="s">
        <v>870</v>
      </c>
      <c r="BM6" s="320"/>
      <c r="BN6" s="320" t="s">
        <v>868</v>
      </c>
      <c r="BO6" s="128"/>
      <c r="BP6" s="254" t="s">
        <v>870</v>
      </c>
    </row>
    <row r="7" spans="1:68">
      <c r="A7" s="196" t="s">
        <v>863</v>
      </c>
      <c r="B7" s="196" t="s">
        <v>864</v>
      </c>
      <c r="C7" s="196" t="s">
        <v>873</v>
      </c>
      <c r="D7" s="196" t="s">
        <v>876</v>
      </c>
      <c r="E7" s="196"/>
      <c r="F7" s="198" t="s">
        <v>877</v>
      </c>
      <c r="G7" s="98"/>
      <c r="H7" s="98"/>
      <c r="I7" s="98"/>
      <c r="J7" s="192"/>
      <c r="K7" s="196" t="s">
        <v>868</v>
      </c>
      <c r="L7" s="196" t="s">
        <v>868</v>
      </c>
      <c r="M7" s="196" t="s">
        <v>868</v>
      </c>
      <c r="N7" s="196" t="s">
        <v>868</v>
      </c>
      <c r="O7" s="128"/>
      <c r="P7" s="128"/>
      <c r="Q7" s="128"/>
      <c r="R7" s="128"/>
      <c r="S7" s="128"/>
      <c r="T7" s="128"/>
      <c r="U7" s="128"/>
      <c r="V7" s="128"/>
      <c r="W7" s="128"/>
      <c r="X7" s="128"/>
      <c r="Y7" s="128"/>
      <c r="Z7" s="128"/>
      <c r="AA7" s="128"/>
      <c r="AB7" s="128"/>
      <c r="AC7" s="128"/>
      <c r="AD7" s="128"/>
      <c r="AE7" s="128"/>
      <c r="AF7" s="128"/>
      <c r="AG7" s="128"/>
      <c r="AH7" s="128"/>
      <c r="AI7" s="128"/>
      <c r="AJ7" s="196" t="s">
        <v>868</v>
      </c>
      <c r="AK7" s="197" t="s">
        <v>869</v>
      </c>
      <c r="AL7" s="196" t="s">
        <v>868</v>
      </c>
      <c r="AM7" s="196" t="s">
        <v>868</v>
      </c>
      <c r="AN7" s="196" t="s">
        <v>868</v>
      </c>
      <c r="AO7" s="196" t="s">
        <v>868</v>
      </c>
      <c r="AP7" s="196" t="s">
        <v>868</v>
      </c>
      <c r="AQ7" s="196" t="s">
        <v>868</v>
      </c>
      <c r="AR7" s="196" t="s">
        <v>868</v>
      </c>
      <c r="AS7" s="196" t="s">
        <v>868</v>
      </c>
      <c r="AT7" s="196" t="s">
        <v>868</v>
      </c>
      <c r="AU7" s="196" t="s">
        <v>868</v>
      </c>
      <c r="AV7" s="196" t="s">
        <v>868</v>
      </c>
      <c r="AW7" s="196" t="s">
        <v>868</v>
      </c>
      <c r="AX7" s="196" t="s">
        <v>868</v>
      </c>
      <c r="AY7" s="128"/>
      <c r="AZ7" s="128"/>
      <c r="BA7" s="196" t="s">
        <v>868</v>
      </c>
      <c r="BB7" s="196" t="s">
        <v>868</v>
      </c>
      <c r="BC7" s="128"/>
      <c r="BD7" s="128"/>
      <c r="BE7" s="127" t="s">
        <v>868</v>
      </c>
      <c r="BF7" s="127" t="s">
        <v>868</v>
      </c>
      <c r="BG7" s="128"/>
      <c r="BH7" s="128"/>
      <c r="BI7" s="127" t="s">
        <v>868</v>
      </c>
      <c r="BJ7" s="128"/>
      <c r="BK7" s="128"/>
      <c r="BL7" s="320" t="s">
        <v>870</v>
      </c>
      <c r="BM7" s="320"/>
      <c r="BN7" s="320" t="s">
        <v>868</v>
      </c>
      <c r="BO7" s="128"/>
      <c r="BP7" s="254" t="s">
        <v>870</v>
      </c>
    </row>
    <row r="8" spans="1:68">
      <c r="A8" s="196" t="s">
        <v>863</v>
      </c>
      <c r="B8" s="196" t="s">
        <v>864</v>
      </c>
      <c r="C8" s="196" t="s">
        <v>873</v>
      </c>
      <c r="D8" s="196" t="s">
        <v>878</v>
      </c>
      <c r="E8" s="196"/>
      <c r="F8" s="198" t="s">
        <v>879</v>
      </c>
      <c r="G8" s="98"/>
      <c r="H8" s="98"/>
      <c r="I8" s="98"/>
      <c r="J8" s="192"/>
      <c r="K8" s="196" t="s">
        <v>868</v>
      </c>
      <c r="L8" s="196" t="s">
        <v>868</v>
      </c>
      <c r="M8" s="196" t="s">
        <v>868</v>
      </c>
      <c r="N8" s="196" t="s">
        <v>868</v>
      </c>
      <c r="O8" s="128"/>
      <c r="P8" s="128"/>
      <c r="Q8" s="128"/>
      <c r="R8" s="128"/>
      <c r="S8" s="128"/>
      <c r="T8" s="128"/>
      <c r="U8" s="128"/>
      <c r="V8" s="128"/>
      <c r="W8" s="128"/>
      <c r="X8" s="128"/>
      <c r="Y8" s="128"/>
      <c r="Z8" s="128"/>
      <c r="AA8" s="128"/>
      <c r="AB8" s="128"/>
      <c r="AC8" s="128"/>
      <c r="AD8" s="128"/>
      <c r="AE8" s="128"/>
      <c r="AF8" s="128"/>
      <c r="AG8" s="128"/>
      <c r="AH8" s="128"/>
      <c r="AI8" s="128"/>
      <c r="AJ8" s="196" t="s">
        <v>868</v>
      </c>
      <c r="AK8" s="197" t="s">
        <v>869</v>
      </c>
      <c r="AL8" s="196" t="s">
        <v>868</v>
      </c>
      <c r="AM8" s="196" t="s">
        <v>868</v>
      </c>
      <c r="AN8" s="196" t="s">
        <v>868</v>
      </c>
      <c r="AO8" s="196" t="s">
        <v>868</v>
      </c>
      <c r="AP8" s="196" t="s">
        <v>868</v>
      </c>
      <c r="AQ8" s="196" t="s">
        <v>868</v>
      </c>
      <c r="AR8" s="196" t="s">
        <v>868</v>
      </c>
      <c r="AS8" s="196" t="s">
        <v>868</v>
      </c>
      <c r="AT8" s="196" t="s">
        <v>868</v>
      </c>
      <c r="AU8" s="196" t="s">
        <v>868</v>
      </c>
      <c r="AV8" s="196" t="s">
        <v>868</v>
      </c>
      <c r="AW8" s="196" t="s">
        <v>868</v>
      </c>
      <c r="AX8" s="196" t="s">
        <v>868</v>
      </c>
      <c r="AY8" s="128"/>
      <c r="AZ8" s="128"/>
      <c r="BA8" s="196" t="s">
        <v>868</v>
      </c>
      <c r="BB8" s="196" t="s">
        <v>868</v>
      </c>
      <c r="BC8" s="128"/>
      <c r="BD8" s="128"/>
      <c r="BE8" s="127" t="s">
        <v>868</v>
      </c>
      <c r="BF8" s="127" t="s">
        <v>868</v>
      </c>
      <c r="BG8" s="128"/>
      <c r="BH8" s="128"/>
      <c r="BI8" s="127" t="s">
        <v>868</v>
      </c>
      <c r="BJ8" s="128"/>
      <c r="BK8" s="128"/>
      <c r="BL8" s="320" t="s">
        <v>870</v>
      </c>
      <c r="BM8" s="320"/>
      <c r="BN8" s="320" t="s">
        <v>868</v>
      </c>
      <c r="BO8" s="128"/>
      <c r="BP8" s="254" t="s">
        <v>870</v>
      </c>
    </row>
    <row r="9" spans="1:68">
      <c r="A9" s="196" t="s">
        <v>863</v>
      </c>
      <c r="B9" s="196" t="s">
        <v>864</v>
      </c>
      <c r="C9" s="196" t="s">
        <v>880</v>
      </c>
      <c r="D9" s="196" t="s">
        <v>881</v>
      </c>
      <c r="E9" s="196"/>
      <c r="F9" s="198" t="s">
        <v>882</v>
      </c>
      <c r="G9" s="98"/>
      <c r="H9" s="98"/>
      <c r="I9" s="98"/>
      <c r="J9" s="192"/>
      <c r="K9" s="196" t="s">
        <v>868</v>
      </c>
      <c r="L9" s="196" t="s">
        <v>868</v>
      </c>
      <c r="M9" s="196" t="s">
        <v>868</v>
      </c>
      <c r="N9" s="196" t="s">
        <v>868</v>
      </c>
      <c r="O9" s="128"/>
      <c r="P9" s="128"/>
      <c r="Q9" s="128"/>
      <c r="R9" s="128"/>
      <c r="S9" s="128"/>
      <c r="T9" s="128"/>
      <c r="U9" s="128"/>
      <c r="V9" s="128"/>
      <c r="W9" s="128"/>
      <c r="X9" s="128"/>
      <c r="Y9" s="128"/>
      <c r="Z9" s="128"/>
      <c r="AA9" s="128"/>
      <c r="AB9" s="128"/>
      <c r="AC9" s="128"/>
      <c r="AD9" s="128"/>
      <c r="AE9" s="128"/>
      <c r="AF9" s="128"/>
      <c r="AG9" s="128"/>
      <c r="AH9" s="128"/>
      <c r="AI9" s="128"/>
      <c r="AJ9" s="196" t="s">
        <v>868</v>
      </c>
      <c r="AK9" s="127" t="s">
        <v>883</v>
      </c>
      <c r="AL9" s="196" t="s">
        <v>868</v>
      </c>
      <c r="AM9" s="196" t="s">
        <v>868</v>
      </c>
      <c r="AN9" s="196" t="s">
        <v>868</v>
      </c>
      <c r="AO9" s="196" t="s">
        <v>868</v>
      </c>
      <c r="AP9" s="196" t="s">
        <v>868</v>
      </c>
      <c r="AQ9" s="196" t="s">
        <v>868</v>
      </c>
      <c r="AR9" s="196" t="s">
        <v>868</v>
      </c>
      <c r="AS9" s="196" t="s">
        <v>868</v>
      </c>
      <c r="AT9" s="196" t="s">
        <v>868</v>
      </c>
      <c r="AU9" s="196" t="s">
        <v>868</v>
      </c>
      <c r="AV9" s="196" t="s">
        <v>868</v>
      </c>
      <c r="AW9" s="196" t="s">
        <v>868</v>
      </c>
      <c r="AX9" s="196" t="s">
        <v>868</v>
      </c>
      <c r="AY9" s="196" t="s">
        <v>868</v>
      </c>
      <c r="AZ9" s="196" t="s">
        <v>868</v>
      </c>
      <c r="BA9" s="196" t="s">
        <v>868</v>
      </c>
      <c r="BB9" s="196" t="s">
        <v>868</v>
      </c>
      <c r="BC9" s="128"/>
      <c r="BD9" s="128"/>
      <c r="BE9" s="127" t="s">
        <v>868</v>
      </c>
      <c r="BF9" s="127" t="s">
        <v>868</v>
      </c>
      <c r="BG9" s="128"/>
      <c r="BH9" s="128"/>
      <c r="BI9" s="127" t="s">
        <v>868</v>
      </c>
      <c r="BJ9" s="128"/>
      <c r="BK9" s="128"/>
      <c r="BL9" s="320" t="s">
        <v>870</v>
      </c>
      <c r="BM9" s="320"/>
      <c r="BN9" s="320" t="s">
        <v>868</v>
      </c>
      <c r="BO9" s="128"/>
      <c r="BP9" s="254" t="s">
        <v>870</v>
      </c>
    </row>
    <row r="10" spans="1:68">
      <c r="A10" s="196" t="s">
        <v>863</v>
      </c>
      <c r="B10" s="196" t="s">
        <v>864</v>
      </c>
      <c r="C10" s="196" t="s">
        <v>880</v>
      </c>
      <c r="D10" s="196" t="s">
        <v>884</v>
      </c>
      <c r="E10" s="196"/>
      <c r="F10" s="198" t="s">
        <v>885</v>
      </c>
      <c r="G10" s="98"/>
      <c r="H10" s="98"/>
      <c r="I10" s="98"/>
      <c r="J10" s="192"/>
      <c r="K10" s="196" t="s">
        <v>868</v>
      </c>
      <c r="L10" s="196" t="s">
        <v>868</v>
      </c>
      <c r="M10" s="196" t="s">
        <v>868</v>
      </c>
      <c r="N10" s="196" t="s">
        <v>868</v>
      </c>
      <c r="O10" s="128"/>
      <c r="P10" s="128"/>
      <c r="Q10" s="128"/>
      <c r="R10" s="128"/>
      <c r="S10" s="128"/>
      <c r="T10" s="128"/>
      <c r="U10" s="128"/>
      <c r="V10" s="128"/>
      <c r="W10" s="128"/>
      <c r="X10" s="128"/>
      <c r="Y10" s="128"/>
      <c r="Z10" s="128"/>
      <c r="AA10" s="128"/>
      <c r="AB10" s="128"/>
      <c r="AC10" s="128"/>
      <c r="AD10" s="128"/>
      <c r="AE10" s="128"/>
      <c r="AF10" s="128"/>
      <c r="AG10" s="128"/>
      <c r="AH10" s="128"/>
      <c r="AI10" s="128"/>
      <c r="AJ10" s="196" t="s">
        <v>868</v>
      </c>
      <c r="AK10" s="127" t="s">
        <v>883</v>
      </c>
      <c r="AL10" s="196" t="s">
        <v>868</v>
      </c>
      <c r="AM10" s="196" t="s">
        <v>868</v>
      </c>
      <c r="AN10" s="196" t="s">
        <v>868</v>
      </c>
      <c r="AO10" s="196" t="s">
        <v>868</v>
      </c>
      <c r="AP10" s="196" t="s">
        <v>868</v>
      </c>
      <c r="AQ10" s="196" t="s">
        <v>868</v>
      </c>
      <c r="AR10" s="196" t="s">
        <v>868</v>
      </c>
      <c r="AS10" s="196" t="s">
        <v>868</v>
      </c>
      <c r="AT10" s="196" t="s">
        <v>868</v>
      </c>
      <c r="AU10" s="196" t="s">
        <v>868</v>
      </c>
      <c r="AV10" s="196" t="s">
        <v>868</v>
      </c>
      <c r="AW10" s="196" t="s">
        <v>868</v>
      </c>
      <c r="AX10" s="196" t="s">
        <v>868</v>
      </c>
      <c r="AY10" s="196" t="s">
        <v>868</v>
      </c>
      <c r="AZ10" s="196" t="s">
        <v>868</v>
      </c>
      <c r="BA10" s="196" t="s">
        <v>868</v>
      </c>
      <c r="BB10" s="196" t="s">
        <v>868</v>
      </c>
      <c r="BC10" s="128"/>
      <c r="BD10" s="128"/>
      <c r="BE10" s="127" t="s">
        <v>868</v>
      </c>
      <c r="BF10" s="127" t="s">
        <v>868</v>
      </c>
      <c r="BG10" s="128"/>
      <c r="BH10" s="128"/>
      <c r="BI10" s="127" t="s">
        <v>868</v>
      </c>
      <c r="BJ10" s="128"/>
      <c r="BK10" s="128"/>
      <c r="BL10" s="320" t="s">
        <v>870</v>
      </c>
      <c r="BM10" s="320"/>
      <c r="BN10" s="320" t="s">
        <v>868</v>
      </c>
      <c r="BO10" s="128"/>
      <c r="BP10" s="254" t="s">
        <v>870</v>
      </c>
    </row>
    <row r="11" spans="1:68">
      <c r="A11" s="196" t="s">
        <v>863</v>
      </c>
      <c r="B11" s="196" t="s">
        <v>864</v>
      </c>
      <c r="C11" s="196" t="s">
        <v>880</v>
      </c>
      <c r="D11" s="196" t="s">
        <v>886</v>
      </c>
      <c r="E11" s="196"/>
      <c r="F11" s="198" t="s">
        <v>887</v>
      </c>
      <c r="G11" s="98"/>
      <c r="H11" s="98"/>
      <c r="I11" s="98"/>
      <c r="J11" s="192"/>
      <c r="K11" s="196" t="s">
        <v>868</v>
      </c>
      <c r="L11" s="196" t="s">
        <v>868</v>
      </c>
      <c r="M11" s="196" t="s">
        <v>868</v>
      </c>
      <c r="N11" s="196" t="s">
        <v>868</v>
      </c>
      <c r="O11" s="128"/>
      <c r="P11" s="128"/>
      <c r="Q11" s="128"/>
      <c r="R11" s="128"/>
      <c r="S11" s="128"/>
      <c r="T11" s="128"/>
      <c r="U11" s="128"/>
      <c r="V11" s="128"/>
      <c r="W11" s="128"/>
      <c r="X11" s="128"/>
      <c r="Y11" s="128"/>
      <c r="Z11" s="128"/>
      <c r="AA11" s="128"/>
      <c r="AB11" s="128"/>
      <c r="AC11" s="128"/>
      <c r="AD11" s="128"/>
      <c r="AE11" s="128"/>
      <c r="AF11" s="128"/>
      <c r="AG11" s="128"/>
      <c r="AH11" s="128"/>
      <c r="AI11" s="128"/>
      <c r="AJ11" s="196" t="s">
        <v>868</v>
      </c>
      <c r="AK11" s="127" t="s">
        <v>883</v>
      </c>
      <c r="AL11" s="196" t="s">
        <v>868</v>
      </c>
      <c r="AM11" s="196" t="s">
        <v>868</v>
      </c>
      <c r="AN11" s="196" t="s">
        <v>868</v>
      </c>
      <c r="AO11" s="196" t="s">
        <v>868</v>
      </c>
      <c r="AP11" s="196" t="s">
        <v>868</v>
      </c>
      <c r="AQ11" s="196" t="s">
        <v>868</v>
      </c>
      <c r="AR11" s="196" t="s">
        <v>868</v>
      </c>
      <c r="AS11" s="196" t="s">
        <v>868</v>
      </c>
      <c r="AT11" s="196" t="s">
        <v>868</v>
      </c>
      <c r="AU11" s="196" t="s">
        <v>868</v>
      </c>
      <c r="AV11" s="196" t="s">
        <v>868</v>
      </c>
      <c r="AW11" s="196" t="s">
        <v>868</v>
      </c>
      <c r="AX11" s="196" t="s">
        <v>868</v>
      </c>
      <c r="AY11" s="196" t="s">
        <v>868</v>
      </c>
      <c r="AZ11" s="196" t="s">
        <v>868</v>
      </c>
      <c r="BA11" s="196" t="s">
        <v>868</v>
      </c>
      <c r="BB11" s="196" t="s">
        <v>868</v>
      </c>
      <c r="BC11" s="128"/>
      <c r="BD11" s="128"/>
      <c r="BE11" s="127" t="s">
        <v>868</v>
      </c>
      <c r="BF11" s="127" t="s">
        <v>868</v>
      </c>
      <c r="BG11" s="128"/>
      <c r="BH11" s="128"/>
      <c r="BI11" s="127" t="s">
        <v>868</v>
      </c>
      <c r="BJ11" s="128"/>
      <c r="BK11" s="128"/>
      <c r="BL11" s="320" t="s">
        <v>870</v>
      </c>
      <c r="BM11" s="320"/>
      <c r="BN11" s="320" t="s">
        <v>868</v>
      </c>
      <c r="BO11" s="128"/>
      <c r="BP11" s="254" t="s">
        <v>870</v>
      </c>
    </row>
    <row r="12" spans="1:68" ht="30">
      <c r="A12" s="196" t="s">
        <v>863</v>
      </c>
      <c r="B12" s="196" t="s">
        <v>864</v>
      </c>
      <c r="C12" s="196" t="s">
        <v>880</v>
      </c>
      <c r="D12" s="196" t="s">
        <v>888</v>
      </c>
      <c r="E12" s="196"/>
      <c r="F12" s="198" t="s">
        <v>889</v>
      </c>
      <c r="G12" s="98"/>
      <c r="H12" s="98"/>
      <c r="I12" s="98"/>
      <c r="J12" s="192"/>
      <c r="K12" s="196" t="s">
        <v>868</v>
      </c>
      <c r="L12" s="196" t="s">
        <v>868</v>
      </c>
      <c r="M12" s="196" t="s">
        <v>868</v>
      </c>
      <c r="N12" s="196" t="s">
        <v>868</v>
      </c>
      <c r="O12" s="128"/>
      <c r="P12" s="128"/>
      <c r="Q12" s="128"/>
      <c r="R12" s="128"/>
      <c r="S12" s="128"/>
      <c r="T12" s="128"/>
      <c r="U12" s="128"/>
      <c r="V12" s="128"/>
      <c r="W12" s="128"/>
      <c r="X12" s="128"/>
      <c r="Y12" s="128"/>
      <c r="Z12" s="128"/>
      <c r="AA12" s="128"/>
      <c r="AB12" s="128"/>
      <c r="AC12" s="128"/>
      <c r="AD12" s="128"/>
      <c r="AE12" s="128"/>
      <c r="AF12" s="128"/>
      <c r="AG12" s="128"/>
      <c r="AH12" s="128"/>
      <c r="AI12" s="128"/>
      <c r="AJ12" s="196" t="s">
        <v>868</v>
      </c>
      <c r="AK12" s="127" t="s">
        <v>883</v>
      </c>
      <c r="AL12" s="196" t="s">
        <v>868</v>
      </c>
      <c r="AM12" s="196" t="s">
        <v>868</v>
      </c>
      <c r="AN12" s="196" t="s">
        <v>868</v>
      </c>
      <c r="AO12" s="196" t="s">
        <v>868</v>
      </c>
      <c r="AP12" s="196" t="s">
        <v>868</v>
      </c>
      <c r="AQ12" s="196" t="s">
        <v>868</v>
      </c>
      <c r="AR12" s="196" t="s">
        <v>868</v>
      </c>
      <c r="AS12" s="196" t="s">
        <v>868</v>
      </c>
      <c r="AT12" s="196" t="s">
        <v>868</v>
      </c>
      <c r="AU12" s="196" t="s">
        <v>868</v>
      </c>
      <c r="AV12" s="196" t="s">
        <v>868</v>
      </c>
      <c r="AW12" s="196" t="s">
        <v>868</v>
      </c>
      <c r="AX12" s="196" t="s">
        <v>868</v>
      </c>
      <c r="AY12" s="196" t="s">
        <v>868</v>
      </c>
      <c r="AZ12" s="196" t="s">
        <v>868</v>
      </c>
      <c r="BA12" s="196" t="s">
        <v>868</v>
      </c>
      <c r="BB12" s="196" t="s">
        <v>868</v>
      </c>
      <c r="BC12" s="128"/>
      <c r="BD12" s="128"/>
      <c r="BE12" s="127" t="s">
        <v>868</v>
      </c>
      <c r="BF12" s="127" t="s">
        <v>868</v>
      </c>
      <c r="BG12" s="128"/>
      <c r="BH12" s="128"/>
      <c r="BI12" s="127" t="s">
        <v>868</v>
      </c>
      <c r="BJ12" s="128"/>
      <c r="BK12" s="128"/>
      <c r="BL12" s="320" t="s">
        <v>870</v>
      </c>
      <c r="BM12" s="320"/>
      <c r="BN12" s="320" t="s">
        <v>868</v>
      </c>
      <c r="BO12" s="128"/>
      <c r="BP12" s="254" t="s">
        <v>870</v>
      </c>
    </row>
    <row r="13" spans="1:68">
      <c r="A13" s="196" t="s">
        <v>863</v>
      </c>
      <c r="B13" s="196" t="s">
        <v>864</v>
      </c>
      <c r="C13" s="196" t="s">
        <v>880</v>
      </c>
      <c r="D13" s="196" t="s">
        <v>890</v>
      </c>
      <c r="E13" s="196"/>
      <c r="F13" s="198" t="s">
        <v>891</v>
      </c>
      <c r="G13" s="98"/>
      <c r="H13" s="98"/>
      <c r="I13" s="98"/>
      <c r="J13" s="192"/>
      <c r="K13" s="196" t="s">
        <v>868</v>
      </c>
      <c r="L13" s="196" t="s">
        <v>868</v>
      </c>
      <c r="M13" s="196" t="s">
        <v>868</v>
      </c>
      <c r="N13" s="196" t="s">
        <v>868</v>
      </c>
      <c r="O13" s="128"/>
      <c r="P13" s="128"/>
      <c r="Q13" s="128"/>
      <c r="R13" s="128"/>
      <c r="S13" s="128"/>
      <c r="T13" s="128"/>
      <c r="U13" s="128"/>
      <c r="V13" s="128"/>
      <c r="W13" s="128"/>
      <c r="X13" s="128"/>
      <c r="Y13" s="128"/>
      <c r="Z13" s="128"/>
      <c r="AA13" s="128"/>
      <c r="AB13" s="128"/>
      <c r="AC13" s="128"/>
      <c r="AD13" s="128"/>
      <c r="AE13" s="128"/>
      <c r="AF13" s="128"/>
      <c r="AG13" s="128"/>
      <c r="AH13" s="128"/>
      <c r="AI13" s="128"/>
      <c r="AJ13" s="196" t="s">
        <v>868</v>
      </c>
      <c r="AK13" s="127" t="s">
        <v>883</v>
      </c>
      <c r="AL13" s="196" t="s">
        <v>868</v>
      </c>
      <c r="AM13" s="196" t="s">
        <v>868</v>
      </c>
      <c r="AN13" s="196" t="s">
        <v>868</v>
      </c>
      <c r="AO13" s="196" t="s">
        <v>868</v>
      </c>
      <c r="AP13" s="196" t="s">
        <v>868</v>
      </c>
      <c r="AQ13" s="196" t="s">
        <v>868</v>
      </c>
      <c r="AR13" s="196" t="s">
        <v>868</v>
      </c>
      <c r="AS13" s="196" t="s">
        <v>868</v>
      </c>
      <c r="AT13" s="196" t="s">
        <v>868</v>
      </c>
      <c r="AU13" s="196" t="s">
        <v>868</v>
      </c>
      <c r="AV13" s="196" t="s">
        <v>868</v>
      </c>
      <c r="AW13" s="196" t="s">
        <v>868</v>
      </c>
      <c r="AX13" s="196" t="s">
        <v>868</v>
      </c>
      <c r="AY13" s="196" t="s">
        <v>868</v>
      </c>
      <c r="AZ13" s="196" t="s">
        <v>868</v>
      </c>
      <c r="BA13" s="196" t="s">
        <v>868</v>
      </c>
      <c r="BB13" s="196" t="s">
        <v>868</v>
      </c>
      <c r="BC13" s="128"/>
      <c r="BD13" s="128"/>
      <c r="BE13" s="127" t="s">
        <v>868</v>
      </c>
      <c r="BF13" s="127" t="s">
        <v>868</v>
      </c>
      <c r="BG13" s="128"/>
      <c r="BH13" s="128"/>
      <c r="BI13" s="127" t="s">
        <v>868</v>
      </c>
      <c r="BJ13" s="128"/>
      <c r="BK13" s="128"/>
      <c r="BL13" s="320" t="s">
        <v>870</v>
      </c>
      <c r="BM13" s="320"/>
      <c r="BN13" s="320" t="s">
        <v>868</v>
      </c>
      <c r="BO13" s="128"/>
      <c r="BP13" s="254" t="s">
        <v>870</v>
      </c>
    </row>
    <row r="14" spans="1:68" ht="30">
      <c r="A14" s="196" t="s">
        <v>863</v>
      </c>
      <c r="B14" s="196" t="s">
        <v>864</v>
      </c>
      <c r="C14" s="196" t="s">
        <v>880</v>
      </c>
      <c r="D14" s="196" t="s">
        <v>892</v>
      </c>
      <c r="E14" s="196"/>
      <c r="F14" s="198" t="s">
        <v>893</v>
      </c>
      <c r="G14" s="98"/>
      <c r="H14" s="98"/>
      <c r="I14" s="98"/>
      <c r="J14" s="192"/>
      <c r="K14" s="196" t="s">
        <v>868</v>
      </c>
      <c r="L14" s="196" t="s">
        <v>868</v>
      </c>
      <c r="M14" s="196" t="s">
        <v>868</v>
      </c>
      <c r="N14" s="196" t="s">
        <v>868</v>
      </c>
      <c r="O14" s="128"/>
      <c r="P14" s="128"/>
      <c r="Q14" s="128"/>
      <c r="R14" s="128"/>
      <c r="S14" s="128"/>
      <c r="T14" s="128"/>
      <c r="U14" s="128"/>
      <c r="V14" s="128"/>
      <c r="W14" s="128"/>
      <c r="X14" s="128"/>
      <c r="Y14" s="128"/>
      <c r="Z14" s="128"/>
      <c r="AA14" s="128"/>
      <c r="AB14" s="128"/>
      <c r="AC14" s="128"/>
      <c r="AD14" s="128"/>
      <c r="AE14" s="128"/>
      <c r="AF14" s="128"/>
      <c r="AG14" s="128"/>
      <c r="AH14" s="128"/>
      <c r="AI14" s="128"/>
      <c r="AJ14" s="196" t="s">
        <v>868</v>
      </c>
      <c r="AK14" s="127" t="s">
        <v>883</v>
      </c>
      <c r="AL14" s="196" t="s">
        <v>868</v>
      </c>
      <c r="AM14" s="196" t="s">
        <v>868</v>
      </c>
      <c r="AN14" s="196" t="s">
        <v>868</v>
      </c>
      <c r="AO14" s="196" t="s">
        <v>868</v>
      </c>
      <c r="AP14" s="196" t="s">
        <v>868</v>
      </c>
      <c r="AQ14" s="196" t="s">
        <v>868</v>
      </c>
      <c r="AR14" s="196" t="s">
        <v>868</v>
      </c>
      <c r="AS14" s="196" t="s">
        <v>868</v>
      </c>
      <c r="AT14" s="196" t="s">
        <v>868</v>
      </c>
      <c r="AU14" s="196" t="s">
        <v>868</v>
      </c>
      <c r="AV14" s="196" t="s">
        <v>868</v>
      </c>
      <c r="AW14" s="196" t="s">
        <v>868</v>
      </c>
      <c r="AX14" s="196" t="s">
        <v>868</v>
      </c>
      <c r="AY14" s="196" t="s">
        <v>868</v>
      </c>
      <c r="AZ14" s="196" t="s">
        <v>868</v>
      </c>
      <c r="BA14" s="196" t="s">
        <v>868</v>
      </c>
      <c r="BB14" s="196" t="s">
        <v>868</v>
      </c>
      <c r="BC14" s="128"/>
      <c r="BD14" s="128"/>
      <c r="BE14" s="127" t="s">
        <v>868</v>
      </c>
      <c r="BF14" s="127" t="s">
        <v>868</v>
      </c>
      <c r="BG14" s="128"/>
      <c r="BH14" s="128"/>
      <c r="BI14" s="127" t="s">
        <v>868</v>
      </c>
      <c r="BJ14" s="128"/>
      <c r="BK14" s="128"/>
      <c r="BL14" s="320" t="s">
        <v>870</v>
      </c>
      <c r="BM14" s="320"/>
      <c r="BN14" s="320" t="s">
        <v>868</v>
      </c>
      <c r="BO14" s="128"/>
      <c r="BP14" s="254" t="s">
        <v>870</v>
      </c>
    </row>
    <row r="15" spans="1:68" ht="30">
      <c r="A15" s="196" t="s">
        <v>863</v>
      </c>
      <c r="B15" s="196" t="s">
        <v>864</v>
      </c>
      <c r="C15" s="196" t="s">
        <v>894</v>
      </c>
      <c r="D15" s="196" t="s">
        <v>895</v>
      </c>
      <c r="E15" s="196"/>
      <c r="F15" s="198" t="s">
        <v>896</v>
      </c>
      <c r="G15" s="98"/>
      <c r="H15" s="98"/>
      <c r="I15" s="98"/>
      <c r="J15" s="192"/>
      <c r="K15" s="196" t="s">
        <v>868</v>
      </c>
      <c r="L15" s="196" t="s">
        <v>868</v>
      </c>
      <c r="M15" s="196" t="s">
        <v>868</v>
      </c>
      <c r="N15" s="196" t="s">
        <v>868</v>
      </c>
      <c r="O15" s="128"/>
      <c r="P15" s="128"/>
      <c r="Q15" s="128"/>
      <c r="R15" s="128"/>
      <c r="S15" s="128"/>
      <c r="T15" s="128"/>
      <c r="U15" s="128"/>
      <c r="V15" s="128"/>
      <c r="W15" s="128"/>
      <c r="X15" s="128"/>
      <c r="Y15" s="128"/>
      <c r="Z15" s="128"/>
      <c r="AA15" s="128"/>
      <c r="AB15" s="128"/>
      <c r="AC15" s="128"/>
      <c r="AD15" s="128"/>
      <c r="AE15" s="128"/>
      <c r="AF15" s="128"/>
      <c r="AG15" s="128"/>
      <c r="AH15" s="128"/>
      <c r="AI15" s="128"/>
      <c r="AJ15" s="196" t="s">
        <v>868</v>
      </c>
      <c r="AK15" s="127" t="s">
        <v>883</v>
      </c>
      <c r="AL15" s="196" t="s">
        <v>868</v>
      </c>
      <c r="AM15" s="196" t="s">
        <v>868</v>
      </c>
      <c r="AN15" s="196" t="s">
        <v>868</v>
      </c>
      <c r="AO15" s="196" t="s">
        <v>868</v>
      </c>
      <c r="AP15" s="196" t="s">
        <v>868</v>
      </c>
      <c r="AQ15" s="196" t="s">
        <v>868</v>
      </c>
      <c r="AR15" s="196" t="s">
        <v>868</v>
      </c>
      <c r="AS15" s="196" t="s">
        <v>868</v>
      </c>
      <c r="AT15" s="196" t="s">
        <v>868</v>
      </c>
      <c r="AU15" s="196" t="s">
        <v>868</v>
      </c>
      <c r="AV15" s="196" t="s">
        <v>868</v>
      </c>
      <c r="AW15" s="196" t="s">
        <v>868</v>
      </c>
      <c r="AX15" s="196" t="s">
        <v>868</v>
      </c>
      <c r="AY15" s="196" t="s">
        <v>868</v>
      </c>
      <c r="AZ15" s="196" t="s">
        <v>868</v>
      </c>
      <c r="BA15" s="196" t="s">
        <v>868</v>
      </c>
      <c r="BB15" s="196" t="s">
        <v>868</v>
      </c>
      <c r="BC15" s="128"/>
      <c r="BD15" s="128"/>
      <c r="BE15" s="127" t="s">
        <v>868</v>
      </c>
      <c r="BF15" s="127" t="s">
        <v>868</v>
      </c>
      <c r="BG15" s="128"/>
      <c r="BH15" s="128"/>
      <c r="BI15" s="127" t="s">
        <v>868</v>
      </c>
      <c r="BJ15" s="128"/>
      <c r="BK15" s="128"/>
      <c r="BL15" s="320" t="s">
        <v>870</v>
      </c>
      <c r="BM15" s="320"/>
      <c r="BN15" s="320" t="s">
        <v>868</v>
      </c>
      <c r="BO15" s="128"/>
      <c r="BP15" s="254" t="s">
        <v>870</v>
      </c>
    </row>
    <row r="16" spans="1:68" ht="30">
      <c r="A16" s="196" t="s">
        <v>863</v>
      </c>
      <c r="B16" s="196" t="s">
        <v>864</v>
      </c>
      <c r="C16" s="196" t="s">
        <v>894</v>
      </c>
      <c r="D16" s="196" t="s">
        <v>897</v>
      </c>
      <c r="E16" s="196"/>
      <c r="F16" s="198" t="s">
        <v>898</v>
      </c>
      <c r="G16" s="98"/>
      <c r="H16" s="98"/>
      <c r="I16" s="98"/>
      <c r="J16" s="192"/>
      <c r="K16" s="196" t="s">
        <v>868</v>
      </c>
      <c r="L16" s="196" t="s">
        <v>868</v>
      </c>
      <c r="M16" s="196" t="s">
        <v>868</v>
      </c>
      <c r="N16" s="196" t="s">
        <v>868</v>
      </c>
      <c r="O16" s="128"/>
      <c r="P16" s="128"/>
      <c r="Q16" s="128"/>
      <c r="R16" s="128"/>
      <c r="S16" s="128"/>
      <c r="T16" s="128"/>
      <c r="U16" s="128"/>
      <c r="V16" s="128"/>
      <c r="W16" s="128"/>
      <c r="X16" s="128"/>
      <c r="Y16" s="128"/>
      <c r="Z16" s="128"/>
      <c r="AA16" s="128"/>
      <c r="AB16" s="128"/>
      <c r="AC16" s="128"/>
      <c r="AD16" s="128"/>
      <c r="AE16" s="128"/>
      <c r="AF16" s="128"/>
      <c r="AG16" s="128"/>
      <c r="AH16" s="128"/>
      <c r="AI16" s="128"/>
      <c r="AJ16" s="196" t="s">
        <v>868</v>
      </c>
      <c r="AK16" s="127" t="s">
        <v>883</v>
      </c>
      <c r="AL16" s="196" t="s">
        <v>868</v>
      </c>
      <c r="AM16" s="196" t="s">
        <v>868</v>
      </c>
      <c r="AN16" s="196" t="s">
        <v>868</v>
      </c>
      <c r="AO16" s="196" t="s">
        <v>868</v>
      </c>
      <c r="AP16" s="196" t="s">
        <v>868</v>
      </c>
      <c r="AQ16" s="196" t="s">
        <v>868</v>
      </c>
      <c r="AR16" s="196" t="s">
        <v>868</v>
      </c>
      <c r="AS16" s="196" t="s">
        <v>868</v>
      </c>
      <c r="AT16" s="196" t="s">
        <v>868</v>
      </c>
      <c r="AU16" s="196" t="s">
        <v>868</v>
      </c>
      <c r="AV16" s="196" t="s">
        <v>868</v>
      </c>
      <c r="AW16" s="196" t="s">
        <v>868</v>
      </c>
      <c r="AX16" s="196" t="s">
        <v>868</v>
      </c>
      <c r="AY16" s="196" t="s">
        <v>868</v>
      </c>
      <c r="AZ16" s="196" t="s">
        <v>868</v>
      </c>
      <c r="BA16" s="196" t="s">
        <v>868</v>
      </c>
      <c r="BB16" s="196" t="s">
        <v>868</v>
      </c>
      <c r="BC16" s="128"/>
      <c r="BD16" s="128"/>
      <c r="BE16" s="127" t="s">
        <v>868</v>
      </c>
      <c r="BF16" s="127" t="s">
        <v>868</v>
      </c>
      <c r="BG16" s="128"/>
      <c r="BH16" s="128"/>
      <c r="BI16" s="127" t="s">
        <v>868</v>
      </c>
      <c r="BJ16" s="128"/>
      <c r="BK16" s="128"/>
      <c r="BL16" s="320" t="s">
        <v>870</v>
      </c>
      <c r="BM16" s="320"/>
      <c r="BN16" s="320" t="s">
        <v>868</v>
      </c>
      <c r="BO16" s="128"/>
      <c r="BP16" s="254" t="s">
        <v>870</v>
      </c>
    </row>
    <row r="17" spans="1:68" ht="30">
      <c r="A17" s="196" t="s">
        <v>863</v>
      </c>
      <c r="B17" s="196" t="s">
        <v>899</v>
      </c>
      <c r="C17" s="196" t="s">
        <v>900</v>
      </c>
      <c r="D17" s="196" t="s">
        <v>901</v>
      </c>
      <c r="E17" s="196"/>
      <c r="F17" s="198" t="s">
        <v>902</v>
      </c>
      <c r="G17" s="98"/>
      <c r="H17" s="98"/>
      <c r="I17" s="98"/>
      <c r="J17" s="192"/>
      <c r="K17" s="196" t="s">
        <v>868</v>
      </c>
      <c r="L17" s="196" t="s">
        <v>868</v>
      </c>
      <c r="M17" s="196" t="s">
        <v>868</v>
      </c>
      <c r="N17" s="196" t="s">
        <v>868</v>
      </c>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97"/>
      <c r="AL17" s="128"/>
      <c r="AM17" s="128"/>
      <c r="AN17" s="128"/>
      <c r="AO17" s="128"/>
      <c r="AP17" s="128"/>
      <c r="AQ17" s="128"/>
      <c r="AR17" s="128"/>
      <c r="AS17" s="128"/>
      <c r="AT17" s="128"/>
      <c r="AU17" s="128"/>
      <c r="AV17" s="128"/>
      <c r="AW17" s="128"/>
      <c r="AX17" s="128"/>
      <c r="AY17" s="128"/>
      <c r="AZ17" s="128"/>
      <c r="BA17" s="196" t="s">
        <v>868</v>
      </c>
      <c r="BB17" s="196" t="s">
        <v>868</v>
      </c>
      <c r="BC17" s="128"/>
      <c r="BD17" s="128"/>
      <c r="BE17" s="128"/>
      <c r="BF17" s="128"/>
      <c r="BG17" s="128"/>
      <c r="BH17" s="128"/>
      <c r="BI17" s="127" t="s">
        <v>868</v>
      </c>
      <c r="BJ17" s="128"/>
      <c r="BK17" s="128"/>
      <c r="BL17" s="320" t="s">
        <v>870</v>
      </c>
      <c r="BM17" s="320"/>
      <c r="BN17" s="128"/>
      <c r="BO17" s="128"/>
      <c r="BP17" s="254" t="s">
        <v>870</v>
      </c>
    </row>
    <row r="18" spans="1:68">
      <c r="A18" s="196" t="s">
        <v>863</v>
      </c>
      <c r="B18" s="196" t="s">
        <v>864</v>
      </c>
      <c r="C18" s="196" t="s">
        <v>880</v>
      </c>
      <c r="D18" s="196" t="s">
        <v>903</v>
      </c>
      <c r="E18" s="196"/>
      <c r="F18" s="198" t="s">
        <v>904</v>
      </c>
      <c r="G18" s="98"/>
      <c r="H18" s="98"/>
      <c r="I18" s="98"/>
      <c r="J18" s="192"/>
      <c r="K18" s="196" t="s">
        <v>868</v>
      </c>
      <c r="L18" s="196" t="s">
        <v>868</v>
      </c>
      <c r="M18" s="196" t="s">
        <v>868</v>
      </c>
      <c r="N18" s="196" t="s">
        <v>868</v>
      </c>
      <c r="O18" s="128"/>
      <c r="P18" s="128"/>
      <c r="Q18" s="128"/>
      <c r="R18" s="128"/>
      <c r="S18" s="128"/>
      <c r="T18" s="128"/>
      <c r="U18" s="128"/>
      <c r="V18" s="128"/>
      <c r="W18" s="128"/>
      <c r="X18" s="128"/>
      <c r="Y18" s="128"/>
      <c r="Z18" s="128"/>
      <c r="AA18" s="128"/>
      <c r="AB18" s="128"/>
      <c r="AC18" s="128"/>
      <c r="AD18" s="128"/>
      <c r="AE18" s="128"/>
      <c r="AF18" s="128"/>
      <c r="AG18" s="128"/>
      <c r="AH18" s="128"/>
      <c r="AI18" s="128"/>
      <c r="AJ18" s="196" t="s">
        <v>868</v>
      </c>
      <c r="AK18" s="127" t="s">
        <v>883</v>
      </c>
      <c r="AL18" s="196" t="s">
        <v>868</v>
      </c>
      <c r="AM18" s="196" t="s">
        <v>868</v>
      </c>
      <c r="AN18" s="196" t="s">
        <v>868</v>
      </c>
      <c r="AO18" s="196" t="s">
        <v>868</v>
      </c>
      <c r="AP18" s="196" t="s">
        <v>868</v>
      </c>
      <c r="AQ18" s="196" t="s">
        <v>868</v>
      </c>
      <c r="AR18" s="196" t="s">
        <v>868</v>
      </c>
      <c r="AS18" s="196" t="s">
        <v>868</v>
      </c>
      <c r="AT18" s="196" t="s">
        <v>868</v>
      </c>
      <c r="AU18" s="196" t="s">
        <v>868</v>
      </c>
      <c r="AV18" s="196" t="s">
        <v>868</v>
      </c>
      <c r="AW18" s="196" t="s">
        <v>868</v>
      </c>
      <c r="AX18" s="196" t="s">
        <v>868</v>
      </c>
      <c r="AY18" s="196" t="s">
        <v>868</v>
      </c>
      <c r="AZ18" s="196" t="s">
        <v>868</v>
      </c>
      <c r="BA18" s="196" t="s">
        <v>868</v>
      </c>
      <c r="BB18" s="196" t="s">
        <v>868</v>
      </c>
      <c r="BC18" s="128"/>
      <c r="BD18" s="128"/>
      <c r="BE18" s="127" t="s">
        <v>868</v>
      </c>
      <c r="BF18" s="127" t="s">
        <v>868</v>
      </c>
      <c r="BG18" s="128"/>
      <c r="BH18" s="128"/>
      <c r="BI18" s="127" t="s">
        <v>868</v>
      </c>
      <c r="BJ18" s="128"/>
      <c r="BK18" s="128"/>
      <c r="BL18" s="320" t="s">
        <v>870</v>
      </c>
      <c r="BM18" s="320"/>
      <c r="BN18" s="320" t="s">
        <v>868</v>
      </c>
      <c r="BO18" s="128"/>
      <c r="BP18" s="254" t="s">
        <v>870</v>
      </c>
    </row>
    <row r="19" spans="1:68" ht="30">
      <c r="A19" s="196" t="s">
        <v>863</v>
      </c>
      <c r="B19" s="196" t="s">
        <v>864</v>
      </c>
      <c r="C19" s="196" t="s">
        <v>900</v>
      </c>
      <c r="D19" s="196" t="s">
        <v>905</v>
      </c>
      <c r="E19" s="196"/>
      <c r="F19" s="198" t="s">
        <v>906</v>
      </c>
      <c r="G19" s="98"/>
      <c r="H19" s="98"/>
      <c r="I19" s="98"/>
      <c r="J19" s="192"/>
      <c r="K19" s="196" t="s">
        <v>868</v>
      </c>
      <c r="L19" s="196" t="s">
        <v>868</v>
      </c>
      <c r="M19" s="196" t="s">
        <v>868</v>
      </c>
      <c r="N19" s="196" t="s">
        <v>868</v>
      </c>
      <c r="O19" s="128"/>
      <c r="P19" s="128"/>
      <c r="Q19" s="128"/>
      <c r="R19" s="128"/>
      <c r="S19" s="128"/>
      <c r="T19" s="128"/>
      <c r="U19" s="128"/>
      <c r="V19" s="128"/>
      <c r="W19" s="128"/>
      <c r="X19" s="128"/>
      <c r="Y19" s="128"/>
      <c r="Z19" s="128"/>
      <c r="AA19" s="128"/>
      <c r="AB19" s="128"/>
      <c r="AC19" s="128"/>
      <c r="AD19" s="128"/>
      <c r="AE19" s="128"/>
      <c r="AF19" s="128"/>
      <c r="AG19" s="128"/>
      <c r="AH19" s="128"/>
      <c r="AI19" s="128"/>
      <c r="AJ19" s="196" t="s">
        <v>868</v>
      </c>
      <c r="AK19" s="127" t="s">
        <v>883</v>
      </c>
      <c r="AL19" s="196" t="s">
        <v>868</v>
      </c>
      <c r="AM19" s="196" t="s">
        <v>868</v>
      </c>
      <c r="AN19" s="196" t="s">
        <v>868</v>
      </c>
      <c r="AO19" s="196" t="s">
        <v>868</v>
      </c>
      <c r="AP19" s="196" t="s">
        <v>868</v>
      </c>
      <c r="AQ19" s="196" t="s">
        <v>868</v>
      </c>
      <c r="AR19" s="196" t="s">
        <v>868</v>
      </c>
      <c r="AS19" s="196" t="s">
        <v>868</v>
      </c>
      <c r="AT19" s="196" t="s">
        <v>868</v>
      </c>
      <c r="AU19" s="196" t="s">
        <v>868</v>
      </c>
      <c r="AV19" s="196" t="s">
        <v>868</v>
      </c>
      <c r="AW19" s="196" t="s">
        <v>868</v>
      </c>
      <c r="AX19" s="196" t="s">
        <v>868</v>
      </c>
      <c r="AY19" s="196" t="s">
        <v>868</v>
      </c>
      <c r="AZ19" s="196" t="s">
        <v>868</v>
      </c>
      <c r="BA19" s="196" t="s">
        <v>868</v>
      </c>
      <c r="BB19" s="196" t="s">
        <v>868</v>
      </c>
      <c r="BC19" s="128"/>
      <c r="BD19" s="128"/>
      <c r="BE19" s="127" t="s">
        <v>868</v>
      </c>
      <c r="BF19" s="127" t="s">
        <v>868</v>
      </c>
      <c r="BG19" s="128"/>
      <c r="BH19" s="128"/>
      <c r="BI19" s="127" t="s">
        <v>868</v>
      </c>
      <c r="BJ19" s="128"/>
      <c r="BK19" s="128"/>
      <c r="BL19" s="320" t="s">
        <v>870</v>
      </c>
      <c r="BM19" s="320"/>
      <c r="BN19" s="320" t="s">
        <v>868</v>
      </c>
      <c r="BO19" s="128"/>
      <c r="BP19" s="254" t="s">
        <v>870</v>
      </c>
    </row>
    <row r="20" spans="1:68">
      <c r="A20" s="196" t="s">
        <v>863</v>
      </c>
      <c r="B20" s="196" t="s">
        <v>864</v>
      </c>
      <c r="C20" s="196" t="s">
        <v>873</v>
      </c>
      <c r="D20" s="196" t="s">
        <v>907</v>
      </c>
      <c r="E20" s="196"/>
      <c r="F20" s="198" t="s">
        <v>908</v>
      </c>
      <c r="G20" s="98"/>
      <c r="H20" s="98"/>
      <c r="I20" s="98"/>
      <c r="J20" s="192"/>
      <c r="K20" s="196" t="s">
        <v>868</v>
      </c>
      <c r="L20" s="196" t="s">
        <v>868</v>
      </c>
      <c r="M20" s="196" t="s">
        <v>868</v>
      </c>
      <c r="N20" s="196" t="s">
        <v>868</v>
      </c>
      <c r="O20" s="128"/>
      <c r="P20" s="128"/>
      <c r="Q20" s="128"/>
      <c r="R20" s="128"/>
      <c r="S20" s="128"/>
      <c r="T20" s="128"/>
      <c r="U20" s="128"/>
      <c r="V20" s="128"/>
      <c r="W20" s="128"/>
      <c r="X20" s="128"/>
      <c r="Y20" s="128"/>
      <c r="Z20" s="128"/>
      <c r="AA20" s="128"/>
      <c r="AB20" s="128"/>
      <c r="AC20" s="128"/>
      <c r="AD20" s="128"/>
      <c r="AE20" s="128"/>
      <c r="AF20" s="128"/>
      <c r="AG20" s="128"/>
      <c r="AH20" s="128"/>
      <c r="AI20" s="128"/>
      <c r="AJ20" s="196" t="s">
        <v>868</v>
      </c>
      <c r="AK20" s="127" t="s">
        <v>883</v>
      </c>
      <c r="AL20" s="196" t="s">
        <v>868</v>
      </c>
      <c r="AM20" s="196" t="s">
        <v>868</v>
      </c>
      <c r="AN20" s="196" t="s">
        <v>868</v>
      </c>
      <c r="AO20" s="196" t="s">
        <v>868</v>
      </c>
      <c r="AP20" s="196" t="s">
        <v>868</v>
      </c>
      <c r="AQ20" s="196" t="s">
        <v>868</v>
      </c>
      <c r="AR20" s="196" t="s">
        <v>868</v>
      </c>
      <c r="AS20" s="196" t="s">
        <v>868</v>
      </c>
      <c r="AT20" s="196" t="s">
        <v>868</v>
      </c>
      <c r="AU20" s="196" t="s">
        <v>868</v>
      </c>
      <c r="AV20" s="196" t="s">
        <v>868</v>
      </c>
      <c r="AW20" s="196" t="s">
        <v>868</v>
      </c>
      <c r="AX20" s="196" t="s">
        <v>868</v>
      </c>
      <c r="AY20" s="196" t="s">
        <v>868</v>
      </c>
      <c r="AZ20" s="196" t="s">
        <v>868</v>
      </c>
      <c r="BA20" s="196" t="s">
        <v>868</v>
      </c>
      <c r="BB20" s="196" t="s">
        <v>868</v>
      </c>
      <c r="BC20" s="128"/>
      <c r="BD20" s="128"/>
      <c r="BE20" s="127" t="s">
        <v>868</v>
      </c>
      <c r="BF20" s="127" t="s">
        <v>868</v>
      </c>
      <c r="BG20" s="128"/>
      <c r="BH20" s="128"/>
      <c r="BI20" s="127" t="s">
        <v>868</v>
      </c>
      <c r="BJ20" s="128"/>
      <c r="BK20" s="128"/>
      <c r="BL20" s="320" t="s">
        <v>870</v>
      </c>
      <c r="BM20" s="320"/>
      <c r="BN20" s="320" t="s">
        <v>868</v>
      </c>
      <c r="BO20" s="128"/>
      <c r="BP20" s="254" t="s">
        <v>870</v>
      </c>
    </row>
    <row r="21" spans="1:68">
      <c r="A21" s="196" t="s">
        <v>863</v>
      </c>
      <c r="B21" s="196" t="s">
        <v>864</v>
      </c>
      <c r="C21" s="196" t="s">
        <v>873</v>
      </c>
      <c r="D21" s="196" t="s">
        <v>909</v>
      </c>
      <c r="E21" s="196"/>
      <c r="F21" s="198" t="s">
        <v>910</v>
      </c>
      <c r="G21" s="98"/>
      <c r="H21" s="98"/>
      <c r="I21" s="98"/>
      <c r="J21" s="192"/>
      <c r="K21" s="196" t="s">
        <v>868</v>
      </c>
      <c r="L21" s="196" t="s">
        <v>868</v>
      </c>
      <c r="M21" s="196" t="s">
        <v>868</v>
      </c>
      <c r="N21" s="196" t="s">
        <v>868</v>
      </c>
      <c r="O21" s="128"/>
      <c r="P21" s="128"/>
      <c r="Q21" s="128"/>
      <c r="R21" s="128"/>
      <c r="S21" s="128"/>
      <c r="T21" s="128"/>
      <c r="U21" s="128"/>
      <c r="V21" s="128"/>
      <c r="W21" s="128"/>
      <c r="X21" s="128"/>
      <c r="Y21" s="128"/>
      <c r="Z21" s="128"/>
      <c r="AA21" s="128"/>
      <c r="AB21" s="128"/>
      <c r="AC21" s="128"/>
      <c r="AD21" s="128"/>
      <c r="AE21" s="128"/>
      <c r="AF21" s="128"/>
      <c r="AG21" s="128"/>
      <c r="AH21" s="128"/>
      <c r="AI21" s="128"/>
      <c r="AJ21" s="196" t="s">
        <v>868</v>
      </c>
      <c r="AK21" s="127" t="s">
        <v>883</v>
      </c>
      <c r="AL21" s="196" t="s">
        <v>868</v>
      </c>
      <c r="AM21" s="196" t="s">
        <v>868</v>
      </c>
      <c r="AN21" s="196" t="s">
        <v>868</v>
      </c>
      <c r="AO21" s="196" t="s">
        <v>868</v>
      </c>
      <c r="AP21" s="196" t="s">
        <v>868</v>
      </c>
      <c r="AQ21" s="196" t="s">
        <v>868</v>
      </c>
      <c r="AR21" s="196" t="s">
        <v>868</v>
      </c>
      <c r="AS21" s="196" t="s">
        <v>868</v>
      </c>
      <c r="AT21" s="196" t="s">
        <v>868</v>
      </c>
      <c r="AU21" s="196" t="s">
        <v>868</v>
      </c>
      <c r="AV21" s="196" t="s">
        <v>868</v>
      </c>
      <c r="AW21" s="196" t="s">
        <v>868</v>
      </c>
      <c r="AX21" s="196" t="s">
        <v>868</v>
      </c>
      <c r="AY21" s="196" t="s">
        <v>868</v>
      </c>
      <c r="AZ21" s="196" t="s">
        <v>868</v>
      </c>
      <c r="BA21" s="196" t="s">
        <v>868</v>
      </c>
      <c r="BB21" s="196" t="s">
        <v>868</v>
      </c>
      <c r="BC21" s="128"/>
      <c r="BD21" s="128"/>
      <c r="BE21" s="127" t="s">
        <v>868</v>
      </c>
      <c r="BF21" s="127" t="s">
        <v>868</v>
      </c>
      <c r="BG21" s="128"/>
      <c r="BH21" s="128"/>
      <c r="BI21" s="127" t="s">
        <v>868</v>
      </c>
      <c r="BJ21" s="128"/>
      <c r="BK21" s="128"/>
      <c r="BL21" s="320" t="s">
        <v>870</v>
      </c>
      <c r="BM21" s="320"/>
      <c r="BN21" s="320" t="s">
        <v>868</v>
      </c>
      <c r="BO21" s="128"/>
      <c r="BP21" s="254" t="s">
        <v>870</v>
      </c>
    </row>
    <row r="22" spans="1:68">
      <c r="A22" s="196" t="s">
        <v>863</v>
      </c>
      <c r="B22" s="196" t="s">
        <v>864</v>
      </c>
      <c r="C22" s="196" t="s">
        <v>880</v>
      </c>
      <c r="D22" s="196" t="s">
        <v>911</v>
      </c>
      <c r="E22" s="196"/>
      <c r="F22" s="198" t="s">
        <v>912</v>
      </c>
      <c r="G22" s="98"/>
      <c r="H22" s="98"/>
      <c r="I22" s="98"/>
      <c r="J22" s="192"/>
      <c r="K22" s="196" t="s">
        <v>868</v>
      </c>
      <c r="L22" s="196" t="s">
        <v>868</v>
      </c>
      <c r="M22" s="196" t="s">
        <v>868</v>
      </c>
      <c r="N22" s="196" t="s">
        <v>868</v>
      </c>
      <c r="O22" s="128"/>
      <c r="P22" s="128"/>
      <c r="Q22" s="128"/>
      <c r="R22" s="128"/>
      <c r="S22" s="128"/>
      <c r="T22" s="128"/>
      <c r="U22" s="128"/>
      <c r="V22" s="128"/>
      <c r="W22" s="128"/>
      <c r="X22" s="128"/>
      <c r="Y22" s="128"/>
      <c r="Z22" s="128"/>
      <c r="AA22" s="128"/>
      <c r="AB22" s="128"/>
      <c r="AC22" s="128"/>
      <c r="AD22" s="128"/>
      <c r="AE22" s="128"/>
      <c r="AF22" s="128"/>
      <c r="AG22" s="128"/>
      <c r="AH22" s="128"/>
      <c r="AI22" s="128"/>
      <c r="AJ22" s="196" t="s">
        <v>868</v>
      </c>
      <c r="AK22" s="127" t="s">
        <v>883</v>
      </c>
      <c r="AL22" s="196" t="s">
        <v>868</v>
      </c>
      <c r="AM22" s="196" t="s">
        <v>868</v>
      </c>
      <c r="AN22" s="196" t="s">
        <v>868</v>
      </c>
      <c r="AO22" s="196" t="s">
        <v>868</v>
      </c>
      <c r="AP22" s="196" t="s">
        <v>868</v>
      </c>
      <c r="AQ22" s="196" t="s">
        <v>868</v>
      </c>
      <c r="AR22" s="196" t="s">
        <v>868</v>
      </c>
      <c r="AS22" s="196" t="s">
        <v>868</v>
      </c>
      <c r="AT22" s="196" t="s">
        <v>868</v>
      </c>
      <c r="AU22" s="196" t="s">
        <v>868</v>
      </c>
      <c r="AV22" s="196" t="s">
        <v>868</v>
      </c>
      <c r="AW22" s="196" t="s">
        <v>868</v>
      </c>
      <c r="AX22" s="196" t="s">
        <v>868</v>
      </c>
      <c r="AY22" s="196" t="s">
        <v>868</v>
      </c>
      <c r="AZ22" s="196" t="s">
        <v>868</v>
      </c>
      <c r="BA22" s="196" t="s">
        <v>868</v>
      </c>
      <c r="BB22" s="196" t="s">
        <v>868</v>
      </c>
      <c r="BC22" s="128"/>
      <c r="BD22" s="128"/>
      <c r="BE22" s="127" t="s">
        <v>868</v>
      </c>
      <c r="BF22" s="127" t="s">
        <v>868</v>
      </c>
      <c r="BG22" s="128"/>
      <c r="BH22" s="128"/>
      <c r="BI22" s="127" t="s">
        <v>868</v>
      </c>
      <c r="BJ22" s="128"/>
      <c r="BK22" s="128"/>
      <c r="BL22" s="320" t="s">
        <v>870</v>
      </c>
      <c r="BM22" s="320"/>
      <c r="BN22" s="320" t="s">
        <v>868</v>
      </c>
      <c r="BO22" s="128"/>
      <c r="BP22" s="254" t="s">
        <v>870</v>
      </c>
    </row>
    <row r="23" spans="1:68" ht="30">
      <c r="A23" s="196" t="s">
        <v>863</v>
      </c>
      <c r="B23" s="196" t="s">
        <v>864</v>
      </c>
      <c r="C23" s="196" t="s">
        <v>900</v>
      </c>
      <c r="D23" s="196" t="s">
        <v>913</v>
      </c>
      <c r="E23" s="196"/>
      <c r="F23" s="198" t="s">
        <v>914</v>
      </c>
      <c r="G23" s="98"/>
      <c r="H23" s="98"/>
      <c r="I23" s="98"/>
      <c r="J23" s="192"/>
      <c r="K23" s="196" t="s">
        <v>868</v>
      </c>
      <c r="L23" s="196" t="s">
        <v>868</v>
      </c>
      <c r="M23" s="196" t="s">
        <v>868</v>
      </c>
      <c r="N23" s="196" t="s">
        <v>868</v>
      </c>
      <c r="O23" s="128"/>
      <c r="P23" s="128"/>
      <c r="Q23" s="128"/>
      <c r="R23" s="128"/>
      <c r="S23" s="128"/>
      <c r="T23" s="128"/>
      <c r="U23" s="128"/>
      <c r="V23" s="128"/>
      <c r="W23" s="128"/>
      <c r="X23" s="128"/>
      <c r="Y23" s="128"/>
      <c r="Z23" s="128"/>
      <c r="AA23" s="128"/>
      <c r="AB23" s="128"/>
      <c r="AC23" s="128"/>
      <c r="AD23" s="128"/>
      <c r="AE23" s="128"/>
      <c r="AF23" s="128"/>
      <c r="AG23" s="128"/>
      <c r="AH23" s="128"/>
      <c r="AI23" s="128"/>
      <c r="AJ23" s="196" t="s">
        <v>868</v>
      </c>
      <c r="AK23" s="127" t="s">
        <v>883</v>
      </c>
      <c r="AL23" s="196" t="s">
        <v>868</v>
      </c>
      <c r="AM23" s="196" t="s">
        <v>868</v>
      </c>
      <c r="AN23" s="196" t="s">
        <v>868</v>
      </c>
      <c r="AO23" s="196" t="s">
        <v>868</v>
      </c>
      <c r="AP23" s="196" t="s">
        <v>868</v>
      </c>
      <c r="AQ23" s="196" t="s">
        <v>868</v>
      </c>
      <c r="AR23" s="196" t="s">
        <v>868</v>
      </c>
      <c r="AS23" s="196" t="s">
        <v>868</v>
      </c>
      <c r="AT23" s="196" t="s">
        <v>868</v>
      </c>
      <c r="AU23" s="196" t="s">
        <v>868</v>
      </c>
      <c r="AV23" s="196" t="s">
        <v>868</v>
      </c>
      <c r="AW23" s="196" t="s">
        <v>868</v>
      </c>
      <c r="AX23" s="196" t="s">
        <v>868</v>
      </c>
      <c r="AY23" s="196" t="s">
        <v>868</v>
      </c>
      <c r="AZ23" s="196" t="s">
        <v>868</v>
      </c>
      <c r="BA23" s="196" t="s">
        <v>868</v>
      </c>
      <c r="BB23" s="196" t="s">
        <v>868</v>
      </c>
      <c r="BC23" s="128"/>
      <c r="BD23" s="128"/>
      <c r="BE23" s="127" t="s">
        <v>868</v>
      </c>
      <c r="BF23" s="127" t="s">
        <v>868</v>
      </c>
      <c r="BG23" s="128"/>
      <c r="BH23" s="128"/>
      <c r="BI23" s="127" t="s">
        <v>868</v>
      </c>
      <c r="BJ23" s="128"/>
      <c r="BK23" s="128"/>
      <c r="BL23" s="320" t="s">
        <v>870</v>
      </c>
      <c r="BM23" s="320"/>
      <c r="BN23" s="320" t="s">
        <v>868</v>
      </c>
      <c r="BO23" s="128"/>
      <c r="BP23" s="254" t="s">
        <v>870</v>
      </c>
    </row>
    <row r="24" spans="1:68" ht="30">
      <c r="A24" s="196" t="s">
        <v>863</v>
      </c>
      <c r="B24" s="196" t="s">
        <v>899</v>
      </c>
      <c r="C24" s="196" t="s">
        <v>900</v>
      </c>
      <c r="D24" s="196" t="s">
        <v>915</v>
      </c>
      <c r="E24" s="196"/>
      <c r="F24" s="198" t="s">
        <v>916</v>
      </c>
      <c r="G24" s="98"/>
      <c r="H24" s="98"/>
      <c r="I24" s="98"/>
      <c r="J24" s="192"/>
      <c r="K24" s="196" t="s">
        <v>868</v>
      </c>
      <c r="L24" s="196" t="s">
        <v>868</v>
      </c>
      <c r="M24" s="196" t="s">
        <v>868</v>
      </c>
      <c r="N24" s="196" t="s">
        <v>868</v>
      </c>
      <c r="O24" s="128"/>
      <c r="P24" s="128"/>
      <c r="Q24" s="128"/>
      <c r="R24" s="128"/>
      <c r="S24" s="128"/>
      <c r="T24" s="128"/>
      <c r="U24" s="128"/>
      <c r="V24" s="128"/>
      <c r="W24" s="128"/>
      <c r="X24" s="128"/>
      <c r="Y24" s="128"/>
      <c r="Z24" s="128"/>
      <c r="AA24" s="128"/>
      <c r="AB24" s="128"/>
      <c r="AC24" s="128"/>
      <c r="AD24" s="128"/>
      <c r="AE24" s="128"/>
      <c r="AF24" s="128"/>
      <c r="AG24" s="128"/>
      <c r="AH24" s="128"/>
      <c r="AI24" s="128"/>
      <c r="AJ24" s="196" t="s">
        <v>868</v>
      </c>
      <c r="AK24" s="127" t="s">
        <v>883</v>
      </c>
      <c r="AL24" s="196" t="s">
        <v>868</v>
      </c>
      <c r="AM24" s="196" t="s">
        <v>868</v>
      </c>
      <c r="AN24" s="196" t="s">
        <v>868</v>
      </c>
      <c r="AO24" s="196" t="s">
        <v>868</v>
      </c>
      <c r="AP24" s="196" t="s">
        <v>868</v>
      </c>
      <c r="AQ24" s="196" t="s">
        <v>868</v>
      </c>
      <c r="AR24" s="196" t="s">
        <v>868</v>
      </c>
      <c r="AS24" s="196" t="s">
        <v>868</v>
      </c>
      <c r="AT24" s="196" t="s">
        <v>868</v>
      </c>
      <c r="AU24" s="196" t="s">
        <v>868</v>
      </c>
      <c r="AV24" s="196" t="s">
        <v>868</v>
      </c>
      <c r="AW24" s="196" t="s">
        <v>868</v>
      </c>
      <c r="AX24" s="196" t="s">
        <v>868</v>
      </c>
      <c r="AY24" s="196" t="s">
        <v>868</v>
      </c>
      <c r="AZ24" s="196" t="s">
        <v>868</v>
      </c>
      <c r="BA24" s="196" t="s">
        <v>868</v>
      </c>
      <c r="BB24" s="196" t="s">
        <v>868</v>
      </c>
      <c r="BC24" s="128"/>
      <c r="BD24" s="128"/>
      <c r="BE24" s="128"/>
      <c r="BF24" s="128"/>
      <c r="BG24" s="128"/>
      <c r="BH24" s="128"/>
      <c r="BI24" s="127" t="s">
        <v>868</v>
      </c>
      <c r="BJ24" s="128"/>
      <c r="BK24" s="128"/>
      <c r="BL24" s="320" t="s">
        <v>870</v>
      </c>
      <c r="BM24" s="320"/>
      <c r="BN24" s="128"/>
      <c r="BO24" s="128"/>
      <c r="BP24" s="254" t="s">
        <v>870</v>
      </c>
    </row>
    <row r="25" spans="1:68">
      <c r="A25" s="196" t="s">
        <v>863</v>
      </c>
      <c r="B25" s="196" t="s">
        <v>899</v>
      </c>
      <c r="C25" s="196" t="s">
        <v>917</v>
      </c>
      <c r="D25" s="196" t="s">
        <v>918</v>
      </c>
      <c r="E25" s="196"/>
      <c r="F25" s="198" t="s">
        <v>919</v>
      </c>
      <c r="G25" s="98"/>
      <c r="H25" s="98"/>
      <c r="I25" s="98"/>
      <c r="J25" s="192"/>
      <c r="K25" s="196" t="s">
        <v>868</v>
      </c>
      <c r="L25" s="196" t="s">
        <v>868</v>
      </c>
      <c r="M25" s="196" t="s">
        <v>868</v>
      </c>
      <c r="N25" s="196" t="s">
        <v>868</v>
      </c>
      <c r="O25" s="128"/>
      <c r="P25" s="128"/>
      <c r="Q25" s="128"/>
      <c r="R25" s="128"/>
      <c r="S25" s="128"/>
      <c r="T25" s="128"/>
      <c r="U25" s="128"/>
      <c r="V25" s="128"/>
      <c r="W25" s="128"/>
      <c r="X25" s="128"/>
      <c r="Y25" s="128"/>
      <c r="Z25" s="128"/>
      <c r="AA25" s="128"/>
      <c r="AB25" s="128"/>
      <c r="AC25" s="128"/>
      <c r="AD25" s="128"/>
      <c r="AE25" s="128"/>
      <c r="AF25" s="128"/>
      <c r="AG25" s="128"/>
      <c r="AH25" s="128"/>
      <c r="AI25" s="128"/>
      <c r="AJ25" s="196" t="s">
        <v>868</v>
      </c>
      <c r="AK25" s="127" t="s">
        <v>883</v>
      </c>
      <c r="AL25" s="196" t="s">
        <v>868</v>
      </c>
      <c r="AM25" s="196" t="s">
        <v>868</v>
      </c>
      <c r="AN25" s="196" t="s">
        <v>868</v>
      </c>
      <c r="AO25" s="196" t="s">
        <v>868</v>
      </c>
      <c r="AP25" s="196" t="s">
        <v>868</v>
      </c>
      <c r="AQ25" s="196" t="s">
        <v>868</v>
      </c>
      <c r="AR25" s="196" t="s">
        <v>868</v>
      </c>
      <c r="AS25" s="196" t="s">
        <v>868</v>
      </c>
      <c r="AT25" s="196" t="s">
        <v>868</v>
      </c>
      <c r="AU25" s="196" t="s">
        <v>868</v>
      </c>
      <c r="AV25" s="196" t="s">
        <v>868</v>
      </c>
      <c r="AW25" s="196" t="s">
        <v>868</v>
      </c>
      <c r="AX25" s="196" t="s">
        <v>868</v>
      </c>
      <c r="AY25" s="196" t="s">
        <v>868</v>
      </c>
      <c r="AZ25" s="196" t="s">
        <v>868</v>
      </c>
      <c r="BA25" s="196" t="s">
        <v>868</v>
      </c>
      <c r="BB25" s="196" t="s">
        <v>868</v>
      </c>
      <c r="BC25" s="128"/>
      <c r="BD25" s="128"/>
      <c r="BE25" s="128"/>
      <c r="BF25" s="128"/>
      <c r="BG25" s="128"/>
      <c r="BH25" s="128"/>
      <c r="BI25" s="127" t="s">
        <v>868</v>
      </c>
      <c r="BJ25" s="128"/>
      <c r="BK25" s="128"/>
      <c r="BL25" s="320" t="s">
        <v>870</v>
      </c>
      <c r="BM25" s="320"/>
      <c r="BN25" s="128"/>
      <c r="BO25" s="128"/>
      <c r="BP25" s="254" t="s">
        <v>870</v>
      </c>
    </row>
    <row r="26" spans="1:68">
      <c r="A26" s="196" t="s">
        <v>863</v>
      </c>
      <c r="B26" s="196" t="s">
        <v>899</v>
      </c>
      <c r="C26" s="196" t="s">
        <v>917</v>
      </c>
      <c r="D26" s="196" t="s">
        <v>920</v>
      </c>
      <c r="E26" s="196"/>
      <c r="F26" s="198" t="s">
        <v>921</v>
      </c>
      <c r="G26" s="98"/>
      <c r="H26" s="98"/>
      <c r="I26" s="98"/>
      <c r="J26" s="192"/>
      <c r="K26" s="196" t="s">
        <v>868</v>
      </c>
      <c r="L26" s="196" t="s">
        <v>868</v>
      </c>
      <c r="M26" s="196" t="s">
        <v>868</v>
      </c>
      <c r="N26" s="196" t="s">
        <v>868</v>
      </c>
      <c r="O26" s="128"/>
      <c r="P26" s="128"/>
      <c r="Q26" s="128"/>
      <c r="R26" s="128"/>
      <c r="S26" s="128"/>
      <c r="T26" s="128"/>
      <c r="U26" s="128"/>
      <c r="V26" s="128"/>
      <c r="W26" s="128"/>
      <c r="X26" s="128"/>
      <c r="Y26" s="128"/>
      <c r="Z26" s="128"/>
      <c r="AA26" s="128"/>
      <c r="AB26" s="128"/>
      <c r="AC26" s="128"/>
      <c r="AD26" s="128"/>
      <c r="AE26" s="128"/>
      <c r="AF26" s="128"/>
      <c r="AG26" s="128"/>
      <c r="AH26" s="128"/>
      <c r="AI26" s="128"/>
      <c r="AJ26" s="196" t="s">
        <v>868</v>
      </c>
      <c r="AK26" s="127" t="s">
        <v>883</v>
      </c>
      <c r="AL26" s="196" t="s">
        <v>868</v>
      </c>
      <c r="AM26" s="196" t="s">
        <v>868</v>
      </c>
      <c r="AN26" s="196" t="s">
        <v>868</v>
      </c>
      <c r="AO26" s="196" t="s">
        <v>868</v>
      </c>
      <c r="AP26" s="196" t="s">
        <v>868</v>
      </c>
      <c r="AQ26" s="196" t="s">
        <v>868</v>
      </c>
      <c r="AR26" s="196" t="s">
        <v>868</v>
      </c>
      <c r="AS26" s="196" t="s">
        <v>868</v>
      </c>
      <c r="AT26" s="196" t="s">
        <v>868</v>
      </c>
      <c r="AU26" s="196" t="s">
        <v>868</v>
      </c>
      <c r="AV26" s="196" t="s">
        <v>868</v>
      </c>
      <c r="AW26" s="196" t="s">
        <v>868</v>
      </c>
      <c r="AX26" s="196" t="s">
        <v>868</v>
      </c>
      <c r="AY26" s="196" t="s">
        <v>868</v>
      </c>
      <c r="AZ26" s="196" t="s">
        <v>868</v>
      </c>
      <c r="BA26" s="196" t="s">
        <v>868</v>
      </c>
      <c r="BB26" s="196" t="s">
        <v>868</v>
      </c>
      <c r="BC26" s="128"/>
      <c r="BD26" s="128"/>
      <c r="BE26" s="128"/>
      <c r="BF26" s="128"/>
      <c r="BG26" s="128"/>
      <c r="BH26" s="128"/>
      <c r="BI26" s="127" t="s">
        <v>868</v>
      </c>
      <c r="BJ26" s="128"/>
      <c r="BK26" s="128"/>
      <c r="BL26" s="320" t="s">
        <v>870</v>
      </c>
      <c r="BM26" s="320"/>
      <c r="BN26" s="128"/>
      <c r="BO26" s="128"/>
      <c r="BP26" s="254" t="s">
        <v>870</v>
      </c>
    </row>
    <row r="27" spans="1:68" ht="30">
      <c r="A27" s="196" t="s">
        <v>863</v>
      </c>
      <c r="B27" s="196" t="s">
        <v>899</v>
      </c>
      <c r="C27" s="196" t="s">
        <v>922</v>
      </c>
      <c r="D27" s="196" t="s">
        <v>923</v>
      </c>
      <c r="E27" s="196"/>
      <c r="F27" s="198" t="s">
        <v>924</v>
      </c>
      <c r="G27" s="98"/>
      <c r="H27" s="98"/>
      <c r="I27" s="98"/>
      <c r="J27" s="192"/>
      <c r="K27" s="196" t="s">
        <v>868</v>
      </c>
      <c r="L27" s="196" t="s">
        <v>868</v>
      </c>
      <c r="M27" s="196" t="s">
        <v>868</v>
      </c>
      <c r="N27" s="196" t="s">
        <v>868</v>
      </c>
      <c r="O27" s="128"/>
      <c r="P27" s="128"/>
      <c r="Q27" s="128"/>
      <c r="R27" s="128"/>
      <c r="S27" s="128"/>
      <c r="T27" s="128"/>
      <c r="U27" s="128"/>
      <c r="V27" s="128"/>
      <c r="W27" s="128"/>
      <c r="X27" s="128"/>
      <c r="Y27" s="128"/>
      <c r="Z27" s="128"/>
      <c r="AA27" s="128"/>
      <c r="AB27" s="128"/>
      <c r="AC27" s="128"/>
      <c r="AD27" s="128"/>
      <c r="AE27" s="128"/>
      <c r="AF27" s="128"/>
      <c r="AG27" s="128"/>
      <c r="AH27" s="128"/>
      <c r="AI27" s="128"/>
      <c r="AJ27" s="196" t="s">
        <v>868</v>
      </c>
      <c r="AK27" s="127" t="s">
        <v>883</v>
      </c>
      <c r="AL27" s="196" t="s">
        <v>868</v>
      </c>
      <c r="AM27" s="196" t="s">
        <v>868</v>
      </c>
      <c r="AN27" s="196" t="s">
        <v>868</v>
      </c>
      <c r="AO27" s="196" t="s">
        <v>868</v>
      </c>
      <c r="AP27" s="196" t="s">
        <v>868</v>
      </c>
      <c r="AQ27" s="196" t="s">
        <v>868</v>
      </c>
      <c r="AR27" s="196" t="s">
        <v>868</v>
      </c>
      <c r="AS27" s="196" t="s">
        <v>868</v>
      </c>
      <c r="AT27" s="196" t="s">
        <v>868</v>
      </c>
      <c r="AU27" s="196" t="s">
        <v>868</v>
      </c>
      <c r="AV27" s="196" t="s">
        <v>868</v>
      </c>
      <c r="AW27" s="196" t="s">
        <v>868</v>
      </c>
      <c r="AX27" s="196" t="s">
        <v>868</v>
      </c>
      <c r="AY27" s="196" t="s">
        <v>868</v>
      </c>
      <c r="AZ27" s="196" t="s">
        <v>868</v>
      </c>
      <c r="BA27" s="196" t="s">
        <v>868</v>
      </c>
      <c r="BB27" s="196" t="s">
        <v>868</v>
      </c>
      <c r="BC27" s="128"/>
      <c r="BD27" s="128"/>
      <c r="BE27" s="128"/>
      <c r="BF27" s="128"/>
      <c r="BG27" s="128"/>
      <c r="BH27" s="128"/>
      <c r="BI27" s="127" t="s">
        <v>868</v>
      </c>
      <c r="BJ27" s="128"/>
      <c r="BK27" s="128"/>
      <c r="BL27" s="320" t="s">
        <v>870</v>
      </c>
      <c r="BM27" s="320"/>
      <c r="BN27" s="128"/>
      <c r="BO27" s="128"/>
      <c r="BP27" s="254" t="s">
        <v>870</v>
      </c>
    </row>
    <row r="28" spans="1:68" ht="30">
      <c r="A28" s="196" t="s">
        <v>863</v>
      </c>
      <c r="B28" s="196" t="s">
        <v>899</v>
      </c>
      <c r="C28" s="196" t="s">
        <v>922</v>
      </c>
      <c r="D28" s="196" t="s">
        <v>925</v>
      </c>
      <c r="E28" s="196"/>
      <c r="F28" s="198" t="s">
        <v>926</v>
      </c>
      <c r="G28" s="98"/>
      <c r="H28" s="98"/>
      <c r="I28" s="98"/>
      <c r="J28" s="192"/>
      <c r="K28" s="196" t="s">
        <v>868</v>
      </c>
      <c r="L28" s="196" t="s">
        <v>868</v>
      </c>
      <c r="M28" s="196" t="s">
        <v>868</v>
      </c>
      <c r="N28" s="196" t="s">
        <v>868</v>
      </c>
      <c r="O28" s="128"/>
      <c r="P28" s="128"/>
      <c r="Q28" s="128"/>
      <c r="R28" s="128"/>
      <c r="S28" s="128"/>
      <c r="T28" s="128"/>
      <c r="U28" s="128"/>
      <c r="V28" s="128"/>
      <c r="W28" s="128"/>
      <c r="X28" s="128"/>
      <c r="Y28" s="128"/>
      <c r="Z28" s="128"/>
      <c r="AA28" s="128"/>
      <c r="AB28" s="128"/>
      <c r="AC28" s="128"/>
      <c r="AD28" s="128"/>
      <c r="AE28" s="128"/>
      <c r="AF28" s="128"/>
      <c r="AG28" s="128"/>
      <c r="AH28" s="128"/>
      <c r="AI28" s="128"/>
      <c r="AJ28" s="196" t="s">
        <v>868</v>
      </c>
      <c r="AK28" s="127" t="s">
        <v>883</v>
      </c>
      <c r="AL28" s="196" t="s">
        <v>868</v>
      </c>
      <c r="AM28" s="196" t="s">
        <v>868</v>
      </c>
      <c r="AN28" s="196" t="s">
        <v>868</v>
      </c>
      <c r="AO28" s="196" t="s">
        <v>868</v>
      </c>
      <c r="AP28" s="196" t="s">
        <v>868</v>
      </c>
      <c r="AQ28" s="196" t="s">
        <v>868</v>
      </c>
      <c r="AR28" s="196" t="s">
        <v>868</v>
      </c>
      <c r="AS28" s="196" t="s">
        <v>868</v>
      </c>
      <c r="AT28" s="196" t="s">
        <v>868</v>
      </c>
      <c r="AU28" s="196" t="s">
        <v>868</v>
      </c>
      <c r="AV28" s="196" t="s">
        <v>868</v>
      </c>
      <c r="AW28" s="196" t="s">
        <v>868</v>
      </c>
      <c r="AX28" s="196" t="s">
        <v>868</v>
      </c>
      <c r="AY28" s="196" t="s">
        <v>868</v>
      </c>
      <c r="AZ28" s="196" t="s">
        <v>868</v>
      </c>
      <c r="BA28" s="196" t="s">
        <v>868</v>
      </c>
      <c r="BB28" s="196" t="s">
        <v>868</v>
      </c>
      <c r="BC28" s="128"/>
      <c r="BD28" s="128"/>
      <c r="BE28" s="128"/>
      <c r="BF28" s="128"/>
      <c r="BG28" s="128"/>
      <c r="BH28" s="128"/>
      <c r="BI28" s="127" t="s">
        <v>868</v>
      </c>
      <c r="BJ28" s="128"/>
      <c r="BK28" s="128"/>
      <c r="BL28" s="320" t="s">
        <v>870</v>
      </c>
      <c r="BM28" s="320"/>
      <c r="BN28" s="128"/>
      <c r="BO28" s="128"/>
      <c r="BP28" s="254" t="s">
        <v>870</v>
      </c>
    </row>
    <row r="29" spans="1:68" ht="30">
      <c r="A29" s="196" t="s">
        <v>863</v>
      </c>
      <c r="B29" s="196" t="s">
        <v>899</v>
      </c>
      <c r="C29" s="196" t="s">
        <v>922</v>
      </c>
      <c r="D29" s="196" t="s">
        <v>927</v>
      </c>
      <c r="E29" s="196"/>
      <c r="F29" s="198" t="s">
        <v>928</v>
      </c>
      <c r="G29" s="98"/>
      <c r="H29" s="98"/>
      <c r="I29" s="98"/>
      <c r="J29" s="192"/>
      <c r="K29" s="196" t="s">
        <v>868</v>
      </c>
      <c r="L29" s="196" t="s">
        <v>868</v>
      </c>
      <c r="M29" s="196" t="s">
        <v>868</v>
      </c>
      <c r="N29" s="196" t="s">
        <v>868</v>
      </c>
      <c r="O29" s="128"/>
      <c r="P29" s="128"/>
      <c r="Q29" s="128"/>
      <c r="R29" s="128"/>
      <c r="S29" s="128"/>
      <c r="T29" s="128"/>
      <c r="U29" s="128"/>
      <c r="V29" s="128"/>
      <c r="W29" s="128"/>
      <c r="X29" s="128"/>
      <c r="Y29" s="128"/>
      <c r="Z29" s="128"/>
      <c r="AA29" s="128"/>
      <c r="AB29" s="128"/>
      <c r="AC29" s="128"/>
      <c r="AD29" s="128"/>
      <c r="AE29" s="128"/>
      <c r="AF29" s="128"/>
      <c r="AG29" s="128"/>
      <c r="AH29" s="128"/>
      <c r="AI29" s="128"/>
      <c r="AJ29" s="196" t="s">
        <v>868</v>
      </c>
      <c r="AK29" s="127" t="s">
        <v>883</v>
      </c>
      <c r="AL29" s="196" t="s">
        <v>868</v>
      </c>
      <c r="AM29" s="196" t="s">
        <v>868</v>
      </c>
      <c r="AN29" s="196" t="s">
        <v>868</v>
      </c>
      <c r="AO29" s="196" t="s">
        <v>868</v>
      </c>
      <c r="AP29" s="196" t="s">
        <v>868</v>
      </c>
      <c r="AQ29" s="196" t="s">
        <v>868</v>
      </c>
      <c r="AR29" s="196" t="s">
        <v>868</v>
      </c>
      <c r="AS29" s="196" t="s">
        <v>868</v>
      </c>
      <c r="AT29" s="196" t="s">
        <v>868</v>
      </c>
      <c r="AU29" s="196" t="s">
        <v>868</v>
      </c>
      <c r="AV29" s="196" t="s">
        <v>868</v>
      </c>
      <c r="AW29" s="196" t="s">
        <v>868</v>
      </c>
      <c r="AX29" s="196" t="s">
        <v>868</v>
      </c>
      <c r="AY29" s="196" t="s">
        <v>868</v>
      </c>
      <c r="AZ29" s="196" t="s">
        <v>868</v>
      </c>
      <c r="BA29" s="196" t="s">
        <v>868</v>
      </c>
      <c r="BB29" s="196" t="s">
        <v>868</v>
      </c>
      <c r="BC29" s="128"/>
      <c r="BD29" s="128"/>
      <c r="BE29" s="128"/>
      <c r="BF29" s="128"/>
      <c r="BG29" s="128"/>
      <c r="BH29" s="128"/>
      <c r="BI29" s="127" t="s">
        <v>868</v>
      </c>
      <c r="BJ29" s="128"/>
      <c r="BK29" s="128"/>
      <c r="BL29" s="320" t="s">
        <v>870</v>
      </c>
      <c r="BM29" s="320"/>
      <c r="BN29" s="128"/>
      <c r="BO29" s="128"/>
      <c r="BP29" s="254" t="s">
        <v>870</v>
      </c>
    </row>
    <row r="30" spans="1:68" ht="30">
      <c r="A30" s="196" t="s">
        <v>863</v>
      </c>
      <c r="B30" s="196" t="s">
        <v>899</v>
      </c>
      <c r="C30" s="196" t="s">
        <v>922</v>
      </c>
      <c r="D30" s="196" t="s">
        <v>929</v>
      </c>
      <c r="E30" s="196"/>
      <c r="F30" s="198" t="s">
        <v>930</v>
      </c>
      <c r="G30" s="98"/>
      <c r="H30" s="98"/>
      <c r="I30" s="98"/>
      <c r="J30" s="192"/>
      <c r="K30" s="196" t="s">
        <v>868</v>
      </c>
      <c r="L30" s="196" t="s">
        <v>868</v>
      </c>
      <c r="M30" s="196" t="s">
        <v>868</v>
      </c>
      <c r="N30" s="196" t="s">
        <v>868</v>
      </c>
      <c r="O30" s="128"/>
      <c r="P30" s="128"/>
      <c r="Q30" s="128"/>
      <c r="R30" s="128"/>
      <c r="S30" s="128"/>
      <c r="T30" s="128"/>
      <c r="U30" s="128"/>
      <c r="V30" s="128"/>
      <c r="W30" s="128"/>
      <c r="X30" s="128"/>
      <c r="Y30" s="128"/>
      <c r="Z30" s="128"/>
      <c r="AA30" s="128"/>
      <c r="AB30" s="128"/>
      <c r="AC30" s="128"/>
      <c r="AD30" s="128"/>
      <c r="AE30" s="128"/>
      <c r="AF30" s="128"/>
      <c r="AG30" s="128"/>
      <c r="AH30" s="128"/>
      <c r="AI30" s="128"/>
      <c r="AJ30" s="196" t="s">
        <v>868</v>
      </c>
      <c r="AK30" s="127" t="s">
        <v>883</v>
      </c>
      <c r="AL30" s="196" t="s">
        <v>868</v>
      </c>
      <c r="AM30" s="196" t="s">
        <v>868</v>
      </c>
      <c r="AN30" s="196" t="s">
        <v>868</v>
      </c>
      <c r="AO30" s="196" t="s">
        <v>868</v>
      </c>
      <c r="AP30" s="196" t="s">
        <v>868</v>
      </c>
      <c r="AQ30" s="196" t="s">
        <v>868</v>
      </c>
      <c r="AR30" s="196" t="s">
        <v>868</v>
      </c>
      <c r="AS30" s="196" t="s">
        <v>868</v>
      </c>
      <c r="AT30" s="196" t="s">
        <v>868</v>
      </c>
      <c r="AU30" s="196" t="s">
        <v>868</v>
      </c>
      <c r="AV30" s="196" t="s">
        <v>868</v>
      </c>
      <c r="AW30" s="196" t="s">
        <v>868</v>
      </c>
      <c r="AX30" s="196" t="s">
        <v>868</v>
      </c>
      <c r="AY30" s="196" t="s">
        <v>868</v>
      </c>
      <c r="AZ30" s="196" t="s">
        <v>868</v>
      </c>
      <c r="BA30" s="196" t="s">
        <v>868</v>
      </c>
      <c r="BB30" s="196" t="s">
        <v>868</v>
      </c>
      <c r="BC30" s="128"/>
      <c r="BD30" s="128"/>
      <c r="BE30" s="128"/>
      <c r="BF30" s="128"/>
      <c r="BG30" s="128"/>
      <c r="BH30" s="128"/>
      <c r="BI30" s="127" t="s">
        <v>868</v>
      </c>
      <c r="BJ30" s="128"/>
      <c r="BK30" s="128"/>
      <c r="BL30" s="320" t="s">
        <v>870</v>
      </c>
      <c r="BM30" s="320"/>
      <c r="BN30" s="128"/>
      <c r="BO30" s="128"/>
      <c r="BP30" s="254" t="s">
        <v>870</v>
      </c>
    </row>
    <row r="31" spans="1:68">
      <c r="A31" s="196" t="s">
        <v>863</v>
      </c>
      <c r="B31" s="196" t="s">
        <v>899</v>
      </c>
      <c r="C31" s="196" t="s">
        <v>931</v>
      </c>
      <c r="D31" s="196" t="s">
        <v>932</v>
      </c>
      <c r="E31" s="196"/>
      <c r="F31" s="198" t="s">
        <v>933</v>
      </c>
      <c r="G31" s="98"/>
      <c r="H31" s="98"/>
      <c r="I31" s="98"/>
      <c r="J31" s="192"/>
      <c r="K31" s="196" t="s">
        <v>868</v>
      </c>
      <c r="L31" s="196" t="s">
        <v>868</v>
      </c>
      <c r="M31" s="196" t="s">
        <v>868</v>
      </c>
      <c r="N31" s="196" t="s">
        <v>868</v>
      </c>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97"/>
      <c r="AL31" s="128"/>
      <c r="AM31" s="128"/>
      <c r="AN31" s="128"/>
      <c r="AO31" s="128"/>
      <c r="AP31" s="128"/>
      <c r="AQ31" s="128"/>
      <c r="AR31" s="128"/>
      <c r="AS31" s="128"/>
      <c r="AT31" s="128"/>
      <c r="AU31" s="128"/>
      <c r="AV31" s="128"/>
      <c r="AW31" s="128"/>
      <c r="AX31" s="128"/>
      <c r="AY31" s="128"/>
      <c r="AZ31" s="128"/>
      <c r="BA31" s="196" t="s">
        <v>868</v>
      </c>
      <c r="BB31" s="196" t="s">
        <v>868</v>
      </c>
      <c r="BC31" s="128"/>
      <c r="BD31" s="128"/>
      <c r="BE31" s="128"/>
      <c r="BF31" s="128"/>
      <c r="BG31" s="128"/>
      <c r="BH31" s="128"/>
      <c r="BI31" s="127" t="s">
        <v>868</v>
      </c>
      <c r="BJ31" s="128"/>
      <c r="BK31" s="128"/>
      <c r="BL31" s="320" t="s">
        <v>870</v>
      </c>
      <c r="BM31" s="320"/>
      <c r="BN31" s="128"/>
      <c r="BO31" s="128"/>
      <c r="BP31" s="254" t="s">
        <v>870</v>
      </c>
    </row>
    <row r="32" spans="1:68" ht="30">
      <c r="A32" s="196" t="s">
        <v>863</v>
      </c>
      <c r="B32" s="196" t="s">
        <v>899</v>
      </c>
      <c r="C32" s="196" t="s">
        <v>931</v>
      </c>
      <c r="D32" s="196" t="s">
        <v>934</v>
      </c>
      <c r="E32" s="196"/>
      <c r="F32" s="198" t="s">
        <v>935</v>
      </c>
      <c r="G32" s="98"/>
      <c r="H32" s="98"/>
      <c r="I32" s="98"/>
      <c r="J32" s="192"/>
      <c r="K32" s="196" t="s">
        <v>868</v>
      </c>
      <c r="L32" s="196" t="s">
        <v>868</v>
      </c>
      <c r="M32" s="196" t="s">
        <v>868</v>
      </c>
      <c r="N32" s="196" t="s">
        <v>868</v>
      </c>
      <c r="O32" s="128"/>
      <c r="P32" s="128"/>
      <c r="Q32" s="128"/>
      <c r="R32" s="128"/>
      <c r="S32" s="128"/>
      <c r="T32" s="128"/>
      <c r="U32" s="128"/>
      <c r="V32" s="128"/>
      <c r="W32" s="128"/>
      <c r="X32" s="128"/>
      <c r="Y32" s="128"/>
      <c r="Z32" s="128"/>
      <c r="AA32" s="128"/>
      <c r="AB32" s="128"/>
      <c r="AC32" s="128"/>
      <c r="AD32" s="128"/>
      <c r="AE32" s="128"/>
      <c r="AF32" s="128"/>
      <c r="AG32" s="128"/>
      <c r="AH32" s="128"/>
      <c r="AI32" s="128"/>
      <c r="AJ32" s="196" t="s">
        <v>868</v>
      </c>
      <c r="AK32" s="197" t="s">
        <v>869</v>
      </c>
      <c r="AL32" s="196" t="s">
        <v>868</v>
      </c>
      <c r="AM32" s="196" t="s">
        <v>868</v>
      </c>
      <c r="AN32" s="196" t="s">
        <v>868</v>
      </c>
      <c r="AO32" s="196" t="s">
        <v>868</v>
      </c>
      <c r="AP32" s="196" t="s">
        <v>868</v>
      </c>
      <c r="AQ32" s="196" t="s">
        <v>868</v>
      </c>
      <c r="AR32" s="196" t="s">
        <v>868</v>
      </c>
      <c r="AS32" s="196" t="s">
        <v>868</v>
      </c>
      <c r="AT32" s="196" t="s">
        <v>868</v>
      </c>
      <c r="AU32" s="196" t="s">
        <v>868</v>
      </c>
      <c r="AV32" s="196" t="s">
        <v>868</v>
      </c>
      <c r="AW32" s="196" t="s">
        <v>868</v>
      </c>
      <c r="AX32" s="196" t="s">
        <v>868</v>
      </c>
      <c r="AY32" s="128"/>
      <c r="AZ32" s="128"/>
      <c r="BA32" s="196" t="s">
        <v>868</v>
      </c>
      <c r="BB32" s="196" t="s">
        <v>868</v>
      </c>
      <c r="BC32" s="128"/>
      <c r="BD32" s="128"/>
      <c r="BE32" s="128"/>
      <c r="BF32" s="128"/>
      <c r="BG32" s="128"/>
      <c r="BH32" s="128"/>
      <c r="BI32" s="127" t="s">
        <v>868</v>
      </c>
      <c r="BJ32" s="128"/>
      <c r="BK32" s="128"/>
      <c r="BL32" s="320" t="s">
        <v>870</v>
      </c>
      <c r="BM32" s="320"/>
      <c r="BN32" s="128"/>
      <c r="BO32" s="128"/>
      <c r="BP32" s="254" t="s">
        <v>870</v>
      </c>
    </row>
    <row r="33" spans="1:68">
      <c r="A33" s="196" t="s">
        <v>863</v>
      </c>
      <c r="B33" s="196" t="s">
        <v>899</v>
      </c>
      <c r="C33" s="196" t="s">
        <v>931</v>
      </c>
      <c r="D33" s="196" t="s">
        <v>936</v>
      </c>
      <c r="E33" s="196"/>
      <c r="F33" s="198" t="s">
        <v>937</v>
      </c>
      <c r="G33" s="98"/>
      <c r="H33" s="98"/>
      <c r="I33" s="98"/>
      <c r="J33" s="192"/>
      <c r="K33" s="196" t="s">
        <v>868</v>
      </c>
      <c r="L33" s="196" t="s">
        <v>868</v>
      </c>
      <c r="M33" s="196" t="s">
        <v>868</v>
      </c>
      <c r="N33" s="196" t="s">
        <v>868</v>
      </c>
      <c r="O33" s="128"/>
      <c r="P33" s="128"/>
      <c r="Q33" s="128"/>
      <c r="R33" s="128"/>
      <c r="S33" s="128"/>
      <c r="T33" s="128"/>
      <c r="U33" s="128"/>
      <c r="V33" s="128"/>
      <c r="W33" s="128"/>
      <c r="X33" s="128"/>
      <c r="Y33" s="128"/>
      <c r="Z33" s="128"/>
      <c r="AA33" s="128"/>
      <c r="AB33" s="128"/>
      <c r="AC33" s="128"/>
      <c r="AD33" s="128"/>
      <c r="AE33" s="128"/>
      <c r="AF33" s="128"/>
      <c r="AG33" s="128"/>
      <c r="AH33" s="128"/>
      <c r="AI33" s="128"/>
      <c r="AJ33" s="196" t="s">
        <v>868</v>
      </c>
      <c r="AK33" s="127" t="s">
        <v>883</v>
      </c>
      <c r="AL33" s="196" t="s">
        <v>868</v>
      </c>
      <c r="AM33" s="196" t="s">
        <v>868</v>
      </c>
      <c r="AN33" s="196" t="s">
        <v>868</v>
      </c>
      <c r="AO33" s="196" t="s">
        <v>868</v>
      </c>
      <c r="AP33" s="196" t="s">
        <v>868</v>
      </c>
      <c r="AQ33" s="196" t="s">
        <v>868</v>
      </c>
      <c r="AR33" s="196" t="s">
        <v>868</v>
      </c>
      <c r="AS33" s="196" t="s">
        <v>868</v>
      </c>
      <c r="AT33" s="196" t="s">
        <v>868</v>
      </c>
      <c r="AU33" s="196" t="s">
        <v>868</v>
      </c>
      <c r="AV33" s="196" t="s">
        <v>868</v>
      </c>
      <c r="AW33" s="196" t="s">
        <v>868</v>
      </c>
      <c r="AX33" s="196" t="s">
        <v>868</v>
      </c>
      <c r="AY33" s="196" t="s">
        <v>868</v>
      </c>
      <c r="AZ33" s="196" t="s">
        <v>868</v>
      </c>
      <c r="BA33" s="196" t="s">
        <v>868</v>
      </c>
      <c r="BB33" s="196" t="s">
        <v>868</v>
      </c>
      <c r="BC33" s="128"/>
      <c r="BD33" s="128"/>
      <c r="BE33" s="128"/>
      <c r="BF33" s="128"/>
      <c r="BG33" s="128"/>
      <c r="BH33" s="128"/>
      <c r="BI33" s="127" t="s">
        <v>868</v>
      </c>
      <c r="BJ33" s="128"/>
      <c r="BK33" s="128"/>
      <c r="BL33" s="320" t="s">
        <v>870</v>
      </c>
      <c r="BM33" s="320"/>
      <c r="BN33" s="128"/>
      <c r="BO33" s="128"/>
      <c r="BP33" s="254" t="s">
        <v>870</v>
      </c>
    </row>
    <row r="34" spans="1:68" ht="30">
      <c r="A34" s="196" t="s">
        <v>863</v>
      </c>
      <c r="B34" s="196" t="s">
        <v>899</v>
      </c>
      <c r="C34" s="196" t="s">
        <v>931</v>
      </c>
      <c r="D34" s="196" t="s">
        <v>938</v>
      </c>
      <c r="E34" s="196"/>
      <c r="F34" s="198" t="s">
        <v>939</v>
      </c>
      <c r="G34" s="98"/>
      <c r="H34" s="98"/>
      <c r="I34" s="98"/>
      <c r="J34" s="192"/>
      <c r="K34" s="196" t="s">
        <v>868</v>
      </c>
      <c r="L34" s="196" t="s">
        <v>868</v>
      </c>
      <c r="M34" s="196" t="s">
        <v>868</v>
      </c>
      <c r="N34" s="196" t="s">
        <v>868</v>
      </c>
      <c r="O34" s="128"/>
      <c r="P34" s="128"/>
      <c r="Q34" s="128"/>
      <c r="R34" s="128"/>
      <c r="S34" s="128"/>
      <c r="T34" s="128"/>
      <c r="U34" s="128"/>
      <c r="V34" s="128"/>
      <c r="W34" s="128"/>
      <c r="X34" s="128"/>
      <c r="Y34" s="128"/>
      <c r="Z34" s="128"/>
      <c r="AA34" s="128"/>
      <c r="AB34" s="128"/>
      <c r="AC34" s="128"/>
      <c r="AD34" s="128"/>
      <c r="AE34" s="128"/>
      <c r="AF34" s="128"/>
      <c r="AG34" s="128"/>
      <c r="AH34" s="128"/>
      <c r="AI34" s="128"/>
      <c r="AJ34" s="196" t="s">
        <v>868</v>
      </c>
      <c r="AK34" s="197" t="s">
        <v>869</v>
      </c>
      <c r="AL34" s="196" t="s">
        <v>868</v>
      </c>
      <c r="AM34" s="196" t="s">
        <v>868</v>
      </c>
      <c r="AN34" s="196" t="s">
        <v>868</v>
      </c>
      <c r="AO34" s="196" t="s">
        <v>868</v>
      </c>
      <c r="AP34" s="196" t="s">
        <v>868</v>
      </c>
      <c r="AQ34" s="196" t="s">
        <v>868</v>
      </c>
      <c r="AR34" s="196" t="s">
        <v>868</v>
      </c>
      <c r="AS34" s="196" t="s">
        <v>868</v>
      </c>
      <c r="AT34" s="196" t="s">
        <v>868</v>
      </c>
      <c r="AU34" s="196" t="s">
        <v>868</v>
      </c>
      <c r="AV34" s="196" t="s">
        <v>868</v>
      </c>
      <c r="AW34" s="196" t="s">
        <v>868</v>
      </c>
      <c r="AX34" s="196" t="s">
        <v>868</v>
      </c>
      <c r="AY34" s="128"/>
      <c r="AZ34" s="128"/>
      <c r="BA34" s="196" t="s">
        <v>868</v>
      </c>
      <c r="BB34" s="196" t="s">
        <v>868</v>
      </c>
      <c r="BC34" s="128"/>
      <c r="BD34" s="128"/>
      <c r="BE34" s="128"/>
      <c r="BF34" s="128"/>
      <c r="BG34" s="128"/>
      <c r="BH34" s="128"/>
      <c r="BI34" s="127" t="s">
        <v>868</v>
      </c>
      <c r="BJ34" s="128"/>
      <c r="BK34" s="128"/>
      <c r="BL34" s="320" t="s">
        <v>870</v>
      </c>
      <c r="BM34" s="320"/>
      <c r="BN34" s="128"/>
      <c r="BO34" s="128"/>
      <c r="BP34" s="254" t="s">
        <v>870</v>
      </c>
    </row>
    <row r="35" spans="1:68" ht="30">
      <c r="A35" s="196" t="s">
        <v>863</v>
      </c>
      <c r="B35" s="196" t="s">
        <v>899</v>
      </c>
      <c r="C35" s="196" t="s">
        <v>931</v>
      </c>
      <c r="D35" s="196" t="s">
        <v>940</v>
      </c>
      <c r="E35" s="196"/>
      <c r="F35" s="198" t="s">
        <v>941</v>
      </c>
      <c r="G35" s="98"/>
      <c r="H35" s="98"/>
      <c r="I35" s="98"/>
      <c r="J35" s="192"/>
      <c r="K35" s="196" t="s">
        <v>868</v>
      </c>
      <c r="L35" s="196" t="s">
        <v>868</v>
      </c>
      <c r="M35" s="196" t="s">
        <v>868</v>
      </c>
      <c r="N35" s="196" t="s">
        <v>868</v>
      </c>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97"/>
      <c r="AL35" s="128"/>
      <c r="AM35" s="128"/>
      <c r="AN35" s="128"/>
      <c r="AO35" s="128"/>
      <c r="AP35" s="128"/>
      <c r="AQ35" s="128"/>
      <c r="AR35" s="128"/>
      <c r="AS35" s="128"/>
      <c r="AT35" s="128"/>
      <c r="AU35" s="128"/>
      <c r="AV35" s="128"/>
      <c r="AW35" s="128"/>
      <c r="AX35" s="128"/>
      <c r="AY35" s="128"/>
      <c r="AZ35" s="128"/>
      <c r="BA35" s="196" t="s">
        <v>868</v>
      </c>
      <c r="BB35" s="196" t="s">
        <v>868</v>
      </c>
      <c r="BC35" s="128"/>
      <c r="BD35" s="128"/>
      <c r="BE35" s="128"/>
      <c r="BF35" s="128"/>
      <c r="BG35" s="128"/>
      <c r="BH35" s="128"/>
      <c r="BI35" s="127" t="s">
        <v>868</v>
      </c>
      <c r="BJ35" s="128"/>
      <c r="BK35" s="128"/>
      <c r="BL35" s="320" t="s">
        <v>870</v>
      </c>
      <c r="BM35" s="320"/>
      <c r="BN35" s="128"/>
      <c r="BO35" s="128"/>
      <c r="BP35" s="254" t="s">
        <v>870</v>
      </c>
    </row>
    <row r="36" spans="1:68">
      <c r="A36" s="196" t="s">
        <v>863</v>
      </c>
      <c r="B36" s="196" t="s">
        <v>899</v>
      </c>
      <c r="C36" s="196" t="s">
        <v>931</v>
      </c>
      <c r="D36" s="196" t="s">
        <v>942</v>
      </c>
      <c r="E36" s="196"/>
      <c r="F36" s="198" t="s">
        <v>943</v>
      </c>
      <c r="G36" s="98"/>
      <c r="H36" s="98"/>
      <c r="I36" s="98"/>
      <c r="J36" s="192"/>
      <c r="K36" s="196" t="s">
        <v>868</v>
      </c>
      <c r="L36" s="196" t="s">
        <v>868</v>
      </c>
      <c r="M36" s="196" t="s">
        <v>868</v>
      </c>
      <c r="N36" s="196" t="s">
        <v>868</v>
      </c>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97"/>
      <c r="AL36" s="128"/>
      <c r="AM36" s="128"/>
      <c r="AN36" s="128"/>
      <c r="AO36" s="128"/>
      <c r="AP36" s="128"/>
      <c r="AQ36" s="128"/>
      <c r="AR36" s="128"/>
      <c r="AS36" s="128"/>
      <c r="AT36" s="128"/>
      <c r="AU36" s="128"/>
      <c r="AV36" s="128"/>
      <c r="AW36" s="128"/>
      <c r="AX36" s="128"/>
      <c r="AY36" s="128"/>
      <c r="AZ36" s="128"/>
      <c r="BA36" s="196" t="s">
        <v>868</v>
      </c>
      <c r="BB36" s="196" t="s">
        <v>868</v>
      </c>
      <c r="BC36" s="128"/>
      <c r="BD36" s="128"/>
      <c r="BE36" s="128"/>
      <c r="BF36" s="128"/>
      <c r="BG36" s="128"/>
      <c r="BH36" s="128"/>
      <c r="BI36" s="127" t="s">
        <v>868</v>
      </c>
      <c r="BJ36" s="128"/>
      <c r="BK36" s="128"/>
      <c r="BL36" s="320" t="s">
        <v>870</v>
      </c>
      <c r="BM36" s="320"/>
      <c r="BN36" s="128"/>
      <c r="BO36" s="128"/>
      <c r="BP36" s="254" t="s">
        <v>870</v>
      </c>
    </row>
    <row r="37" spans="1:68">
      <c r="A37" s="196" t="s">
        <v>863</v>
      </c>
      <c r="B37" s="196" t="s">
        <v>899</v>
      </c>
      <c r="C37" s="196" t="s">
        <v>931</v>
      </c>
      <c r="D37" s="196" t="s">
        <v>944</v>
      </c>
      <c r="E37" s="196"/>
      <c r="F37" s="198" t="s">
        <v>945</v>
      </c>
      <c r="G37" s="98"/>
      <c r="H37" s="98"/>
      <c r="I37" s="98"/>
      <c r="J37" s="192"/>
      <c r="K37" s="196" t="s">
        <v>868</v>
      </c>
      <c r="L37" s="196" t="s">
        <v>868</v>
      </c>
      <c r="M37" s="196" t="s">
        <v>868</v>
      </c>
      <c r="N37" s="196" t="s">
        <v>868</v>
      </c>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97"/>
      <c r="AL37" s="128"/>
      <c r="AM37" s="128"/>
      <c r="AN37" s="128"/>
      <c r="AO37" s="128"/>
      <c r="AP37" s="128"/>
      <c r="AQ37" s="128"/>
      <c r="AR37" s="128"/>
      <c r="AS37" s="128"/>
      <c r="AT37" s="128"/>
      <c r="AU37" s="128"/>
      <c r="AV37" s="128"/>
      <c r="AW37" s="128"/>
      <c r="AX37" s="128"/>
      <c r="AY37" s="128"/>
      <c r="AZ37" s="128"/>
      <c r="BA37" s="196" t="s">
        <v>868</v>
      </c>
      <c r="BB37" s="196" t="s">
        <v>868</v>
      </c>
      <c r="BC37" s="128"/>
      <c r="BD37" s="128"/>
      <c r="BE37" s="128"/>
      <c r="BF37" s="128"/>
      <c r="BG37" s="128"/>
      <c r="BH37" s="128"/>
      <c r="BI37" s="127" t="s">
        <v>868</v>
      </c>
      <c r="BJ37" s="128"/>
      <c r="BK37" s="128"/>
      <c r="BL37" s="320" t="s">
        <v>870</v>
      </c>
      <c r="BM37" s="320"/>
      <c r="BN37" s="128"/>
      <c r="BO37" s="128"/>
      <c r="BP37" s="254" t="s">
        <v>870</v>
      </c>
    </row>
    <row r="38" spans="1:68" ht="30">
      <c r="A38" s="196" t="s">
        <v>863</v>
      </c>
      <c r="B38" s="196" t="s">
        <v>864</v>
      </c>
      <c r="C38" s="196" t="s">
        <v>900</v>
      </c>
      <c r="D38" s="196" t="s">
        <v>946</v>
      </c>
      <c r="E38" s="196"/>
      <c r="F38" s="198" t="s">
        <v>947</v>
      </c>
      <c r="G38" s="98"/>
      <c r="H38" s="98"/>
      <c r="I38" s="98"/>
      <c r="J38" s="192"/>
      <c r="K38" s="196" t="s">
        <v>868</v>
      </c>
      <c r="L38" s="196" t="s">
        <v>868</v>
      </c>
      <c r="M38" s="196" t="s">
        <v>868</v>
      </c>
      <c r="N38" s="196" t="s">
        <v>868</v>
      </c>
      <c r="O38" s="128"/>
      <c r="P38" s="128"/>
      <c r="Q38" s="128"/>
      <c r="R38" s="128"/>
      <c r="S38" s="128"/>
      <c r="T38" s="128"/>
      <c r="U38" s="128"/>
      <c r="V38" s="128"/>
      <c r="W38" s="128"/>
      <c r="X38" s="128"/>
      <c r="Y38" s="128"/>
      <c r="Z38" s="128"/>
      <c r="AA38" s="128"/>
      <c r="AB38" s="128"/>
      <c r="AC38" s="128"/>
      <c r="AD38" s="128"/>
      <c r="AE38" s="128"/>
      <c r="AF38" s="128"/>
      <c r="AG38" s="128"/>
      <c r="AH38" s="128"/>
      <c r="AI38" s="128"/>
      <c r="AJ38" s="196" t="s">
        <v>868</v>
      </c>
      <c r="AK38" s="127" t="s">
        <v>883</v>
      </c>
      <c r="AL38" s="196" t="s">
        <v>868</v>
      </c>
      <c r="AM38" s="196" t="s">
        <v>868</v>
      </c>
      <c r="AN38" s="196" t="s">
        <v>868</v>
      </c>
      <c r="AO38" s="196" t="s">
        <v>868</v>
      </c>
      <c r="AP38" s="196" t="s">
        <v>868</v>
      </c>
      <c r="AQ38" s="196" t="s">
        <v>868</v>
      </c>
      <c r="AR38" s="196" t="s">
        <v>868</v>
      </c>
      <c r="AS38" s="196" t="s">
        <v>868</v>
      </c>
      <c r="AT38" s="196" t="s">
        <v>868</v>
      </c>
      <c r="AU38" s="196" t="s">
        <v>868</v>
      </c>
      <c r="AV38" s="196" t="s">
        <v>868</v>
      </c>
      <c r="AW38" s="196" t="s">
        <v>868</v>
      </c>
      <c r="AX38" s="196" t="s">
        <v>868</v>
      </c>
      <c r="AY38" s="196" t="s">
        <v>868</v>
      </c>
      <c r="AZ38" s="196" t="s">
        <v>868</v>
      </c>
      <c r="BA38" s="196" t="s">
        <v>868</v>
      </c>
      <c r="BB38" s="196" t="s">
        <v>868</v>
      </c>
      <c r="BC38" s="128"/>
      <c r="BD38" s="128"/>
      <c r="BE38" s="127" t="s">
        <v>868</v>
      </c>
      <c r="BF38" s="127" t="s">
        <v>868</v>
      </c>
      <c r="BG38" s="128"/>
      <c r="BH38" s="128"/>
      <c r="BI38" s="127" t="s">
        <v>868</v>
      </c>
      <c r="BJ38" s="128"/>
      <c r="BK38" s="128"/>
      <c r="BL38" s="320" t="s">
        <v>870</v>
      </c>
      <c r="BM38" s="320"/>
      <c r="BN38" s="320" t="s">
        <v>868</v>
      </c>
      <c r="BO38" s="128"/>
      <c r="BP38" s="254" t="s">
        <v>870</v>
      </c>
    </row>
    <row r="39" spans="1:68" ht="28.5">
      <c r="A39" s="196" t="s">
        <v>863</v>
      </c>
      <c r="B39" s="199" t="s">
        <v>864</v>
      </c>
      <c r="C39" s="199" t="s">
        <v>900</v>
      </c>
      <c r="D39" s="199" t="s">
        <v>948</v>
      </c>
      <c r="E39" s="199"/>
      <c r="F39" s="200" t="s">
        <v>949</v>
      </c>
      <c r="G39" s="8"/>
      <c r="H39" s="8"/>
      <c r="I39" s="8"/>
      <c r="J39" s="192"/>
      <c r="K39" s="196" t="s">
        <v>868</v>
      </c>
      <c r="L39" s="196" t="s">
        <v>868</v>
      </c>
      <c r="M39" s="196" t="s">
        <v>868</v>
      </c>
      <c r="N39" s="196" t="s">
        <v>868</v>
      </c>
      <c r="O39" s="128"/>
      <c r="P39" s="128"/>
      <c r="Q39" s="128"/>
      <c r="R39" s="128"/>
      <c r="S39" s="128"/>
      <c r="T39" s="128"/>
      <c r="U39" s="128"/>
      <c r="V39" s="128"/>
      <c r="W39" s="128"/>
      <c r="X39" s="128"/>
      <c r="Y39" s="128"/>
      <c r="Z39" s="128"/>
      <c r="AA39" s="128"/>
      <c r="AB39" s="128"/>
      <c r="AC39" s="128"/>
      <c r="AD39" s="128"/>
      <c r="AE39" s="128"/>
      <c r="AF39" s="128"/>
      <c r="AG39" s="128"/>
      <c r="AH39" s="128"/>
      <c r="AI39" s="128"/>
      <c r="AJ39" s="196" t="s">
        <v>868</v>
      </c>
      <c r="AK39" s="127" t="s">
        <v>883</v>
      </c>
      <c r="AL39" s="196" t="s">
        <v>868</v>
      </c>
      <c r="AM39" s="196" t="s">
        <v>868</v>
      </c>
      <c r="AN39" s="196" t="s">
        <v>868</v>
      </c>
      <c r="AO39" s="196" t="s">
        <v>868</v>
      </c>
      <c r="AP39" s="196" t="s">
        <v>868</v>
      </c>
      <c r="AQ39" s="196" t="s">
        <v>868</v>
      </c>
      <c r="AR39" s="196" t="s">
        <v>868</v>
      </c>
      <c r="AS39" s="196" t="s">
        <v>868</v>
      </c>
      <c r="AT39" s="196" t="s">
        <v>868</v>
      </c>
      <c r="AU39" s="196" t="s">
        <v>868</v>
      </c>
      <c r="AV39" s="196" t="s">
        <v>868</v>
      </c>
      <c r="AW39" s="196" t="s">
        <v>868</v>
      </c>
      <c r="AX39" s="196" t="s">
        <v>868</v>
      </c>
      <c r="AY39" s="196" t="s">
        <v>868</v>
      </c>
      <c r="AZ39" s="196" t="s">
        <v>868</v>
      </c>
      <c r="BA39" s="196" t="s">
        <v>868</v>
      </c>
      <c r="BB39" s="196" t="s">
        <v>868</v>
      </c>
      <c r="BC39" s="128"/>
      <c r="BD39" s="128"/>
      <c r="BE39" s="127" t="s">
        <v>868</v>
      </c>
      <c r="BF39" s="127" t="s">
        <v>868</v>
      </c>
      <c r="BG39" s="128"/>
      <c r="BH39" s="128"/>
      <c r="BI39" s="127" t="s">
        <v>868</v>
      </c>
      <c r="BJ39" s="128"/>
      <c r="BK39" s="128"/>
      <c r="BL39" s="320" t="s">
        <v>870</v>
      </c>
      <c r="BM39" s="320"/>
      <c r="BN39" s="320" t="s">
        <v>868</v>
      </c>
      <c r="BO39" s="128"/>
      <c r="BP39" s="254" t="s">
        <v>870</v>
      </c>
    </row>
    <row r="40" spans="1:68">
      <c r="A40" s="196" t="s">
        <v>863</v>
      </c>
      <c r="B40" s="196" t="s">
        <v>899</v>
      </c>
      <c r="C40" s="196" t="s">
        <v>950</v>
      </c>
      <c r="D40" s="196" t="s">
        <v>951</v>
      </c>
      <c r="E40" s="196"/>
      <c r="F40" s="198" t="s">
        <v>952</v>
      </c>
      <c r="G40" s="98"/>
      <c r="H40" s="98"/>
      <c r="I40" s="98"/>
      <c r="J40" s="192"/>
      <c r="K40" s="196" t="s">
        <v>868</v>
      </c>
      <c r="L40" s="196" t="s">
        <v>868</v>
      </c>
      <c r="M40" s="196" t="s">
        <v>868</v>
      </c>
      <c r="N40" s="196" t="s">
        <v>868</v>
      </c>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97"/>
      <c r="AL40" s="128"/>
      <c r="AM40" s="128"/>
      <c r="AN40" s="128"/>
      <c r="AO40" s="128"/>
      <c r="AP40" s="128"/>
      <c r="AQ40" s="128"/>
      <c r="AR40" s="128"/>
      <c r="AS40" s="128"/>
      <c r="AT40" s="128"/>
      <c r="AU40" s="128"/>
      <c r="AV40" s="128"/>
      <c r="AW40" s="128"/>
      <c r="AX40" s="128"/>
      <c r="AY40" s="128"/>
      <c r="AZ40" s="128"/>
      <c r="BA40" s="196" t="s">
        <v>868</v>
      </c>
      <c r="BB40" s="196" t="s">
        <v>868</v>
      </c>
      <c r="BC40" s="128"/>
      <c r="BD40" s="128"/>
      <c r="BE40" s="128"/>
      <c r="BF40" s="128"/>
      <c r="BG40" s="128"/>
      <c r="BH40" s="128"/>
      <c r="BI40" s="127" t="s">
        <v>868</v>
      </c>
      <c r="BJ40" s="128"/>
      <c r="BK40" s="128"/>
      <c r="BL40" s="320" t="s">
        <v>870</v>
      </c>
      <c r="BM40" s="320"/>
      <c r="BN40" s="128"/>
      <c r="BO40" s="128"/>
      <c r="BP40" s="254" t="s">
        <v>870</v>
      </c>
    </row>
    <row r="41" spans="1:68">
      <c r="A41" s="196" t="s">
        <v>863</v>
      </c>
      <c r="B41" s="196" t="s">
        <v>899</v>
      </c>
      <c r="C41" s="196" t="s">
        <v>950</v>
      </c>
      <c r="D41" s="196" t="s">
        <v>953</v>
      </c>
      <c r="E41" s="196"/>
      <c r="F41" s="198" t="s">
        <v>954</v>
      </c>
      <c r="G41" s="98"/>
      <c r="H41" s="98"/>
      <c r="I41" s="98"/>
      <c r="J41" s="192"/>
      <c r="K41" s="196" t="s">
        <v>868</v>
      </c>
      <c r="L41" s="196" t="s">
        <v>868</v>
      </c>
      <c r="M41" s="196" t="s">
        <v>868</v>
      </c>
      <c r="N41" s="196" t="s">
        <v>868</v>
      </c>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97"/>
      <c r="AL41" s="128"/>
      <c r="AM41" s="128"/>
      <c r="AN41" s="128"/>
      <c r="AO41" s="128"/>
      <c r="AP41" s="128"/>
      <c r="AQ41" s="128"/>
      <c r="AR41" s="128"/>
      <c r="AS41" s="128"/>
      <c r="AT41" s="128"/>
      <c r="AU41" s="128"/>
      <c r="AV41" s="128"/>
      <c r="AW41" s="128"/>
      <c r="AX41" s="128"/>
      <c r="AY41" s="128"/>
      <c r="AZ41" s="128"/>
      <c r="BA41" s="196" t="s">
        <v>868</v>
      </c>
      <c r="BB41" s="196" t="s">
        <v>868</v>
      </c>
      <c r="BC41" s="128"/>
      <c r="BD41" s="128"/>
      <c r="BE41" s="128"/>
      <c r="BF41" s="128"/>
      <c r="BG41" s="128"/>
      <c r="BH41" s="128"/>
      <c r="BI41" s="127" t="s">
        <v>868</v>
      </c>
      <c r="BJ41" s="128"/>
      <c r="BK41" s="128"/>
      <c r="BL41" s="320" t="s">
        <v>870</v>
      </c>
      <c r="BM41" s="320"/>
      <c r="BN41" s="128"/>
      <c r="BO41" s="128"/>
      <c r="BP41" s="254" t="s">
        <v>870</v>
      </c>
    </row>
    <row r="42" spans="1:68">
      <c r="A42" s="327" t="s">
        <v>863</v>
      </c>
      <c r="B42" s="327" t="s">
        <v>864</v>
      </c>
      <c r="C42" s="327" t="s">
        <v>880</v>
      </c>
      <c r="D42" s="327" t="s">
        <v>955</v>
      </c>
      <c r="E42" s="327"/>
      <c r="F42" s="328" t="s">
        <v>956</v>
      </c>
      <c r="G42" s="329"/>
      <c r="H42" s="329"/>
      <c r="I42" s="329"/>
      <c r="J42" s="330"/>
      <c r="K42" s="327" t="s">
        <v>868</v>
      </c>
      <c r="L42" s="327" t="s">
        <v>868</v>
      </c>
      <c r="M42" s="327" t="s">
        <v>868</v>
      </c>
      <c r="N42" s="327" t="s">
        <v>868</v>
      </c>
      <c r="O42" s="331"/>
      <c r="P42" s="331"/>
      <c r="Q42" s="331"/>
      <c r="R42" s="331"/>
      <c r="S42" s="331"/>
      <c r="T42" s="331"/>
      <c r="U42" s="331"/>
      <c r="V42" s="331"/>
      <c r="W42" s="331"/>
      <c r="X42" s="331"/>
      <c r="Y42" s="331"/>
      <c r="Z42" s="331"/>
      <c r="AA42" s="331"/>
      <c r="AB42" s="331"/>
      <c r="AC42" s="331"/>
      <c r="AD42" s="331"/>
      <c r="AE42" s="331"/>
      <c r="AF42" s="331"/>
      <c r="AG42" s="331"/>
      <c r="AH42" s="331"/>
      <c r="AI42" s="331"/>
      <c r="AJ42" s="327" t="s">
        <v>868</v>
      </c>
      <c r="AK42" s="333" t="s">
        <v>883</v>
      </c>
      <c r="AL42" s="327" t="s">
        <v>868</v>
      </c>
      <c r="AM42" s="327" t="s">
        <v>868</v>
      </c>
      <c r="AN42" s="327" t="s">
        <v>868</v>
      </c>
      <c r="AO42" s="327" t="s">
        <v>868</v>
      </c>
      <c r="AP42" s="327" t="s">
        <v>868</v>
      </c>
      <c r="AQ42" s="327" t="s">
        <v>868</v>
      </c>
      <c r="AR42" s="327" t="s">
        <v>868</v>
      </c>
      <c r="AS42" s="327" t="s">
        <v>868</v>
      </c>
      <c r="AT42" s="327" t="s">
        <v>868</v>
      </c>
      <c r="AU42" s="327" t="s">
        <v>868</v>
      </c>
      <c r="AV42" s="327" t="s">
        <v>868</v>
      </c>
      <c r="AW42" s="327" t="s">
        <v>868</v>
      </c>
      <c r="AX42" s="327" t="s">
        <v>868</v>
      </c>
      <c r="AY42" s="327" t="s">
        <v>868</v>
      </c>
      <c r="AZ42" s="327" t="s">
        <v>868</v>
      </c>
      <c r="BA42" s="327" t="s">
        <v>868</v>
      </c>
      <c r="BB42" s="327" t="s">
        <v>868</v>
      </c>
      <c r="BC42" s="331"/>
      <c r="BD42" s="331"/>
      <c r="BE42" s="333" t="s">
        <v>868</v>
      </c>
      <c r="BF42" s="333" t="s">
        <v>868</v>
      </c>
      <c r="BG42" s="331"/>
      <c r="BH42" s="331"/>
      <c r="BI42" s="333" t="s">
        <v>868</v>
      </c>
      <c r="BJ42" s="331"/>
      <c r="BK42" s="331"/>
      <c r="BL42" s="334" t="s">
        <v>870</v>
      </c>
      <c r="BM42" s="334"/>
      <c r="BN42" s="331"/>
      <c r="BO42" s="331"/>
      <c r="BP42" s="340"/>
    </row>
    <row r="43" spans="1:68" ht="30">
      <c r="A43" s="196" t="s">
        <v>863</v>
      </c>
      <c r="B43" s="196" t="s">
        <v>864</v>
      </c>
      <c r="C43" s="196" t="s">
        <v>900</v>
      </c>
      <c r="D43" s="196" t="s">
        <v>957</v>
      </c>
      <c r="E43" s="196"/>
      <c r="F43" s="198" t="s">
        <v>958</v>
      </c>
      <c r="G43" s="98"/>
      <c r="H43" s="98"/>
      <c r="I43" s="98"/>
      <c r="J43" s="192"/>
      <c r="K43" s="196" t="s">
        <v>868</v>
      </c>
      <c r="L43" s="196" t="s">
        <v>868</v>
      </c>
      <c r="M43" s="196" t="s">
        <v>868</v>
      </c>
      <c r="N43" s="196" t="s">
        <v>868</v>
      </c>
      <c r="O43" s="128"/>
      <c r="P43" s="128"/>
      <c r="Q43" s="128"/>
      <c r="R43" s="128"/>
      <c r="S43" s="128"/>
      <c r="T43" s="128"/>
      <c r="U43" s="128"/>
      <c r="V43" s="128"/>
      <c r="W43" s="128"/>
      <c r="X43" s="128"/>
      <c r="Y43" s="128"/>
      <c r="Z43" s="128"/>
      <c r="AA43" s="128"/>
      <c r="AB43" s="128"/>
      <c r="AC43" s="128"/>
      <c r="AD43" s="128"/>
      <c r="AE43" s="128"/>
      <c r="AF43" s="128"/>
      <c r="AG43" s="128"/>
      <c r="AH43" s="128"/>
      <c r="AI43" s="128"/>
      <c r="AJ43" s="196" t="s">
        <v>868</v>
      </c>
      <c r="AK43" s="127" t="s">
        <v>883</v>
      </c>
      <c r="AL43" s="196" t="s">
        <v>868</v>
      </c>
      <c r="AM43" s="196" t="s">
        <v>868</v>
      </c>
      <c r="AN43" s="196" t="s">
        <v>868</v>
      </c>
      <c r="AO43" s="196" t="s">
        <v>868</v>
      </c>
      <c r="AP43" s="196" t="s">
        <v>868</v>
      </c>
      <c r="AQ43" s="196" t="s">
        <v>868</v>
      </c>
      <c r="AR43" s="196" t="s">
        <v>868</v>
      </c>
      <c r="AS43" s="196" t="s">
        <v>868</v>
      </c>
      <c r="AT43" s="196" t="s">
        <v>868</v>
      </c>
      <c r="AU43" s="196" t="s">
        <v>868</v>
      </c>
      <c r="AV43" s="196" t="s">
        <v>868</v>
      </c>
      <c r="AW43" s="196" t="s">
        <v>868</v>
      </c>
      <c r="AX43" s="196" t="s">
        <v>868</v>
      </c>
      <c r="AY43" s="196" t="s">
        <v>868</v>
      </c>
      <c r="AZ43" s="196" t="s">
        <v>868</v>
      </c>
      <c r="BA43" s="196" t="s">
        <v>868</v>
      </c>
      <c r="BB43" s="196" t="s">
        <v>868</v>
      </c>
      <c r="BC43" s="128"/>
      <c r="BD43" s="128"/>
      <c r="BE43" s="127" t="s">
        <v>868</v>
      </c>
      <c r="BF43" s="127" t="s">
        <v>868</v>
      </c>
      <c r="BG43" s="128"/>
      <c r="BH43" s="128"/>
      <c r="BI43" s="127" t="s">
        <v>868</v>
      </c>
      <c r="BJ43" s="128"/>
      <c r="BK43" s="128"/>
      <c r="BL43" s="320" t="s">
        <v>870</v>
      </c>
      <c r="BM43" s="320"/>
      <c r="BN43" s="320" t="s">
        <v>868</v>
      </c>
      <c r="BO43" s="128"/>
      <c r="BP43" s="254" t="s">
        <v>870</v>
      </c>
    </row>
    <row r="44" spans="1:68">
      <c r="A44" s="196" t="s">
        <v>863</v>
      </c>
      <c r="B44" s="196" t="s">
        <v>864</v>
      </c>
      <c r="C44" s="196" t="s">
        <v>865</v>
      </c>
      <c r="D44" s="196" t="s">
        <v>959</v>
      </c>
      <c r="E44" s="196"/>
      <c r="F44" s="198" t="s">
        <v>960</v>
      </c>
      <c r="G44" s="98"/>
      <c r="H44" s="98"/>
      <c r="I44" s="98"/>
      <c r="J44" s="192"/>
      <c r="K44" s="196" t="s">
        <v>868</v>
      </c>
      <c r="L44" s="196" t="s">
        <v>868</v>
      </c>
      <c r="M44" s="196" t="s">
        <v>868</v>
      </c>
      <c r="N44" s="196" t="s">
        <v>868</v>
      </c>
      <c r="O44" s="128"/>
      <c r="P44" s="128"/>
      <c r="Q44" s="128"/>
      <c r="R44" s="128"/>
      <c r="S44" s="128"/>
      <c r="T44" s="128"/>
      <c r="U44" s="128"/>
      <c r="V44" s="128"/>
      <c r="W44" s="128"/>
      <c r="X44" s="128"/>
      <c r="Y44" s="128"/>
      <c r="Z44" s="128"/>
      <c r="AA44" s="128"/>
      <c r="AB44" s="128"/>
      <c r="AC44" s="128"/>
      <c r="AD44" s="128"/>
      <c r="AE44" s="128"/>
      <c r="AF44" s="128"/>
      <c r="AG44" s="128"/>
      <c r="AH44" s="128"/>
      <c r="AI44" s="128"/>
      <c r="AJ44" s="196" t="s">
        <v>868</v>
      </c>
      <c r="AK44" s="197" t="s">
        <v>869</v>
      </c>
      <c r="AL44" s="196" t="s">
        <v>868</v>
      </c>
      <c r="AM44" s="196" t="s">
        <v>868</v>
      </c>
      <c r="AN44" s="196" t="s">
        <v>868</v>
      </c>
      <c r="AO44" s="196" t="s">
        <v>868</v>
      </c>
      <c r="AP44" s="196" t="s">
        <v>868</v>
      </c>
      <c r="AQ44" s="196" t="s">
        <v>868</v>
      </c>
      <c r="AR44" s="196" t="s">
        <v>868</v>
      </c>
      <c r="AS44" s="196" t="s">
        <v>868</v>
      </c>
      <c r="AT44" s="196" t="s">
        <v>868</v>
      </c>
      <c r="AU44" s="196" t="s">
        <v>868</v>
      </c>
      <c r="AV44" s="196" t="s">
        <v>868</v>
      </c>
      <c r="AW44" s="196" t="s">
        <v>868</v>
      </c>
      <c r="AX44" s="196" t="s">
        <v>868</v>
      </c>
      <c r="AY44" s="128"/>
      <c r="AZ44" s="128"/>
      <c r="BA44" s="196" t="s">
        <v>868</v>
      </c>
      <c r="BB44" s="196" t="s">
        <v>868</v>
      </c>
      <c r="BC44" s="128"/>
      <c r="BD44" s="128"/>
      <c r="BE44" s="127" t="s">
        <v>868</v>
      </c>
      <c r="BF44" s="127" t="s">
        <v>868</v>
      </c>
      <c r="BG44" s="128"/>
      <c r="BH44" s="128"/>
      <c r="BI44" s="127" t="s">
        <v>868</v>
      </c>
      <c r="BJ44" s="128"/>
      <c r="BK44" s="128"/>
      <c r="BL44" s="320" t="s">
        <v>870</v>
      </c>
      <c r="BM44" s="320"/>
      <c r="BN44" s="320" t="s">
        <v>868</v>
      </c>
      <c r="BO44" s="128"/>
      <c r="BP44" s="254" t="s">
        <v>870</v>
      </c>
    </row>
    <row r="45" spans="1:68">
      <c r="A45" s="196" t="s">
        <v>863</v>
      </c>
      <c r="B45" s="196" t="s">
        <v>864</v>
      </c>
      <c r="C45" s="196" t="s">
        <v>865</v>
      </c>
      <c r="D45" s="196" t="s">
        <v>961</v>
      </c>
      <c r="E45" s="196"/>
      <c r="F45" s="198" t="s">
        <v>962</v>
      </c>
      <c r="G45" s="98"/>
      <c r="H45" s="98"/>
      <c r="I45" s="98"/>
      <c r="J45" s="192"/>
      <c r="K45" s="196" t="s">
        <v>868</v>
      </c>
      <c r="L45" s="196" t="s">
        <v>868</v>
      </c>
      <c r="M45" s="196" t="s">
        <v>868</v>
      </c>
      <c r="N45" s="196" t="s">
        <v>868</v>
      </c>
      <c r="O45" s="128"/>
      <c r="P45" s="128"/>
      <c r="Q45" s="128"/>
      <c r="R45" s="128"/>
      <c r="S45" s="128"/>
      <c r="T45" s="128"/>
      <c r="U45" s="128"/>
      <c r="V45" s="128"/>
      <c r="W45" s="128"/>
      <c r="X45" s="128"/>
      <c r="Y45" s="128"/>
      <c r="Z45" s="128"/>
      <c r="AA45" s="128"/>
      <c r="AB45" s="128"/>
      <c r="AC45" s="128"/>
      <c r="AD45" s="128"/>
      <c r="AE45" s="128"/>
      <c r="AF45" s="128"/>
      <c r="AG45" s="128"/>
      <c r="AH45" s="128"/>
      <c r="AI45" s="128"/>
      <c r="AJ45" s="196" t="s">
        <v>868</v>
      </c>
      <c r="AK45" s="197" t="s">
        <v>869</v>
      </c>
      <c r="AL45" s="196" t="s">
        <v>868</v>
      </c>
      <c r="AM45" s="196" t="s">
        <v>868</v>
      </c>
      <c r="AN45" s="196" t="s">
        <v>868</v>
      </c>
      <c r="AO45" s="196" t="s">
        <v>868</v>
      </c>
      <c r="AP45" s="196" t="s">
        <v>868</v>
      </c>
      <c r="AQ45" s="196" t="s">
        <v>868</v>
      </c>
      <c r="AR45" s="196" t="s">
        <v>868</v>
      </c>
      <c r="AS45" s="196" t="s">
        <v>868</v>
      </c>
      <c r="AT45" s="196" t="s">
        <v>868</v>
      </c>
      <c r="AU45" s="196" t="s">
        <v>868</v>
      </c>
      <c r="AV45" s="196" t="s">
        <v>868</v>
      </c>
      <c r="AW45" s="196" t="s">
        <v>868</v>
      </c>
      <c r="AX45" s="196" t="s">
        <v>868</v>
      </c>
      <c r="AY45" s="128"/>
      <c r="AZ45" s="128"/>
      <c r="BA45" s="196" t="s">
        <v>868</v>
      </c>
      <c r="BB45" s="196" t="s">
        <v>868</v>
      </c>
      <c r="BC45" s="128"/>
      <c r="BD45" s="128"/>
      <c r="BE45" s="127" t="s">
        <v>868</v>
      </c>
      <c r="BF45" s="127" t="s">
        <v>868</v>
      </c>
      <c r="BG45" s="128"/>
      <c r="BH45" s="128"/>
      <c r="BI45" s="127" t="s">
        <v>868</v>
      </c>
      <c r="BJ45" s="128"/>
      <c r="BK45" s="128"/>
      <c r="BL45" s="320" t="s">
        <v>870</v>
      </c>
      <c r="BM45" s="320"/>
      <c r="BN45" s="320" t="s">
        <v>868</v>
      </c>
      <c r="BO45" s="128"/>
      <c r="BP45" s="254" t="s">
        <v>870</v>
      </c>
    </row>
    <row r="46" spans="1:68">
      <c r="A46" s="196" t="s">
        <v>863</v>
      </c>
      <c r="B46" s="196" t="s">
        <v>864</v>
      </c>
      <c r="C46" s="196" t="s">
        <v>865</v>
      </c>
      <c r="D46" s="196" t="s">
        <v>963</v>
      </c>
      <c r="E46" s="196"/>
      <c r="F46" s="198" t="s">
        <v>964</v>
      </c>
      <c r="G46" s="98"/>
      <c r="H46" s="98"/>
      <c r="I46" s="98"/>
      <c r="J46" s="192"/>
      <c r="K46" s="196" t="s">
        <v>868</v>
      </c>
      <c r="L46" s="196" t="s">
        <v>868</v>
      </c>
      <c r="M46" s="196" t="s">
        <v>868</v>
      </c>
      <c r="N46" s="196" t="s">
        <v>868</v>
      </c>
      <c r="O46" s="128"/>
      <c r="P46" s="128"/>
      <c r="Q46" s="128"/>
      <c r="R46" s="128"/>
      <c r="S46" s="128"/>
      <c r="T46" s="128"/>
      <c r="U46" s="128"/>
      <c r="V46" s="128"/>
      <c r="W46" s="128"/>
      <c r="X46" s="128"/>
      <c r="Y46" s="128"/>
      <c r="Z46" s="128"/>
      <c r="AA46" s="128"/>
      <c r="AB46" s="128"/>
      <c r="AC46" s="128"/>
      <c r="AD46" s="128"/>
      <c r="AE46" s="128"/>
      <c r="AF46" s="128"/>
      <c r="AG46" s="128"/>
      <c r="AH46" s="128"/>
      <c r="AI46" s="128"/>
      <c r="AJ46" s="196" t="s">
        <v>868</v>
      </c>
      <c r="AK46" s="197" t="s">
        <v>869</v>
      </c>
      <c r="AL46" s="196" t="s">
        <v>868</v>
      </c>
      <c r="AM46" s="196" t="s">
        <v>868</v>
      </c>
      <c r="AN46" s="196" t="s">
        <v>868</v>
      </c>
      <c r="AO46" s="196" t="s">
        <v>868</v>
      </c>
      <c r="AP46" s="196" t="s">
        <v>868</v>
      </c>
      <c r="AQ46" s="196" t="s">
        <v>868</v>
      </c>
      <c r="AR46" s="196" t="s">
        <v>868</v>
      </c>
      <c r="AS46" s="196" t="s">
        <v>868</v>
      </c>
      <c r="AT46" s="196" t="s">
        <v>868</v>
      </c>
      <c r="AU46" s="196" t="s">
        <v>868</v>
      </c>
      <c r="AV46" s="196" t="s">
        <v>868</v>
      </c>
      <c r="AW46" s="196" t="s">
        <v>868</v>
      </c>
      <c r="AX46" s="196" t="s">
        <v>868</v>
      </c>
      <c r="AY46" s="128"/>
      <c r="AZ46" s="128"/>
      <c r="BA46" s="196" t="s">
        <v>868</v>
      </c>
      <c r="BB46" s="196" t="s">
        <v>868</v>
      </c>
      <c r="BC46" s="128"/>
      <c r="BD46" s="128"/>
      <c r="BE46" s="127" t="s">
        <v>868</v>
      </c>
      <c r="BF46" s="127" t="s">
        <v>868</v>
      </c>
      <c r="BG46" s="128"/>
      <c r="BH46" s="128"/>
      <c r="BI46" s="127" t="s">
        <v>868</v>
      </c>
      <c r="BJ46" s="128"/>
      <c r="BK46" s="128"/>
      <c r="BL46" s="320" t="s">
        <v>870</v>
      </c>
      <c r="BM46" s="320"/>
      <c r="BN46" s="320" t="s">
        <v>868</v>
      </c>
      <c r="BO46" s="128"/>
      <c r="BP46" s="254" t="s">
        <v>870</v>
      </c>
    </row>
    <row r="47" spans="1:68">
      <c r="A47" s="196" t="s">
        <v>863</v>
      </c>
      <c r="B47" s="196" t="s">
        <v>864</v>
      </c>
      <c r="C47" s="196" t="s">
        <v>865</v>
      </c>
      <c r="D47" s="196" t="s">
        <v>965</v>
      </c>
      <c r="E47" s="196"/>
      <c r="F47" s="198" t="s">
        <v>966</v>
      </c>
      <c r="G47" s="98"/>
      <c r="H47" s="98"/>
      <c r="I47" s="98"/>
      <c r="J47" s="192"/>
      <c r="K47" s="196" t="s">
        <v>868</v>
      </c>
      <c r="L47" s="196" t="s">
        <v>868</v>
      </c>
      <c r="M47" s="196" t="s">
        <v>868</v>
      </c>
      <c r="N47" s="196" t="s">
        <v>868</v>
      </c>
      <c r="O47" s="128"/>
      <c r="P47" s="128"/>
      <c r="Q47" s="128"/>
      <c r="R47" s="128"/>
      <c r="S47" s="128"/>
      <c r="T47" s="128"/>
      <c r="U47" s="128"/>
      <c r="V47" s="128"/>
      <c r="W47" s="128"/>
      <c r="X47" s="128"/>
      <c r="Y47" s="128"/>
      <c r="Z47" s="128"/>
      <c r="AA47" s="128"/>
      <c r="AB47" s="128"/>
      <c r="AC47" s="128"/>
      <c r="AD47" s="128"/>
      <c r="AE47" s="128"/>
      <c r="AF47" s="128"/>
      <c r="AG47" s="128"/>
      <c r="AH47" s="128"/>
      <c r="AI47" s="128"/>
      <c r="AJ47" s="196" t="s">
        <v>868</v>
      </c>
      <c r="AK47" s="197" t="s">
        <v>869</v>
      </c>
      <c r="AL47" s="196" t="s">
        <v>868</v>
      </c>
      <c r="AM47" s="196" t="s">
        <v>868</v>
      </c>
      <c r="AN47" s="196" t="s">
        <v>868</v>
      </c>
      <c r="AO47" s="196" t="s">
        <v>868</v>
      </c>
      <c r="AP47" s="196" t="s">
        <v>868</v>
      </c>
      <c r="AQ47" s="196" t="s">
        <v>868</v>
      </c>
      <c r="AR47" s="196" t="s">
        <v>868</v>
      </c>
      <c r="AS47" s="196" t="s">
        <v>868</v>
      </c>
      <c r="AT47" s="196" t="s">
        <v>868</v>
      </c>
      <c r="AU47" s="196" t="s">
        <v>868</v>
      </c>
      <c r="AV47" s="196" t="s">
        <v>868</v>
      </c>
      <c r="AW47" s="196" t="s">
        <v>868</v>
      </c>
      <c r="AX47" s="196" t="s">
        <v>868</v>
      </c>
      <c r="AY47" s="128"/>
      <c r="AZ47" s="128"/>
      <c r="BA47" s="196" t="s">
        <v>868</v>
      </c>
      <c r="BB47" s="196" t="s">
        <v>868</v>
      </c>
      <c r="BC47" s="128"/>
      <c r="BD47" s="128"/>
      <c r="BE47" s="127" t="s">
        <v>868</v>
      </c>
      <c r="BF47" s="127" t="s">
        <v>868</v>
      </c>
      <c r="BG47" s="128"/>
      <c r="BH47" s="128"/>
      <c r="BI47" s="127" t="s">
        <v>868</v>
      </c>
      <c r="BJ47" s="128"/>
      <c r="BK47" s="128"/>
      <c r="BL47" s="320" t="s">
        <v>870</v>
      </c>
      <c r="BM47" s="320"/>
      <c r="BN47" s="320" t="s">
        <v>868</v>
      </c>
      <c r="BO47" s="128"/>
      <c r="BP47" s="254" t="s">
        <v>870</v>
      </c>
    </row>
    <row r="48" spans="1:68">
      <c r="A48" s="196" t="s">
        <v>863</v>
      </c>
      <c r="B48" s="196" t="s">
        <v>864</v>
      </c>
      <c r="C48" s="196" t="s">
        <v>865</v>
      </c>
      <c r="D48" s="196" t="s">
        <v>967</v>
      </c>
      <c r="E48" s="196"/>
      <c r="F48" s="198" t="s">
        <v>968</v>
      </c>
      <c r="G48" s="98"/>
      <c r="H48" s="98"/>
      <c r="I48" s="98"/>
      <c r="J48" s="192"/>
      <c r="K48" s="196" t="s">
        <v>868</v>
      </c>
      <c r="L48" s="196" t="s">
        <v>868</v>
      </c>
      <c r="M48" s="196" t="s">
        <v>868</v>
      </c>
      <c r="N48" s="196" t="s">
        <v>868</v>
      </c>
      <c r="O48" s="128"/>
      <c r="P48" s="128"/>
      <c r="Q48" s="128"/>
      <c r="R48" s="128"/>
      <c r="S48" s="128"/>
      <c r="T48" s="128"/>
      <c r="U48" s="128"/>
      <c r="V48" s="128"/>
      <c r="W48" s="128"/>
      <c r="X48" s="128"/>
      <c r="Y48" s="128"/>
      <c r="Z48" s="128"/>
      <c r="AA48" s="128"/>
      <c r="AB48" s="128"/>
      <c r="AC48" s="128"/>
      <c r="AD48" s="128"/>
      <c r="AE48" s="128"/>
      <c r="AF48" s="128"/>
      <c r="AG48" s="128"/>
      <c r="AH48" s="128"/>
      <c r="AI48" s="128"/>
      <c r="AJ48" s="196" t="s">
        <v>868</v>
      </c>
      <c r="AK48" s="197" t="s">
        <v>869</v>
      </c>
      <c r="AL48" s="196" t="s">
        <v>868</v>
      </c>
      <c r="AM48" s="196" t="s">
        <v>868</v>
      </c>
      <c r="AN48" s="196" t="s">
        <v>868</v>
      </c>
      <c r="AO48" s="196" t="s">
        <v>868</v>
      </c>
      <c r="AP48" s="196" t="s">
        <v>868</v>
      </c>
      <c r="AQ48" s="196" t="s">
        <v>868</v>
      </c>
      <c r="AR48" s="196" t="s">
        <v>868</v>
      </c>
      <c r="AS48" s="196" t="s">
        <v>868</v>
      </c>
      <c r="AT48" s="196" t="s">
        <v>868</v>
      </c>
      <c r="AU48" s="196" t="s">
        <v>868</v>
      </c>
      <c r="AV48" s="196" t="s">
        <v>868</v>
      </c>
      <c r="AW48" s="196" t="s">
        <v>868</v>
      </c>
      <c r="AX48" s="196" t="s">
        <v>868</v>
      </c>
      <c r="AY48" s="128"/>
      <c r="AZ48" s="128"/>
      <c r="BA48" s="196" t="s">
        <v>868</v>
      </c>
      <c r="BB48" s="196" t="s">
        <v>868</v>
      </c>
      <c r="BC48" s="128"/>
      <c r="BD48" s="128"/>
      <c r="BE48" s="127" t="s">
        <v>868</v>
      </c>
      <c r="BF48" s="127" t="s">
        <v>868</v>
      </c>
      <c r="BG48" s="128"/>
      <c r="BH48" s="128"/>
      <c r="BI48" s="127" t="s">
        <v>868</v>
      </c>
      <c r="BJ48" s="128"/>
      <c r="BK48" s="128"/>
      <c r="BL48" s="320" t="s">
        <v>870</v>
      </c>
      <c r="BM48" s="320"/>
      <c r="BN48" s="320" t="s">
        <v>868</v>
      </c>
      <c r="BO48" s="128"/>
      <c r="BP48" s="254" t="s">
        <v>870</v>
      </c>
    </row>
    <row r="49" spans="1:68">
      <c r="A49" s="327" t="s">
        <v>863</v>
      </c>
      <c r="B49" s="327" t="s">
        <v>864</v>
      </c>
      <c r="C49" s="327" t="s">
        <v>969</v>
      </c>
      <c r="D49" s="327" t="s">
        <v>970</v>
      </c>
      <c r="E49" s="327"/>
      <c r="F49" s="328" t="s">
        <v>971</v>
      </c>
      <c r="G49" s="329"/>
      <c r="H49" s="329"/>
      <c r="I49" s="329"/>
      <c r="J49" s="330"/>
      <c r="K49" s="327" t="s">
        <v>868</v>
      </c>
      <c r="L49" s="327" t="s">
        <v>868</v>
      </c>
      <c r="M49" s="327" t="s">
        <v>868</v>
      </c>
      <c r="N49" s="327" t="s">
        <v>868</v>
      </c>
      <c r="O49" s="331"/>
      <c r="P49" s="331"/>
      <c r="Q49" s="331"/>
      <c r="R49" s="331"/>
      <c r="S49" s="331"/>
      <c r="T49" s="331"/>
      <c r="U49" s="331"/>
      <c r="V49" s="331"/>
      <c r="W49" s="331"/>
      <c r="X49" s="331"/>
      <c r="Y49" s="331"/>
      <c r="Z49" s="331"/>
      <c r="AA49" s="331"/>
      <c r="AB49" s="331"/>
      <c r="AC49" s="331"/>
      <c r="AD49" s="331"/>
      <c r="AE49" s="331"/>
      <c r="AF49" s="331"/>
      <c r="AG49" s="331"/>
      <c r="AH49" s="331"/>
      <c r="AI49" s="331"/>
      <c r="AJ49" s="327" t="s">
        <v>868</v>
      </c>
      <c r="AK49" s="332" t="s">
        <v>869</v>
      </c>
      <c r="AL49" s="327" t="s">
        <v>868</v>
      </c>
      <c r="AM49" s="327" t="s">
        <v>868</v>
      </c>
      <c r="AN49" s="327" t="s">
        <v>868</v>
      </c>
      <c r="AO49" s="327" t="s">
        <v>868</v>
      </c>
      <c r="AP49" s="327" t="s">
        <v>868</v>
      </c>
      <c r="AQ49" s="327" t="s">
        <v>868</v>
      </c>
      <c r="AR49" s="327" t="s">
        <v>868</v>
      </c>
      <c r="AS49" s="327" t="s">
        <v>868</v>
      </c>
      <c r="AT49" s="327" t="s">
        <v>868</v>
      </c>
      <c r="AU49" s="327" t="s">
        <v>868</v>
      </c>
      <c r="AV49" s="327" t="s">
        <v>868</v>
      </c>
      <c r="AW49" s="327" t="s">
        <v>868</v>
      </c>
      <c r="AX49" s="327" t="s">
        <v>868</v>
      </c>
      <c r="AY49" s="331"/>
      <c r="AZ49" s="331"/>
      <c r="BA49" s="327" t="s">
        <v>868</v>
      </c>
      <c r="BB49" s="327" t="s">
        <v>868</v>
      </c>
      <c r="BC49" s="331"/>
      <c r="BD49" s="331"/>
      <c r="BE49" s="333" t="s">
        <v>868</v>
      </c>
      <c r="BF49" s="333" t="s">
        <v>868</v>
      </c>
      <c r="BG49" s="331"/>
      <c r="BH49" s="331"/>
      <c r="BI49" s="333" t="s">
        <v>868</v>
      </c>
      <c r="BJ49" s="331"/>
      <c r="BK49" s="331"/>
      <c r="BL49" s="334" t="s">
        <v>870</v>
      </c>
      <c r="BM49" s="334"/>
      <c r="BN49" s="331"/>
      <c r="BO49" s="331"/>
      <c r="BP49" s="340"/>
    </row>
    <row r="50" spans="1:68">
      <c r="A50" s="196" t="s">
        <v>863</v>
      </c>
      <c r="B50" s="196" t="s">
        <v>864</v>
      </c>
      <c r="C50" s="196" t="s">
        <v>969</v>
      </c>
      <c r="D50" s="196" t="s">
        <v>972</v>
      </c>
      <c r="E50" s="196"/>
      <c r="F50" s="198" t="s">
        <v>971</v>
      </c>
      <c r="G50" s="98"/>
      <c r="H50" s="98"/>
      <c r="I50" s="98"/>
      <c r="K50" s="196" t="s">
        <v>868</v>
      </c>
      <c r="L50" s="196" t="s">
        <v>868</v>
      </c>
      <c r="M50" s="196" t="s">
        <v>868</v>
      </c>
      <c r="N50" s="196" t="s">
        <v>868</v>
      </c>
      <c r="O50" s="128"/>
      <c r="P50" s="128"/>
      <c r="Q50" s="128"/>
      <c r="R50" s="128"/>
      <c r="S50" s="128"/>
      <c r="T50" s="128"/>
      <c r="U50" s="128"/>
      <c r="V50" s="128"/>
      <c r="W50" s="128"/>
      <c r="X50" s="128"/>
      <c r="Y50" s="128"/>
      <c r="Z50" s="128"/>
      <c r="AA50" s="128"/>
      <c r="AB50" s="128"/>
      <c r="AC50" s="128"/>
      <c r="AD50" s="128"/>
      <c r="AE50" s="128"/>
      <c r="AF50" s="128"/>
      <c r="AG50" s="128"/>
      <c r="AH50" s="128"/>
      <c r="AI50" s="128"/>
      <c r="AJ50" s="196" t="s">
        <v>868</v>
      </c>
      <c r="AK50" s="197" t="s">
        <v>869</v>
      </c>
      <c r="AL50" s="196" t="s">
        <v>868</v>
      </c>
      <c r="AM50" s="196" t="s">
        <v>868</v>
      </c>
      <c r="AN50" s="196" t="s">
        <v>868</v>
      </c>
      <c r="AO50" s="196" t="s">
        <v>868</v>
      </c>
      <c r="AP50" s="196" t="s">
        <v>868</v>
      </c>
      <c r="AQ50" s="196" t="s">
        <v>868</v>
      </c>
      <c r="AR50" s="196" t="s">
        <v>868</v>
      </c>
      <c r="AS50" s="196" t="s">
        <v>868</v>
      </c>
      <c r="AT50" s="196" t="s">
        <v>868</v>
      </c>
      <c r="AU50" s="196" t="s">
        <v>868</v>
      </c>
      <c r="AV50" s="196" t="s">
        <v>868</v>
      </c>
      <c r="AW50" s="196" t="s">
        <v>868</v>
      </c>
      <c r="AX50" s="196" t="s">
        <v>868</v>
      </c>
      <c r="AY50" s="128"/>
      <c r="AZ50" s="128"/>
      <c r="BA50" s="196" t="s">
        <v>868</v>
      </c>
      <c r="BB50" s="196" t="s">
        <v>868</v>
      </c>
      <c r="BC50" s="128"/>
      <c r="BD50" s="128"/>
      <c r="BE50" s="127" t="s">
        <v>868</v>
      </c>
      <c r="BF50" s="127" t="s">
        <v>868</v>
      </c>
      <c r="BG50" s="128"/>
      <c r="BH50" s="128"/>
      <c r="BI50" s="127" t="s">
        <v>868</v>
      </c>
      <c r="BJ50" s="128"/>
      <c r="BK50" s="128"/>
      <c r="BL50" s="320" t="s">
        <v>870</v>
      </c>
      <c r="BM50" s="320"/>
      <c r="BN50" s="320" t="s">
        <v>868</v>
      </c>
      <c r="BO50" s="128"/>
      <c r="BP50" s="254" t="s">
        <v>870</v>
      </c>
    </row>
    <row r="51" spans="1:68">
      <c r="A51" s="196" t="s">
        <v>863</v>
      </c>
      <c r="B51" s="196" t="s">
        <v>864</v>
      </c>
      <c r="C51" s="196" t="s">
        <v>969</v>
      </c>
      <c r="D51" s="196" t="s">
        <v>973</v>
      </c>
      <c r="E51" s="196"/>
      <c r="F51" s="198" t="s">
        <v>974</v>
      </c>
      <c r="G51" s="98"/>
      <c r="H51" s="98"/>
      <c r="I51" s="98"/>
      <c r="K51" s="196" t="s">
        <v>868</v>
      </c>
      <c r="L51" s="196" t="s">
        <v>868</v>
      </c>
      <c r="M51" s="196" t="s">
        <v>868</v>
      </c>
      <c r="N51" s="196" t="s">
        <v>868</v>
      </c>
      <c r="O51" s="128"/>
      <c r="P51" s="128"/>
      <c r="Q51" s="128"/>
      <c r="R51" s="128"/>
      <c r="S51" s="128"/>
      <c r="T51" s="128"/>
      <c r="U51" s="128"/>
      <c r="V51" s="128"/>
      <c r="W51" s="128"/>
      <c r="X51" s="128"/>
      <c r="Y51" s="128"/>
      <c r="Z51" s="128"/>
      <c r="AA51" s="128"/>
      <c r="AB51" s="128"/>
      <c r="AC51" s="128"/>
      <c r="AD51" s="128"/>
      <c r="AE51" s="128"/>
      <c r="AF51" s="128"/>
      <c r="AG51" s="128"/>
      <c r="AH51" s="128"/>
      <c r="AI51" s="128"/>
      <c r="AJ51" s="196"/>
      <c r="AK51" s="197"/>
      <c r="AL51" s="196"/>
      <c r="AM51" s="196"/>
      <c r="AN51" s="196"/>
      <c r="AO51" s="196"/>
      <c r="AP51" s="196"/>
      <c r="AQ51" s="196"/>
      <c r="AR51" s="196"/>
      <c r="AS51" s="196"/>
      <c r="AT51" s="196"/>
      <c r="AU51" s="196"/>
      <c r="AV51" s="196"/>
      <c r="AW51" s="196"/>
      <c r="AX51" s="196"/>
      <c r="AY51" s="128"/>
      <c r="AZ51" s="128"/>
      <c r="BA51" s="196" t="s">
        <v>868</v>
      </c>
      <c r="BB51" s="196" t="s">
        <v>868</v>
      </c>
      <c r="BC51" s="128"/>
      <c r="BD51" s="128"/>
      <c r="BE51" s="127" t="s">
        <v>868</v>
      </c>
      <c r="BF51" s="127" t="s">
        <v>868</v>
      </c>
      <c r="BG51" s="128"/>
      <c r="BH51" s="128"/>
      <c r="BI51" s="127" t="s">
        <v>868</v>
      </c>
      <c r="BJ51" s="128"/>
      <c r="BK51" s="128"/>
      <c r="BL51" s="320" t="s">
        <v>870</v>
      </c>
      <c r="BM51" s="320"/>
      <c r="BN51" s="320" t="s">
        <v>868</v>
      </c>
      <c r="BO51" s="128"/>
      <c r="BP51" s="254" t="s">
        <v>870</v>
      </c>
    </row>
    <row r="52" spans="1:68" ht="30.75" thickBot="1">
      <c r="A52" s="232" t="s">
        <v>863</v>
      </c>
      <c r="B52" s="232" t="s">
        <v>864</v>
      </c>
      <c r="C52" s="232" t="s">
        <v>969</v>
      </c>
      <c r="D52" s="232" t="s">
        <v>975</v>
      </c>
      <c r="E52" s="232"/>
      <c r="F52" s="233" t="s">
        <v>974</v>
      </c>
      <c r="G52" s="234"/>
      <c r="H52" s="234"/>
      <c r="I52" s="234"/>
      <c r="K52" s="196" t="s">
        <v>868</v>
      </c>
      <c r="L52" s="196" t="s">
        <v>868</v>
      </c>
      <c r="M52" s="196" t="s">
        <v>868</v>
      </c>
      <c r="N52" s="196" t="s">
        <v>868</v>
      </c>
      <c r="O52" s="128"/>
      <c r="P52" s="128"/>
      <c r="Q52" s="128"/>
      <c r="R52" s="128"/>
      <c r="S52" s="128"/>
      <c r="T52" s="128"/>
      <c r="U52" s="128"/>
      <c r="V52" s="128"/>
      <c r="W52" s="128"/>
      <c r="X52" s="128"/>
      <c r="Y52" s="128"/>
      <c r="Z52" s="128"/>
      <c r="AA52" s="128"/>
      <c r="AB52" s="128"/>
      <c r="AC52" s="128"/>
      <c r="AD52" s="128"/>
      <c r="AE52" s="128"/>
      <c r="AF52" s="128"/>
      <c r="AG52" s="128"/>
      <c r="AH52" s="128"/>
      <c r="AI52" s="128"/>
      <c r="AJ52" s="196"/>
      <c r="AK52" s="197"/>
      <c r="AL52" s="196"/>
      <c r="AM52" s="196"/>
      <c r="AN52" s="196"/>
      <c r="AO52" s="196"/>
      <c r="AP52" s="196"/>
      <c r="AQ52" s="196"/>
      <c r="AR52" s="196"/>
      <c r="AS52" s="196"/>
      <c r="AT52" s="196"/>
      <c r="AU52" s="196"/>
      <c r="AV52" s="196"/>
      <c r="AW52" s="196"/>
      <c r="AX52" s="196"/>
      <c r="AY52" s="128"/>
      <c r="AZ52" s="128"/>
      <c r="BA52" s="196" t="s">
        <v>868</v>
      </c>
      <c r="BB52" s="196" t="s">
        <v>868</v>
      </c>
      <c r="BC52" s="128"/>
      <c r="BD52" s="128"/>
      <c r="BE52" s="127" t="s">
        <v>868</v>
      </c>
      <c r="BF52" s="127" t="s">
        <v>868</v>
      </c>
      <c r="BG52" s="128"/>
      <c r="BH52" s="128"/>
      <c r="BI52" s="127" t="s">
        <v>868</v>
      </c>
      <c r="BJ52" s="128"/>
      <c r="BK52" s="128"/>
      <c r="BL52" s="320" t="s">
        <v>870</v>
      </c>
      <c r="BM52" s="320"/>
      <c r="BN52" s="320" t="s">
        <v>868</v>
      </c>
      <c r="BO52" s="128"/>
      <c r="BP52" s="254" t="s">
        <v>870</v>
      </c>
    </row>
    <row r="53" spans="1:68" ht="30">
      <c r="A53" s="230" t="s">
        <v>976</v>
      </c>
      <c r="B53" s="230" t="s">
        <v>864</v>
      </c>
      <c r="C53" s="230" t="s">
        <v>969</v>
      </c>
      <c r="D53" s="230" t="s">
        <v>975</v>
      </c>
      <c r="E53" s="230"/>
      <c r="F53" s="231" t="s">
        <v>974</v>
      </c>
      <c r="G53" s="282">
        <f>VLOOKUP(D53,'2024 NPI'!D:L,3,0)</f>
        <v>45183</v>
      </c>
      <c r="H53" s="282">
        <f>VLOOKUP(D53,'2024 NPI'!D:L,4,0)</f>
        <v>45211</v>
      </c>
      <c r="I53" s="250" t="s">
        <v>977</v>
      </c>
      <c r="K53" s="253" t="s">
        <v>868</v>
      </c>
      <c r="L53" s="253" t="s">
        <v>868</v>
      </c>
      <c r="M53" s="253" t="s">
        <v>868</v>
      </c>
      <c r="N53" s="253" t="s">
        <v>868</v>
      </c>
      <c r="O53" s="253" t="s">
        <v>978</v>
      </c>
      <c r="P53" s="253" t="s">
        <v>978</v>
      </c>
      <c r="Q53" s="253" t="s">
        <v>978</v>
      </c>
      <c r="R53" s="253" t="s">
        <v>978</v>
      </c>
      <c r="S53" s="253" t="s">
        <v>978</v>
      </c>
      <c r="T53" s="253" t="s">
        <v>978</v>
      </c>
      <c r="U53" s="253" t="s">
        <v>978</v>
      </c>
      <c r="V53" s="253" t="s">
        <v>978</v>
      </c>
      <c r="W53" s="253" t="s">
        <v>978</v>
      </c>
      <c r="X53" s="253" t="s">
        <v>978</v>
      </c>
      <c r="Y53" s="253" t="s">
        <v>978</v>
      </c>
      <c r="Z53" s="253" t="s">
        <v>978</v>
      </c>
      <c r="AA53" s="253" t="s">
        <v>978</v>
      </c>
      <c r="AB53" s="254" t="s">
        <v>870</v>
      </c>
      <c r="AC53" s="254" t="s">
        <v>870</v>
      </c>
      <c r="AD53" s="254" t="s">
        <v>870</v>
      </c>
      <c r="AE53" s="254" t="s">
        <v>870</v>
      </c>
      <c r="AF53" s="254" t="s">
        <v>870</v>
      </c>
      <c r="AG53" s="254" t="s">
        <v>870</v>
      </c>
      <c r="AH53" s="254" t="s">
        <v>870</v>
      </c>
      <c r="AI53" s="254"/>
      <c r="AJ53" s="253" t="s">
        <v>978</v>
      </c>
      <c r="AK53" s="253" t="s">
        <v>978</v>
      </c>
      <c r="AL53" s="253" t="s">
        <v>978</v>
      </c>
      <c r="AM53" s="253" t="s">
        <v>978</v>
      </c>
      <c r="AN53" s="253" t="s">
        <v>978</v>
      </c>
      <c r="AO53" s="253" t="s">
        <v>978</v>
      </c>
      <c r="AP53" s="253" t="s">
        <v>978</v>
      </c>
      <c r="AQ53" s="253" t="s">
        <v>978</v>
      </c>
      <c r="AR53" s="253" t="s">
        <v>978</v>
      </c>
      <c r="AS53" s="253" t="s">
        <v>978</v>
      </c>
      <c r="AT53" s="253" t="s">
        <v>978</v>
      </c>
      <c r="AU53" s="253" t="s">
        <v>978</v>
      </c>
      <c r="AV53" s="253" t="s">
        <v>978</v>
      </c>
      <c r="AW53" s="253" t="s">
        <v>978</v>
      </c>
      <c r="AX53" s="253" t="s">
        <v>978</v>
      </c>
      <c r="AY53" s="253" t="s">
        <v>978</v>
      </c>
      <c r="AZ53" s="253" t="s">
        <v>978</v>
      </c>
      <c r="BA53" s="253" t="s">
        <v>978</v>
      </c>
      <c r="BB53" s="253" t="s">
        <v>978</v>
      </c>
      <c r="BC53" s="254" t="s">
        <v>870</v>
      </c>
      <c r="BD53" s="254" t="s">
        <v>870</v>
      </c>
      <c r="BE53" s="254" t="s">
        <v>868</v>
      </c>
      <c r="BF53" s="254" t="s">
        <v>868</v>
      </c>
      <c r="BG53" s="253" t="s">
        <v>978</v>
      </c>
      <c r="BH53" s="253"/>
      <c r="BI53" s="254" t="s">
        <v>868</v>
      </c>
      <c r="BJ53" s="254" t="s">
        <v>870</v>
      </c>
      <c r="BK53" s="254" t="s">
        <v>870</v>
      </c>
      <c r="BL53" s="320" t="s">
        <v>870</v>
      </c>
      <c r="BM53" s="320"/>
      <c r="BN53" s="320" t="s">
        <v>868</v>
      </c>
      <c r="BO53" s="128"/>
      <c r="BP53" s="254" t="s">
        <v>870</v>
      </c>
    </row>
    <row r="54" spans="1:68">
      <c r="A54" s="196" t="s">
        <v>976</v>
      </c>
      <c r="B54" s="196" t="s">
        <v>864</v>
      </c>
      <c r="C54" s="196" t="s">
        <v>880</v>
      </c>
      <c r="D54" s="196" t="s">
        <v>979</v>
      </c>
      <c r="E54" s="196"/>
      <c r="F54" s="198" t="s">
        <v>980</v>
      </c>
      <c r="G54" s="282">
        <f>VLOOKUP(D54,'2024 NPI'!D:L,3,0)</f>
        <v>45274</v>
      </c>
      <c r="H54" s="282">
        <f>VLOOKUP(D54,'2024 NPI'!D:L,4,0)</f>
        <v>45295</v>
      </c>
      <c r="I54" s="235"/>
      <c r="K54" s="253" t="s">
        <v>868</v>
      </c>
      <c r="L54" s="253" t="s">
        <v>868</v>
      </c>
      <c r="M54" s="253" t="s">
        <v>868</v>
      </c>
      <c r="N54" s="253" t="s">
        <v>868</v>
      </c>
      <c r="O54" s="253" t="s">
        <v>978</v>
      </c>
      <c r="P54" s="253" t="s">
        <v>978</v>
      </c>
      <c r="Q54" s="253" t="s">
        <v>978</v>
      </c>
      <c r="R54" s="253" t="s">
        <v>978</v>
      </c>
      <c r="S54" s="253" t="s">
        <v>978</v>
      </c>
      <c r="T54" s="253" t="s">
        <v>978</v>
      </c>
      <c r="U54" s="253" t="s">
        <v>978</v>
      </c>
      <c r="V54" s="253" t="s">
        <v>978</v>
      </c>
      <c r="W54" s="253" t="s">
        <v>978</v>
      </c>
      <c r="X54" s="253" t="s">
        <v>978</v>
      </c>
      <c r="Y54" s="253" t="s">
        <v>978</v>
      </c>
      <c r="Z54" s="253" t="s">
        <v>978</v>
      </c>
      <c r="AA54" s="253" t="s">
        <v>978</v>
      </c>
      <c r="AB54" s="254" t="s">
        <v>870</v>
      </c>
      <c r="AC54" s="254" t="s">
        <v>870</v>
      </c>
      <c r="AD54" s="254" t="s">
        <v>870</v>
      </c>
      <c r="AE54" s="254" t="s">
        <v>870</v>
      </c>
      <c r="AF54" s="254" t="s">
        <v>870</v>
      </c>
      <c r="AG54" s="254" t="s">
        <v>870</v>
      </c>
      <c r="AH54" s="254" t="s">
        <v>870</v>
      </c>
      <c r="AI54" s="254"/>
      <c r="AJ54" s="253" t="s">
        <v>978</v>
      </c>
      <c r="AK54" s="253" t="s">
        <v>978</v>
      </c>
      <c r="AL54" s="253" t="s">
        <v>978</v>
      </c>
      <c r="AM54" s="253" t="s">
        <v>978</v>
      </c>
      <c r="AN54" s="253" t="s">
        <v>978</v>
      </c>
      <c r="AO54" s="253" t="s">
        <v>978</v>
      </c>
      <c r="AP54" s="253" t="s">
        <v>978</v>
      </c>
      <c r="AQ54" s="253" t="s">
        <v>978</v>
      </c>
      <c r="AR54" s="253" t="s">
        <v>978</v>
      </c>
      <c r="AS54" s="253" t="s">
        <v>978</v>
      </c>
      <c r="AT54" s="253" t="s">
        <v>978</v>
      </c>
      <c r="AU54" s="253" t="s">
        <v>978</v>
      </c>
      <c r="AV54" s="253" t="s">
        <v>978</v>
      </c>
      <c r="AW54" s="253" t="s">
        <v>978</v>
      </c>
      <c r="AX54" s="253" t="s">
        <v>978</v>
      </c>
      <c r="AY54" s="253" t="s">
        <v>978</v>
      </c>
      <c r="AZ54" s="253" t="s">
        <v>978</v>
      </c>
      <c r="BA54" s="253" t="s">
        <v>978</v>
      </c>
      <c r="BB54" s="253" t="s">
        <v>978</v>
      </c>
      <c r="BC54" s="254" t="s">
        <v>870</v>
      </c>
      <c r="BD54" s="254" t="s">
        <v>870</v>
      </c>
      <c r="BE54" s="254" t="s">
        <v>868</v>
      </c>
      <c r="BF54" s="254" t="s">
        <v>868</v>
      </c>
      <c r="BG54" s="254" t="s">
        <v>868</v>
      </c>
      <c r="BH54" s="254"/>
      <c r="BI54" s="254" t="s">
        <v>868</v>
      </c>
      <c r="BJ54" s="254" t="s">
        <v>870</v>
      </c>
      <c r="BK54" s="254" t="s">
        <v>868</v>
      </c>
      <c r="BL54" s="320" t="s">
        <v>870</v>
      </c>
      <c r="BM54" s="320"/>
      <c r="BN54" s="320" t="s">
        <v>868</v>
      </c>
      <c r="BO54" s="128"/>
      <c r="BP54" s="254" t="s">
        <v>870</v>
      </c>
    </row>
    <row r="55" spans="1:68">
      <c r="A55" s="196" t="s">
        <v>976</v>
      </c>
      <c r="B55" s="196" t="s">
        <v>864</v>
      </c>
      <c r="C55" s="196" t="s">
        <v>880</v>
      </c>
      <c r="D55" s="196" t="s">
        <v>981</v>
      </c>
      <c r="E55" s="196"/>
      <c r="F55" s="198" t="s">
        <v>982</v>
      </c>
      <c r="G55" s="282">
        <f>VLOOKUP(D55,'2024 NPI'!D:L,3,0)</f>
        <v>45274</v>
      </c>
      <c r="H55" s="282">
        <f>VLOOKUP(D55,'2024 NPI'!D:L,4,0)</f>
        <v>45295</v>
      </c>
      <c r="I55" s="235"/>
      <c r="K55" s="253" t="s">
        <v>868</v>
      </c>
      <c r="L55" s="253" t="s">
        <v>868</v>
      </c>
      <c r="M55" s="253" t="s">
        <v>868</v>
      </c>
      <c r="N55" s="253" t="s">
        <v>868</v>
      </c>
      <c r="O55" s="253" t="s">
        <v>978</v>
      </c>
      <c r="P55" s="253" t="s">
        <v>978</v>
      </c>
      <c r="Q55" s="253" t="s">
        <v>978</v>
      </c>
      <c r="R55" s="253" t="s">
        <v>978</v>
      </c>
      <c r="S55" s="253" t="s">
        <v>978</v>
      </c>
      <c r="T55" s="253" t="s">
        <v>978</v>
      </c>
      <c r="U55" s="253" t="s">
        <v>978</v>
      </c>
      <c r="V55" s="253" t="s">
        <v>978</v>
      </c>
      <c r="W55" s="253" t="s">
        <v>978</v>
      </c>
      <c r="X55" s="253" t="s">
        <v>978</v>
      </c>
      <c r="Y55" s="253" t="s">
        <v>978</v>
      </c>
      <c r="Z55" s="253" t="s">
        <v>978</v>
      </c>
      <c r="AA55" s="253" t="s">
        <v>978</v>
      </c>
      <c r="AB55" s="254" t="s">
        <v>870</v>
      </c>
      <c r="AC55" s="254" t="s">
        <v>870</v>
      </c>
      <c r="AD55" s="254" t="s">
        <v>870</v>
      </c>
      <c r="AE55" s="254" t="s">
        <v>870</v>
      </c>
      <c r="AF55" s="254" t="s">
        <v>870</v>
      </c>
      <c r="AG55" s="254" t="s">
        <v>870</v>
      </c>
      <c r="AH55" s="254" t="s">
        <v>870</v>
      </c>
      <c r="AI55" s="254"/>
      <c r="AJ55" s="253" t="s">
        <v>978</v>
      </c>
      <c r="AK55" s="253" t="s">
        <v>978</v>
      </c>
      <c r="AL55" s="253" t="s">
        <v>978</v>
      </c>
      <c r="AM55" s="253" t="s">
        <v>978</v>
      </c>
      <c r="AN55" s="253" t="s">
        <v>978</v>
      </c>
      <c r="AO55" s="253" t="s">
        <v>978</v>
      </c>
      <c r="AP55" s="253" t="s">
        <v>978</v>
      </c>
      <c r="AQ55" s="253" t="s">
        <v>978</v>
      </c>
      <c r="AR55" s="253" t="s">
        <v>978</v>
      </c>
      <c r="AS55" s="253" t="s">
        <v>978</v>
      </c>
      <c r="AT55" s="253" t="s">
        <v>978</v>
      </c>
      <c r="AU55" s="253" t="s">
        <v>978</v>
      </c>
      <c r="AV55" s="253" t="s">
        <v>978</v>
      </c>
      <c r="AW55" s="253" t="s">
        <v>978</v>
      </c>
      <c r="AX55" s="253" t="s">
        <v>978</v>
      </c>
      <c r="AY55" s="253" t="s">
        <v>978</v>
      </c>
      <c r="AZ55" s="253" t="s">
        <v>978</v>
      </c>
      <c r="BA55" s="253" t="s">
        <v>978</v>
      </c>
      <c r="BB55" s="253" t="s">
        <v>978</v>
      </c>
      <c r="BC55" s="254" t="s">
        <v>870</v>
      </c>
      <c r="BD55" s="254" t="s">
        <v>870</v>
      </c>
      <c r="BE55" s="254" t="s">
        <v>868</v>
      </c>
      <c r="BF55" s="254" t="s">
        <v>868</v>
      </c>
      <c r="BG55" s="254" t="s">
        <v>868</v>
      </c>
      <c r="BH55" s="254"/>
      <c r="BI55" s="254" t="s">
        <v>868</v>
      </c>
      <c r="BJ55" s="254" t="s">
        <v>870</v>
      </c>
      <c r="BK55" s="254" t="s">
        <v>868</v>
      </c>
      <c r="BL55" s="320" t="s">
        <v>870</v>
      </c>
      <c r="BM55" s="320"/>
      <c r="BN55" s="320" t="s">
        <v>868</v>
      </c>
      <c r="BO55" s="128"/>
      <c r="BP55" s="254" t="s">
        <v>870</v>
      </c>
    </row>
    <row r="56" spans="1:68">
      <c r="A56" s="196" t="s">
        <v>976</v>
      </c>
      <c r="B56" s="196" t="s">
        <v>864</v>
      </c>
      <c r="C56" s="196" t="s">
        <v>880</v>
      </c>
      <c r="D56" s="196" t="s">
        <v>983</v>
      </c>
      <c r="E56" s="196"/>
      <c r="F56" s="198" t="s">
        <v>984</v>
      </c>
      <c r="G56" s="282">
        <f>VLOOKUP(D56,'2024 NPI'!D:L,3,0)</f>
        <v>45274</v>
      </c>
      <c r="H56" s="282">
        <f>VLOOKUP(D56,'2024 NPI'!D:L,4,0)</f>
        <v>45295</v>
      </c>
      <c r="I56" s="235"/>
      <c r="K56" s="253" t="s">
        <v>868</v>
      </c>
      <c r="L56" s="253" t="s">
        <v>868</v>
      </c>
      <c r="M56" s="253" t="s">
        <v>868</v>
      </c>
      <c r="N56" s="253" t="s">
        <v>868</v>
      </c>
      <c r="O56" s="253" t="s">
        <v>978</v>
      </c>
      <c r="P56" s="253" t="s">
        <v>978</v>
      </c>
      <c r="Q56" s="253" t="s">
        <v>978</v>
      </c>
      <c r="R56" s="253" t="s">
        <v>978</v>
      </c>
      <c r="S56" s="253" t="s">
        <v>978</v>
      </c>
      <c r="T56" s="253" t="s">
        <v>978</v>
      </c>
      <c r="U56" s="253" t="s">
        <v>978</v>
      </c>
      <c r="V56" s="253" t="s">
        <v>978</v>
      </c>
      <c r="W56" s="253" t="s">
        <v>978</v>
      </c>
      <c r="X56" s="253" t="s">
        <v>978</v>
      </c>
      <c r="Y56" s="253" t="s">
        <v>978</v>
      </c>
      <c r="Z56" s="253" t="s">
        <v>978</v>
      </c>
      <c r="AA56" s="253" t="s">
        <v>978</v>
      </c>
      <c r="AB56" s="254" t="s">
        <v>870</v>
      </c>
      <c r="AC56" s="254" t="s">
        <v>870</v>
      </c>
      <c r="AD56" s="254" t="s">
        <v>870</v>
      </c>
      <c r="AE56" s="254" t="s">
        <v>870</v>
      </c>
      <c r="AF56" s="254" t="s">
        <v>870</v>
      </c>
      <c r="AG56" s="254" t="s">
        <v>870</v>
      </c>
      <c r="AH56" s="254" t="s">
        <v>870</v>
      </c>
      <c r="AI56" s="254"/>
      <c r="AJ56" s="253" t="s">
        <v>978</v>
      </c>
      <c r="AK56" s="253" t="s">
        <v>978</v>
      </c>
      <c r="AL56" s="253" t="s">
        <v>978</v>
      </c>
      <c r="AM56" s="253" t="s">
        <v>978</v>
      </c>
      <c r="AN56" s="253" t="s">
        <v>978</v>
      </c>
      <c r="AO56" s="253" t="s">
        <v>978</v>
      </c>
      <c r="AP56" s="253" t="s">
        <v>978</v>
      </c>
      <c r="AQ56" s="253" t="s">
        <v>978</v>
      </c>
      <c r="AR56" s="253" t="s">
        <v>978</v>
      </c>
      <c r="AS56" s="253" t="s">
        <v>978</v>
      </c>
      <c r="AT56" s="253" t="s">
        <v>978</v>
      </c>
      <c r="AU56" s="253" t="s">
        <v>978</v>
      </c>
      <c r="AV56" s="253" t="s">
        <v>978</v>
      </c>
      <c r="AW56" s="253" t="s">
        <v>978</v>
      </c>
      <c r="AX56" s="253" t="s">
        <v>978</v>
      </c>
      <c r="AY56" s="253" t="s">
        <v>978</v>
      </c>
      <c r="AZ56" s="253" t="s">
        <v>978</v>
      </c>
      <c r="BA56" s="253" t="s">
        <v>978</v>
      </c>
      <c r="BB56" s="253" t="s">
        <v>978</v>
      </c>
      <c r="BC56" s="254" t="s">
        <v>870</v>
      </c>
      <c r="BD56" s="254" t="s">
        <v>870</v>
      </c>
      <c r="BE56" s="254" t="s">
        <v>868</v>
      </c>
      <c r="BF56" s="254" t="s">
        <v>868</v>
      </c>
      <c r="BG56" s="254" t="s">
        <v>868</v>
      </c>
      <c r="BH56" s="254"/>
      <c r="BI56" s="254" t="s">
        <v>868</v>
      </c>
      <c r="BJ56" s="254" t="s">
        <v>870</v>
      </c>
      <c r="BK56" s="254" t="s">
        <v>868</v>
      </c>
      <c r="BL56" s="320" t="s">
        <v>870</v>
      </c>
      <c r="BM56" s="320"/>
      <c r="BN56" s="320" t="s">
        <v>868</v>
      </c>
      <c r="BO56" s="128"/>
      <c r="BP56" s="254" t="s">
        <v>870</v>
      </c>
    </row>
    <row r="57" spans="1:68" ht="30">
      <c r="A57" s="196" t="s">
        <v>976</v>
      </c>
      <c r="B57" s="196" t="s">
        <v>864</v>
      </c>
      <c r="C57" s="196" t="s">
        <v>880</v>
      </c>
      <c r="D57" s="196" t="s">
        <v>985</v>
      </c>
      <c r="E57" s="196"/>
      <c r="F57" s="198" t="s">
        <v>986</v>
      </c>
      <c r="G57" s="282">
        <f>VLOOKUP(D57,'2024 NPI'!D:L,3,0)</f>
        <v>45274</v>
      </c>
      <c r="H57" s="282">
        <f>VLOOKUP(D57,'2024 NPI'!D:L,4,0)</f>
        <v>45295</v>
      </c>
      <c r="I57" s="235"/>
      <c r="K57" s="253" t="s">
        <v>868</v>
      </c>
      <c r="L57" s="253" t="s">
        <v>868</v>
      </c>
      <c r="M57" s="253" t="s">
        <v>868</v>
      </c>
      <c r="N57" s="253" t="s">
        <v>868</v>
      </c>
      <c r="O57" s="253" t="s">
        <v>978</v>
      </c>
      <c r="P57" s="253" t="s">
        <v>978</v>
      </c>
      <c r="Q57" s="253" t="s">
        <v>978</v>
      </c>
      <c r="R57" s="253" t="s">
        <v>978</v>
      </c>
      <c r="S57" s="253" t="s">
        <v>978</v>
      </c>
      <c r="T57" s="253" t="s">
        <v>978</v>
      </c>
      <c r="U57" s="253" t="s">
        <v>978</v>
      </c>
      <c r="V57" s="253" t="s">
        <v>978</v>
      </c>
      <c r="W57" s="253" t="s">
        <v>978</v>
      </c>
      <c r="X57" s="253" t="s">
        <v>978</v>
      </c>
      <c r="Y57" s="253" t="s">
        <v>978</v>
      </c>
      <c r="Z57" s="253" t="s">
        <v>978</v>
      </c>
      <c r="AA57" s="253" t="s">
        <v>978</v>
      </c>
      <c r="AB57" s="254" t="s">
        <v>870</v>
      </c>
      <c r="AC57" s="254" t="s">
        <v>870</v>
      </c>
      <c r="AD57" s="254" t="s">
        <v>870</v>
      </c>
      <c r="AE57" s="254" t="s">
        <v>870</v>
      </c>
      <c r="AF57" s="254" t="s">
        <v>870</v>
      </c>
      <c r="AG57" s="254" t="s">
        <v>870</v>
      </c>
      <c r="AH57" s="254" t="s">
        <v>870</v>
      </c>
      <c r="AI57" s="254"/>
      <c r="AJ57" s="253" t="s">
        <v>978</v>
      </c>
      <c r="AK57" s="253" t="s">
        <v>978</v>
      </c>
      <c r="AL57" s="253" t="s">
        <v>978</v>
      </c>
      <c r="AM57" s="253" t="s">
        <v>978</v>
      </c>
      <c r="AN57" s="253" t="s">
        <v>978</v>
      </c>
      <c r="AO57" s="253" t="s">
        <v>978</v>
      </c>
      <c r="AP57" s="253" t="s">
        <v>978</v>
      </c>
      <c r="AQ57" s="253" t="s">
        <v>978</v>
      </c>
      <c r="AR57" s="253" t="s">
        <v>978</v>
      </c>
      <c r="AS57" s="253" t="s">
        <v>978</v>
      </c>
      <c r="AT57" s="253" t="s">
        <v>978</v>
      </c>
      <c r="AU57" s="253" t="s">
        <v>978</v>
      </c>
      <c r="AV57" s="253" t="s">
        <v>978</v>
      </c>
      <c r="AW57" s="253" t="s">
        <v>978</v>
      </c>
      <c r="AX57" s="253" t="s">
        <v>978</v>
      </c>
      <c r="AY57" s="253" t="s">
        <v>978</v>
      </c>
      <c r="AZ57" s="253" t="s">
        <v>978</v>
      </c>
      <c r="BA57" s="253" t="s">
        <v>978</v>
      </c>
      <c r="BB57" s="253" t="s">
        <v>978</v>
      </c>
      <c r="BC57" s="254" t="s">
        <v>870</v>
      </c>
      <c r="BD57" s="254" t="s">
        <v>870</v>
      </c>
      <c r="BE57" s="254" t="s">
        <v>868</v>
      </c>
      <c r="BF57" s="254" t="s">
        <v>868</v>
      </c>
      <c r="BG57" s="254" t="s">
        <v>868</v>
      </c>
      <c r="BH57" s="254"/>
      <c r="BI57" s="254" t="s">
        <v>868</v>
      </c>
      <c r="BJ57" s="254" t="s">
        <v>868</v>
      </c>
      <c r="BK57" s="254" t="s">
        <v>868</v>
      </c>
      <c r="BL57" s="320" t="s">
        <v>870</v>
      </c>
      <c r="BM57" s="320"/>
      <c r="BN57" s="320" t="s">
        <v>868</v>
      </c>
      <c r="BO57" s="128"/>
      <c r="BP57" s="254" t="s">
        <v>870</v>
      </c>
    </row>
    <row r="58" spans="1:68" ht="30">
      <c r="A58" s="196" t="s">
        <v>976</v>
      </c>
      <c r="B58" s="196" t="s">
        <v>864</v>
      </c>
      <c r="C58" s="196" t="s">
        <v>900</v>
      </c>
      <c r="D58" s="196" t="s">
        <v>987</v>
      </c>
      <c r="E58" s="196"/>
      <c r="F58" s="198" t="s">
        <v>988</v>
      </c>
      <c r="G58" s="282">
        <f>VLOOKUP(D58,'2024 NPI'!D:L,3,0)</f>
        <v>45274</v>
      </c>
      <c r="H58" s="282">
        <f>VLOOKUP(D58,'2024 NPI'!D:L,4,0)</f>
        <v>45295</v>
      </c>
      <c r="I58" s="235"/>
      <c r="K58" s="253" t="s">
        <v>868</v>
      </c>
      <c r="L58" s="253" t="s">
        <v>868</v>
      </c>
      <c r="M58" s="253" t="s">
        <v>868</v>
      </c>
      <c r="N58" s="253" t="s">
        <v>868</v>
      </c>
      <c r="O58" s="253" t="s">
        <v>978</v>
      </c>
      <c r="P58" s="253" t="s">
        <v>978</v>
      </c>
      <c r="Q58" s="253" t="s">
        <v>978</v>
      </c>
      <c r="R58" s="253" t="s">
        <v>978</v>
      </c>
      <c r="S58" s="253" t="s">
        <v>978</v>
      </c>
      <c r="T58" s="253" t="s">
        <v>978</v>
      </c>
      <c r="U58" s="253" t="s">
        <v>978</v>
      </c>
      <c r="V58" s="253" t="s">
        <v>978</v>
      </c>
      <c r="W58" s="253" t="s">
        <v>978</v>
      </c>
      <c r="X58" s="253" t="s">
        <v>978</v>
      </c>
      <c r="Y58" s="253" t="s">
        <v>978</v>
      </c>
      <c r="Z58" s="253" t="s">
        <v>978</v>
      </c>
      <c r="AA58" s="253" t="s">
        <v>978</v>
      </c>
      <c r="AB58" s="254" t="s">
        <v>870</v>
      </c>
      <c r="AC58" s="254" t="s">
        <v>870</v>
      </c>
      <c r="AD58" s="254" t="s">
        <v>870</v>
      </c>
      <c r="AE58" s="254" t="s">
        <v>870</v>
      </c>
      <c r="AF58" s="254" t="s">
        <v>870</v>
      </c>
      <c r="AG58" s="254" t="s">
        <v>870</v>
      </c>
      <c r="AH58" s="254" t="s">
        <v>870</v>
      </c>
      <c r="AI58" s="254"/>
      <c r="AJ58" s="253" t="s">
        <v>978</v>
      </c>
      <c r="AK58" s="253" t="s">
        <v>978</v>
      </c>
      <c r="AL58" s="253" t="s">
        <v>978</v>
      </c>
      <c r="AM58" s="253" t="s">
        <v>978</v>
      </c>
      <c r="AN58" s="253" t="s">
        <v>978</v>
      </c>
      <c r="AO58" s="253" t="s">
        <v>978</v>
      </c>
      <c r="AP58" s="253" t="s">
        <v>978</v>
      </c>
      <c r="AQ58" s="253" t="s">
        <v>978</v>
      </c>
      <c r="AR58" s="253" t="s">
        <v>978</v>
      </c>
      <c r="AS58" s="253" t="s">
        <v>978</v>
      </c>
      <c r="AT58" s="253" t="s">
        <v>978</v>
      </c>
      <c r="AU58" s="253" t="s">
        <v>978</v>
      </c>
      <c r="AV58" s="253" t="s">
        <v>978</v>
      </c>
      <c r="AW58" s="253" t="s">
        <v>978</v>
      </c>
      <c r="AX58" s="253" t="s">
        <v>978</v>
      </c>
      <c r="AY58" s="253" t="s">
        <v>978</v>
      </c>
      <c r="AZ58" s="253" t="s">
        <v>978</v>
      </c>
      <c r="BA58" s="253" t="s">
        <v>978</v>
      </c>
      <c r="BB58" s="253" t="s">
        <v>978</v>
      </c>
      <c r="BC58" s="254" t="s">
        <v>870</v>
      </c>
      <c r="BD58" s="254" t="s">
        <v>870</v>
      </c>
      <c r="BE58" s="254" t="s">
        <v>868</v>
      </c>
      <c r="BF58" s="254" t="s">
        <v>868</v>
      </c>
      <c r="BG58" s="254" t="s">
        <v>868</v>
      </c>
      <c r="BH58" s="254"/>
      <c r="BI58" s="254" t="s">
        <v>868</v>
      </c>
      <c r="BJ58" s="254" t="s">
        <v>870</v>
      </c>
      <c r="BK58" s="254" t="s">
        <v>868</v>
      </c>
      <c r="BL58" s="320" t="s">
        <v>870</v>
      </c>
      <c r="BM58" s="320"/>
      <c r="BN58" s="320" t="s">
        <v>868</v>
      </c>
      <c r="BO58" s="128"/>
      <c r="BP58" s="254" t="s">
        <v>870</v>
      </c>
    </row>
    <row r="59" spans="1:68" ht="30">
      <c r="A59" s="196" t="s">
        <v>976</v>
      </c>
      <c r="B59" s="196" t="s">
        <v>864</v>
      </c>
      <c r="C59" s="196" t="s">
        <v>900</v>
      </c>
      <c r="D59" s="196" t="s">
        <v>989</v>
      </c>
      <c r="E59" s="196"/>
      <c r="F59" s="198" t="s">
        <v>990</v>
      </c>
      <c r="G59" s="282">
        <f>VLOOKUP(D59,'2024 NPI'!D:L,3,0)</f>
        <v>45274</v>
      </c>
      <c r="H59" s="282">
        <f>VLOOKUP(D59,'2024 NPI'!D:L,4,0)</f>
        <v>45295</v>
      </c>
      <c r="I59" s="235"/>
      <c r="K59" s="253" t="s">
        <v>868</v>
      </c>
      <c r="L59" s="253" t="s">
        <v>868</v>
      </c>
      <c r="M59" s="253" t="s">
        <v>868</v>
      </c>
      <c r="N59" s="253" t="s">
        <v>868</v>
      </c>
      <c r="O59" s="253" t="s">
        <v>978</v>
      </c>
      <c r="P59" s="253" t="s">
        <v>978</v>
      </c>
      <c r="Q59" s="253" t="s">
        <v>978</v>
      </c>
      <c r="R59" s="253" t="s">
        <v>978</v>
      </c>
      <c r="S59" s="253" t="s">
        <v>978</v>
      </c>
      <c r="T59" s="253" t="s">
        <v>978</v>
      </c>
      <c r="U59" s="253" t="s">
        <v>978</v>
      </c>
      <c r="V59" s="253" t="s">
        <v>978</v>
      </c>
      <c r="W59" s="253" t="s">
        <v>978</v>
      </c>
      <c r="X59" s="253" t="s">
        <v>978</v>
      </c>
      <c r="Y59" s="253" t="s">
        <v>978</v>
      </c>
      <c r="Z59" s="253" t="s">
        <v>978</v>
      </c>
      <c r="AA59" s="253" t="s">
        <v>978</v>
      </c>
      <c r="AB59" s="254" t="s">
        <v>870</v>
      </c>
      <c r="AC59" s="254" t="s">
        <v>870</v>
      </c>
      <c r="AD59" s="254" t="s">
        <v>870</v>
      </c>
      <c r="AE59" s="254" t="s">
        <v>870</v>
      </c>
      <c r="AF59" s="254" t="s">
        <v>870</v>
      </c>
      <c r="AG59" s="254" t="s">
        <v>870</v>
      </c>
      <c r="AH59" s="254" t="s">
        <v>870</v>
      </c>
      <c r="AI59" s="254"/>
      <c r="AJ59" s="253" t="s">
        <v>978</v>
      </c>
      <c r="AK59" s="253" t="s">
        <v>978</v>
      </c>
      <c r="AL59" s="253" t="s">
        <v>978</v>
      </c>
      <c r="AM59" s="253" t="s">
        <v>978</v>
      </c>
      <c r="AN59" s="253" t="s">
        <v>978</v>
      </c>
      <c r="AO59" s="253" t="s">
        <v>978</v>
      </c>
      <c r="AP59" s="253" t="s">
        <v>978</v>
      </c>
      <c r="AQ59" s="253" t="s">
        <v>978</v>
      </c>
      <c r="AR59" s="253" t="s">
        <v>978</v>
      </c>
      <c r="AS59" s="253" t="s">
        <v>978</v>
      </c>
      <c r="AT59" s="253" t="s">
        <v>978</v>
      </c>
      <c r="AU59" s="253" t="s">
        <v>978</v>
      </c>
      <c r="AV59" s="253" t="s">
        <v>978</v>
      </c>
      <c r="AW59" s="253" t="s">
        <v>978</v>
      </c>
      <c r="AX59" s="253" t="s">
        <v>978</v>
      </c>
      <c r="AY59" s="253" t="s">
        <v>978</v>
      </c>
      <c r="AZ59" s="253" t="s">
        <v>978</v>
      </c>
      <c r="BA59" s="253" t="s">
        <v>978</v>
      </c>
      <c r="BB59" s="253" t="s">
        <v>978</v>
      </c>
      <c r="BC59" s="254" t="s">
        <v>870</v>
      </c>
      <c r="BD59" s="254" t="s">
        <v>870</v>
      </c>
      <c r="BE59" s="254" t="s">
        <v>868</v>
      </c>
      <c r="BF59" s="254" t="s">
        <v>868</v>
      </c>
      <c r="BG59" s="254" t="s">
        <v>868</v>
      </c>
      <c r="BH59" s="254"/>
      <c r="BI59" s="254" t="s">
        <v>868</v>
      </c>
      <c r="BJ59" s="254" t="s">
        <v>870</v>
      </c>
      <c r="BK59" s="254" t="s">
        <v>868</v>
      </c>
      <c r="BL59" s="320" t="s">
        <v>870</v>
      </c>
      <c r="BM59" s="320"/>
      <c r="BN59" s="320" t="s">
        <v>868</v>
      </c>
      <c r="BO59" s="128"/>
      <c r="BP59" s="254" t="s">
        <v>870</v>
      </c>
    </row>
    <row r="60" spans="1:68">
      <c r="A60" s="196" t="s">
        <v>976</v>
      </c>
      <c r="B60" s="196" t="s">
        <v>899</v>
      </c>
      <c r="C60" s="196" t="s">
        <v>917</v>
      </c>
      <c r="D60" s="196" t="s">
        <v>915</v>
      </c>
      <c r="E60" s="196"/>
      <c r="F60" s="198" t="s">
        <v>916</v>
      </c>
      <c r="G60" s="282">
        <f>VLOOKUP(D60,'2024 NPI'!D:L,3,0)</f>
        <v>45282</v>
      </c>
      <c r="H60" s="282">
        <f>VLOOKUP(D60,'2024 NPI'!D:L,4,0)</f>
        <v>45303</v>
      </c>
      <c r="I60" s="235"/>
      <c r="K60" s="196" t="s">
        <v>868</v>
      </c>
      <c r="L60" s="196" t="s">
        <v>868</v>
      </c>
      <c r="M60" s="196" t="s">
        <v>868</v>
      </c>
      <c r="N60" s="196" t="s">
        <v>868</v>
      </c>
      <c r="O60" s="253" t="s">
        <v>978</v>
      </c>
      <c r="P60" s="253" t="s">
        <v>978</v>
      </c>
      <c r="Q60" s="253" t="s">
        <v>978</v>
      </c>
      <c r="R60" s="253" t="s">
        <v>978</v>
      </c>
      <c r="S60" s="253" t="s">
        <v>978</v>
      </c>
      <c r="T60" s="253" t="s">
        <v>978</v>
      </c>
      <c r="U60" s="253" t="s">
        <v>978</v>
      </c>
      <c r="V60" s="253" t="s">
        <v>978</v>
      </c>
      <c r="W60" s="253" t="s">
        <v>978</v>
      </c>
      <c r="X60" s="253" t="s">
        <v>978</v>
      </c>
      <c r="Y60" s="253" t="s">
        <v>978</v>
      </c>
      <c r="Z60" s="253" t="s">
        <v>978</v>
      </c>
      <c r="AA60" s="253" t="s">
        <v>978</v>
      </c>
      <c r="AB60" s="127" t="s">
        <v>870</v>
      </c>
      <c r="AC60" s="127" t="s">
        <v>870</v>
      </c>
      <c r="AD60" s="127" t="s">
        <v>870</v>
      </c>
      <c r="AE60" s="127" t="s">
        <v>870</v>
      </c>
      <c r="AF60" s="127" t="s">
        <v>870</v>
      </c>
      <c r="AG60" s="127" t="s">
        <v>870</v>
      </c>
      <c r="AH60" s="127" t="s">
        <v>870</v>
      </c>
      <c r="AI60" s="127"/>
      <c r="AJ60" s="253" t="s">
        <v>978</v>
      </c>
      <c r="AK60" s="253" t="s">
        <v>978</v>
      </c>
      <c r="AL60" s="253" t="s">
        <v>978</v>
      </c>
      <c r="AM60" s="253" t="s">
        <v>978</v>
      </c>
      <c r="AN60" s="253" t="s">
        <v>978</v>
      </c>
      <c r="AO60" s="253" t="s">
        <v>978</v>
      </c>
      <c r="AP60" s="253" t="s">
        <v>978</v>
      </c>
      <c r="AQ60" s="253" t="s">
        <v>978</v>
      </c>
      <c r="AR60" s="253" t="s">
        <v>978</v>
      </c>
      <c r="AS60" s="253" t="s">
        <v>978</v>
      </c>
      <c r="AT60" s="253" t="s">
        <v>978</v>
      </c>
      <c r="AU60" s="253" t="s">
        <v>978</v>
      </c>
      <c r="AV60" s="253" t="s">
        <v>978</v>
      </c>
      <c r="AW60" s="253" t="s">
        <v>978</v>
      </c>
      <c r="AX60" s="253" t="s">
        <v>978</v>
      </c>
      <c r="AY60" s="253" t="s">
        <v>978</v>
      </c>
      <c r="AZ60" s="253" t="s">
        <v>978</v>
      </c>
      <c r="BA60" s="253" t="s">
        <v>978</v>
      </c>
      <c r="BB60" s="253" t="s">
        <v>978</v>
      </c>
      <c r="BC60" s="127" t="s">
        <v>870</v>
      </c>
      <c r="BD60" s="127" t="s">
        <v>870</v>
      </c>
      <c r="BE60" s="253" t="s">
        <v>978</v>
      </c>
      <c r="BF60" s="253" t="s">
        <v>978</v>
      </c>
      <c r="BG60" s="127" t="s">
        <v>870</v>
      </c>
      <c r="BH60" s="127"/>
      <c r="BI60" s="127" t="s">
        <v>868</v>
      </c>
      <c r="BJ60" s="127" t="s">
        <v>870</v>
      </c>
      <c r="BK60" s="254" t="s">
        <v>868</v>
      </c>
      <c r="BL60" s="320" t="s">
        <v>870</v>
      </c>
      <c r="BM60" s="320"/>
      <c r="BN60" s="128"/>
      <c r="BO60" s="128"/>
      <c r="BP60" s="254" t="s">
        <v>870</v>
      </c>
    </row>
    <row r="61" spans="1:68">
      <c r="A61" s="196" t="s">
        <v>976</v>
      </c>
      <c r="B61" s="196" t="s">
        <v>899</v>
      </c>
      <c r="C61" s="196" t="s">
        <v>917</v>
      </c>
      <c r="D61" s="196" t="s">
        <v>918</v>
      </c>
      <c r="E61" s="196"/>
      <c r="F61" s="198" t="s">
        <v>919</v>
      </c>
      <c r="G61" s="282">
        <f>VLOOKUP(D61,'2024 NPI'!D:L,3,0)</f>
        <v>45282</v>
      </c>
      <c r="H61" s="282">
        <f>VLOOKUP(D61,'2024 NPI'!D:L,4,0)</f>
        <v>45303</v>
      </c>
      <c r="I61" s="235"/>
      <c r="K61" s="196" t="s">
        <v>868</v>
      </c>
      <c r="L61" s="196" t="s">
        <v>868</v>
      </c>
      <c r="M61" s="196" t="s">
        <v>868</v>
      </c>
      <c r="N61" s="196" t="s">
        <v>868</v>
      </c>
      <c r="O61" s="253" t="s">
        <v>978</v>
      </c>
      <c r="P61" s="253" t="s">
        <v>978</v>
      </c>
      <c r="Q61" s="253" t="s">
        <v>978</v>
      </c>
      <c r="R61" s="253" t="s">
        <v>978</v>
      </c>
      <c r="S61" s="253" t="s">
        <v>978</v>
      </c>
      <c r="T61" s="253" t="s">
        <v>978</v>
      </c>
      <c r="U61" s="253" t="s">
        <v>978</v>
      </c>
      <c r="V61" s="253" t="s">
        <v>978</v>
      </c>
      <c r="W61" s="253" t="s">
        <v>978</v>
      </c>
      <c r="X61" s="253" t="s">
        <v>978</v>
      </c>
      <c r="Y61" s="253" t="s">
        <v>978</v>
      </c>
      <c r="Z61" s="253" t="s">
        <v>978</v>
      </c>
      <c r="AA61" s="253" t="s">
        <v>978</v>
      </c>
      <c r="AB61" s="127" t="s">
        <v>870</v>
      </c>
      <c r="AC61" s="127" t="s">
        <v>870</v>
      </c>
      <c r="AD61" s="127" t="s">
        <v>870</v>
      </c>
      <c r="AE61" s="127" t="s">
        <v>870</v>
      </c>
      <c r="AF61" s="127" t="s">
        <v>870</v>
      </c>
      <c r="AG61" s="127" t="s">
        <v>870</v>
      </c>
      <c r="AH61" s="127" t="s">
        <v>870</v>
      </c>
      <c r="AI61" s="127"/>
      <c r="AJ61" s="253" t="s">
        <v>978</v>
      </c>
      <c r="AK61" s="253" t="s">
        <v>978</v>
      </c>
      <c r="AL61" s="253" t="s">
        <v>978</v>
      </c>
      <c r="AM61" s="253" t="s">
        <v>978</v>
      </c>
      <c r="AN61" s="253" t="s">
        <v>978</v>
      </c>
      <c r="AO61" s="253" t="s">
        <v>978</v>
      </c>
      <c r="AP61" s="253" t="s">
        <v>978</v>
      </c>
      <c r="AQ61" s="253" t="s">
        <v>978</v>
      </c>
      <c r="AR61" s="253" t="s">
        <v>978</v>
      </c>
      <c r="AS61" s="253" t="s">
        <v>978</v>
      </c>
      <c r="AT61" s="253" t="s">
        <v>978</v>
      </c>
      <c r="AU61" s="253" t="s">
        <v>978</v>
      </c>
      <c r="AV61" s="253" t="s">
        <v>978</v>
      </c>
      <c r="AW61" s="253" t="s">
        <v>978</v>
      </c>
      <c r="AX61" s="253" t="s">
        <v>978</v>
      </c>
      <c r="AY61" s="253" t="s">
        <v>978</v>
      </c>
      <c r="AZ61" s="253" t="s">
        <v>978</v>
      </c>
      <c r="BA61" s="253" t="s">
        <v>978</v>
      </c>
      <c r="BB61" s="253" t="s">
        <v>978</v>
      </c>
      <c r="BC61" s="127" t="s">
        <v>870</v>
      </c>
      <c r="BD61" s="127" t="s">
        <v>870</v>
      </c>
      <c r="BE61" s="253" t="s">
        <v>978</v>
      </c>
      <c r="BF61" s="253" t="s">
        <v>978</v>
      </c>
      <c r="BG61" s="127" t="s">
        <v>870</v>
      </c>
      <c r="BH61" s="127"/>
      <c r="BI61" s="127" t="s">
        <v>868</v>
      </c>
      <c r="BJ61" s="127" t="s">
        <v>870</v>
      </c>
      <c r="BK61" s="254" t="s">
        <v>870</v>
      </c>
      <c r="BL61" s="320" t="s">
        <v>870</v>
      </c>
      <c r="BM61" s="320"/>
      <c r="BN61" s="128"/>
      <c r="BO61" s="128"/>
      <c r="BP61" s="254" t="s">
        <v>870</v>
      </c>
    </row>
    <row r="62" spans="1:68" ht="30">
      <c r="A62" s="196" t="s">
        <v>976</v>
      </c>
      <c r="B62" s="196" t="s">
        <v>899</v>
      </c>
      <c r="C62" s="196" t="s">
        <v>922</v>
      </c>
      <c r="D62" s="196" t="s">
        <v>923</v>
      </c>
      <c r="E62" s="196"/>
      <c r="F62" s="198" t="s">
        <v>924</v>
      </c>
      <c r="G62" s="282">
        <f>VLOOKUP(D62,'2024 NPI'!D:L,3,0)</f>
        <v>45282</v>
      </c>
      <c r="H62" s="282">
        <f>VLOOKUP(D62,'2024 NPI'!D:L,4,0)</f>
        <v>45303</v>
      </c>
      <c r="I62" s="235"/>
      <c r="K62" s="196" t="s">
        <v>868</v>
      </c>
      <c r="L62" s="196" t="s">
        <v>868</v>
      </c>
      <c r="M62" s="196" t="s">
        <v>868</v>
      </c>
      <c r="N62" s="196" t="s">
        <v>868</v>
      </c>
      <c r="O62" s="253" t="s">
        <v>978</v>
      </c>
      <c r="P62" s="253" t="s">
        <v>978</v>
      </c>
      <c r="Q62" s="253" t="s">
        <v>978</v>
      </c>
      <c r="R62" s="253" t="s">
        <v>978</v>
      </c>
      <c r="S62" s="253" t="s">
        <v>978</v>
      </c>
      <c r="T62" s="253" t="s">
        <v>978</v>
      </c>
      <c r="U62" s="253" t="s">
        <v>978</v>
      </c>
      <c r="V62" s="253" t="s">
        <v>978</v>
      </c>
      <c r="W62" s="253" t="s">
        <v>978</v>
      </c>
      <c r="X62" s="253" t="s">
        <v>978</v>
      </c>
      <c r="Y62" s="253" t="s">
        <v>978</v>
      </c>
      <c r="Z62" s="253" t="s">
        <v>978</v>
      </c>
      <c r="AA62" s="253" t="s">
        <v>978</v>
      </c>
      <c r="AB62" s="127" t="s">
        <v>870</v>
      </c>
      <c r="AC62" s="127" t="s">
        <v>870</v>
      </c>
      <c r="AD62" s="127" t="s">
        <v>870</v>
      </c>
      <c r="AE62" s="127" t="s">
        <v>870</v>
      </c>
      <c r="AF62" s="127" t="s">
        <v>870</v>
      </c>
      <c r="AG62" s="127" t="s">
        <v>870</v>
      </c>
      <c r="AH62" s="127" t="s">
        <v>870</v>
      </c>
      <c r="AI62" s="127"/>
      <c r="AJ62" s="253" t="s">
        <v>978</v>
      </c>
      <c r="AK62" s="253" t="s">
        <v>978</v>
      </c>
      <c r="AL62" s="253" t="s">
        <v>978</v>
      </c>
      <c r="AM62" s="253" t="s">
        <v>978</v>
      </c>
      <c r="AN62" s="253" t="s">
        <v>978</v>
      </c>
      <c r="AO62" s="253" t="s">
        <v>978</v>
      </c>
      <c r="AP62" s="253" t="s">
        <v>978</v>
      </c>
      <c r="AQ62" s="253" t="s">
        <v>978</v>
      </c>
      <c r="AR62" s="253" t="s">
        <v>978</v>
      </c>
      <c r="AS62" s="253" t="s">
        <v>978</v>
      </c>
      <c r="AT62" s="253" t="s">
        <v>978</v>
      </c>
      <c r="AU62" s="253" t="s">
        <v>978</v>
      </c>
      <c r="AV62" s="253" t="s">
        <v>978</v>
      </c>
      <c r="AW62" s="253" t="s">
        <v>978</v>
      </c>
      <c r="AX62" s="253" t="s">
        <v>978</v>
      </c>
      <c r="AY62" s="253" t="s">
        <v>978</v>
      </c>
      <c r="AZ62" s="253" t="s">
        <v>978</v>
      </c>
      <c r="BA62" s="253" t="s">
        <v>978</v>
      </c>
      <c r="BB62" s="253" t="s">
        <v>978</v>
      </c>
      <c r="BC62" s="127" t="s">
        <v>870</v>
      </c>
      <c r="BD62" s="127" t="s">
        <v>870</v>
      </c>
      <c r="BE62" s="253" t="s">
        <v>978</v>
      </c>
      <c r="BF62" s="253" t="s">
        <v>978</v>
      </c>
      <c r="BG62" s="127" t="s">
        <v>870</v>
      </c>
      <c r="BH62" s="127"/>
      <c r="BI62" s="127" t="s">
        <v>868</v>
      </c>
      <c r="BJ62" s="127" t="s">
        <v>870</v>
      </c>
      <c r="BK62" s="254" t="s">
        <v>870</v>
      </c>
      <c r="BL62" s="320" t="s">
        <v>870</v>
      </c>
      <c r="BM62" s="320"/>
      <c r="BN62" s="128"/>
      <c r="BO62" s="128"/>
      <c r="BP62" s="254" t="s">
        <v>870</v>
      </c>
    </row>
    <row r="63" spans="1:68" ht="30">
      <c r="A63" s="196" t="s">
        <v>976</v>
      </c>
      <c r="B63" s="196" t="s">
        <v>899</v>
      </c>
      <c r="C63" s="196" t="s">
        <v>922</v>
      </c>
      <c r="D63" s="196" t="s">
        <v>925</v>
      </c>
      <c r="E63" s="196"/>
      <c r="F63" s="198" t="s">
        <v>926</v>
      </c>
      <c r="G63" s="282">
        <f>VLOOKUP(D63,'2024 NPI'!D:L,3,0)</f>
        <v>45282</v>
      </c>
      <c r="H63" s="282">
        <f>VLOOKUP(D63,'2024 NPI'!D:L,4,0)</f>
        <v>45303</v>
      </c>
      <c r="I63" s="235"/>
      <c r="K63" s="196" t="s">
        <v>868</v>
      </c>
      <c r="L63" s="196" t="s">
        <v>868</v>
      </c>
      <c r="M63" s="196" t="s">
        <v>868</v>
      </c>
      <c r="N63" s="196" t="s">
        <v>868</v>
      </c>
      <c r="O63" s="253" t="s">
        <v>978</v>
      </c>
      <c r="P63" s="253" t="s">
        <v>978</v>
      </c>
      <c r="Q63" s="253" t="s">
        <v>978</v>
      </c>
      <c r="R63" s="253" t="s">
        <v>978</v>
      </c>
      <c r="S63" s="253" t="s">
        <v>978</v>
      </c>
      <c r="T63" s="253" t="s">
        <v>978</v>
      </c>
      <c r="U63" s="253" t="s">
        <v>978</v>
      </c>
      <c r="V63" s="253" t="s">
        <v>978</v>
      </c>
      <c r="W63" s="253" t="s">
        <v>978</v>
      </c>
      <c r="X63" s="253" t="s">
        <v>978</v>
      </c>
      <c r="Y63" s="253" t="s">
        <v>978</v>
      </c>
      <c r="Z63" s="253" t="s">
        <v>978</v>
      </c>
      <c r="AA63" s="253" t="s">
        <v>978</v>
      </c>
      <c r="AB63" s="127" t="s">
        <v>870</v>
      </c>
      <c r="AC63" s="127" t="s">
        <v>870</v>
      </c>
      <c r="AD63" s="127" t="s">
        <v>870</v>
      </c>
      <c r="AE63" s="127" t="s">
        <v>870</v>
      </c>
      <c r="AF63" s="127" t="s">
        <v>870</v>
      </c>
      <c r="AG63" s="127" t="s">
        <v>870</v>
      </c>
      <c r="AH63" s="127" t="s">
        <v>870</v>
      </c>
      <c r="AI63" s="127"/>
      <c r="AJ63" s="253" t="s">
        <v>978</v>
      </c>
      <c r="AK63" s="253" t="s">
        <v>978</v>
      </c>
      <c r="AL63" s="253" t="s">
        <v>978</v>
      </c>
      <c r="AM63" s="253" t="s">
        <v>978</v>
      </c>
      <c r="AN63" s="253" t="s">
        <v>978</v>
      </c>
      <c r="AO63" s="253" t="s">
        <v>978</v>
      </c>
      <c r="AP63" s="253" t="s">
        <v>978</v>
      </c>
      <c r="AQ63" s="253" t="s">
        <v>978</v>
      </c>
      <c r="AR63" s="253" t="s">
        <v>978</v>
      </c>
      <c r="AS63" s="253" t="s">
        <v>978</v>
      </c>
      <c r="AT63" s="253" t="s">
        <v>978</v>
      </c>
      <c r="AU63" s="253" t="s">
        <v>978</v>
      </c>
      <c r="AV63" s="253" t="s">
        <v>978</v>
      </c>
      <c r="AW63" s="253" t="s">
        <v>978</v>
      </c>
      <c r="AX63" s="253" t="s">
        <v>978</v>
      </c>
      <c r="AY63" s="253" t="s">
        <v>978</v>
      </c>
      <c r="AZ63" s="253" t="s">
        <v>978</v>
      </c>
      <c r="BA63" s="253" t="s">
        <v>978</v>
      </c>
      <c r="BB63" s="253" t="s">
        <v>978</v>
      </c>
      <c r="BC63" s="127" t="s">
        <v>870</v>
      </c>
      <c r="BD63" s="127" t="s">
        <v>870</v>
      </c>
      <c r="BE63" s="253" t="s">
        <v>978</v>
      </c>
      <c r="BF63" s="253" t="s">
        <v>978</v>
      </c>
      <c r="BG63" s="127" t="s">
        <v>870</v>
      </c>
      <c r="BH63" s="127"/>
      <c r="BI63" s="127" t="s">
        <v>868</v>
      </c>
      <c r="BJ63" s="127" t="s">
        <v>870</v>
      </c>
      <c r="BK63" s="254" t="s">
        <v>870</v>
      </c>
      <c r="BL63" s="320" t="s">
        <v>870</v>
      </c>
      <c r="BM63" s="320"/>
      <c r="BN63" s="128"/>
      <c r="BO63" s="128"/>
      <c r="BP63" s="254" t="s">
        <v>870</v>
      </c>
    </row>
    <row r="64" spans="1:68" ht="45">
      <c r="A64" s="196" t="s">
        <v>976</v>
      </c>
      <c r="B64" s="196" t="s">
        <v>899</v>
      </c>
      <c r="C64" s="196" t="s">
        <v>922</v>
      </c>
      <c r="D64" s="196" t="s">
        <v>991</v>
      </c>
      <c r="E64" s="196"/>
      <c r="F64" s="198" t="s">
        <v>992</v>
      </c>
      <c r="G64" s="282">
        <f>VLOOKUP(D64,'2024 NPI'!D:L,3,0)</f>
        <v>45282</v>
      </c>
      <c r="H64" s="282">
        <f>VLOOKUP(D64,'2024 NPI'!D:L,4,0)</f>
        <v>45303</v>
      </c>
      <c r="I64" s="235"/>
      <c r="K64" s="196" t="s">
        <v>868</v>
      </c>
      <c r="L64" s="196" t="s">
        <v>868</v>
      </c>
      <c r="M64" s="196" t="s">
        <v>868</v>
      </c>
      <c r="N64" s="196" t="s">
        <v>868</v>
      </c>
      <c r="O64" s="253" t="s">
        <v>978</v>
      </c>
      <c r="P64" s="253" t="s">
        <v>978</v>
      </c>
      <c r="Q64" s="253" t="s">
        <v>978</v>
      </c>
      <c r="R64" s="253" t="s">
        <v>978</v>
      </c>
      <c r="S64" s="253" t="s">
        <v>978</v>
      </c>
      <c r="T64" s="253" t="s">
        <v>978</v>
      </c>
      <c r="U64" s="253" t="s">
        <v>978</v>
      </c>
      <c r="V64" s="253" t="s">
        <v>978</v>
      </c>
      <c r="W64" s="253" t="s">
        <v>978</v>
      </c>
      <c r="X64" s="253" t="s">
        <v>978</v>
      </c>
      <c r="Y64" s="253" t="s">
        <v>978</v>
      </c>
      <c r="Z64" s="253" t="s">
        <v>978</v>
      </c>
      <c r="AA64" s="253" t="s">
        <v>978</v>
      </c>
      <c r="AB64" s="127" t="s">
        <v>870</v>
      </c>
      <c r="AC64" s="127" t="s">
        <v>870</v>
      </c>
      <c r="AD64" s="127" t="s">
        <v>870</v>
      </c>
      <c r="AE64" s="127" t="s">
        <v>870</v>
      </c>
      <c r="AF64" s="127" t="s">
        <v>870</v>
      </c>
      <c r="AG64" s="127" t="s">
        <v>870</v>
      </c>
      <c r="AH64" s="127" t="s">
        <v>870</v>
      </c>
      <c r="AI64" s="127"/>
      <c r="AJ64" s="253" t="s">
        <v>978</v>
      </c>
      <c r="AK64" s="253" t="s">
        <v>978</v>
      </c>
      <c r="AL64" s="253" t="s">
        <v>978</v>
      </c>
      <c r="AM64" s="253" t="s">
        <v>978</v>
      </c>
      <c r="AN64" s="253" t="s">
        <v>978</v>
      </c>
      <c r="AO64" s="253" t="s">
        <v>978</v>
      </c>
      <c r="AP64" s="253" t="s">
        <v>978</v>
      </c>
      <c r="AQ64" s="253" t="s">
        <v>978</v>
      </c>
      <c r="AR64" s="253" t="s">
        <v>978</v>
      </c>
      <c r="AS64" s="253" t="s">
        <v>978</v>
      </c>
      <c r="AT64" s="253" t="s">
        <v>978</v>
      </c>
      <c r="AU64" s="253" t="s">
        <v>978</v>
      </c>
      <c r="AV64" s="253" t="s">
        <v>978</v>
      </c>
      <c r="AW64" s="253" t="s">
        <v>978</v>
      </c>
      <c r="AX64" s="253" t="s">
        <v>978</v>
      </c>
      <c r="AY64" s="253" t="s">
        <v>978</v>
      </c>
      <c r="AZ64" s="253" t="s">
        <v>978</v>
      </c>
      <c r="BA64" s="253" t="s">
        <v>978</v>
      </c>
      <c r="BB64" s="253" t="s">
        <v>978</v>
      </c>
      <c r="BC64" s="127" t="s">
        <v>870</v>
      </c>
      <c r="BD64" s="127" t="s">
        <v>870</v>
      </c>
      <c r="BE64" s="253" t="s">
        <v>978</v>
      </c>
      <c r="BF64" s="253" t="s">
        <v>978</v>
      </c>
      <c r="BG64" s="127" t="s">
        <v>870</v>
      </c>
      <c r="BH64" s="127"/>
      <c r="BI64" s="127" t="s">
        <v>868</v>
      </c>
      <c r="BJ64" s="127" t="s">
        <v>870</v>
      </c>
      <c r="BK64" s="254" t="s">
        <v>870</v>
      </c>
      <c r="BL64" s="320" t="s">
        <v>870</v>
      </c>
      <c r="BM64" s="320"/>
      <c r="BN64" s="128"/>
      <c r="BO64" s="128"/>
      <c r="BP64" s="254" t="s">
        <v>870</v>
      </c>
    </row>
    <row r="65" spans="1:68" ht="30">
      <c r="A65" s="196" t="s">
        <v>976</v>
      </c>
      <c r="B65" s="196" t="s">
        <v>899</v>
      </c>
      <c r="C65" s="196" t="s">
        <v>922</v>
      </c>
      <c r="D65" s="196" t="s">
        <v>929</v>
      </c>
      <c r="E65" s="196"/>
      <c r="F65" s="198" t="s">
        <v>930</v>
      </c>
      <c r="G65" s="282">
        <f>VLOOKUP(D65,'2024 NPI'!D:L,3,0)</f>
        <v>45282</v>
      </c>
      <c r="H65" s="282">
        <f>VLOOKUP(D65,'2024 NPI'!D:L,4,0)</f>
        <v>45303</v>
      </c>
      <c r="I65" s="235"/>
      <c r="K65" s="196" t="s">
        <v>868</v>
      </c>
      <c r="L65" s="196" t="s">
        <v>868</v>
      </c>
      <c r="M65" s="196" t="s">
        <v>868</v>
      </c>
      <c r="N65" s="196" t="s">
        <v>868</v>
      </c>
      <c r="O65" s="253" t="s">
        <v>978</v>
      </c>
      <c r="P65" s="253" t="s">
        <v>978</v>
      </c>
      <c r="Q65" s="253" t="s">
        <v>978</v>
      </c>
      <c r="R65" s="253" t="s">
        <v>978</v>
      </c>
      <c r="S65" s="253" t="s">
        <v>978</v>
      </c>
      <c r="T65" s="253" t="s">
        <v>978</v>
      </c>
      <c r="U65" s="253" t="s">
        <v>978</v>
      </c>
      <c r="V65" s="253" t="s">
        <v>978</v>
      </c>
      <c r="W65" s="253" t="s">
        <v>978</v>
      </c>
      <c r="X65" s="253" t="s">
        <v>978</v>
      </c>
      <c r="Y65" s="253" t="s">
        <v>978</v>
      </c>
      <c r="Z65" s="253" t="s">
        <v>978</v>
      </c>
      <c r="AA65" s="253" t="s">
        <v>978</v>
      </c>
      <c r="AB65" s="127" t="s">
        <v>870</v>
      </c>
      <c r="AC65" s="127" t="s">
        <v>870</v>
      </c>
      <c r="AD65" s="127" t="s">
        <v>870</v>
      </c>
      <c r="AE65" s="127" t="s">
        <v>870</v>
      </c>
      <c r="AF65" s="127" t="s">
        <v>870</v>
      </c>
      <c r="AG65" s="127" t="s">
        <v>870</v>
      </c>
      <c r="AH65" s="127" t="s">
        <v>870</v>
      </c>
      <c r="AI65" s="127"/>
      <c r="AJ65" s="253" t="s">
        <v>978</v>
      </c>
      <c r="AK65" s="253" t="s">
        <v>978</v>
      </c>
      <c r="AL65" s="253" t="s">
        <v>978</v>
      </c>
      <c r="AM65" s="253" t="s">
        <v>978</v>
      </c>
      <c r="AN65" s="253" t="s">
        <v>978</v>
      </c>
      <c r="AO65" s="253" t="s">
        <v>978</v>
      </c>
      <c r="AP65" s="253" t="s">
        <v>978</v>
      </c>
      <c r="AQ65" s="253" t="s">
        <v>978</v>
      </c>
      <c r="AR65" s="253" t="s">
        <v>978</v>
      </c>
      <c r="AS65" s="253" t="s">
        <v>978</v>
      </c>
      <c r="AT65" s="253" t="s">
        <v>978</v>
      </c>
      <c r="AU65" s="253" t="s">
        <v>978</v>
      </c>
      <c r="AV65" s="253" t="s">
        <v>978</v>
      </c>
      <c r="AW65" s="253" t="s">
        <v>978</v>
      </c>
      <c r="AX65" s="253" t="s">
        <v>978</v>
      </c>
      <c r="AY65" s="253" t="s">
        <v>978</v>
      </c>
      <c r="AZ65" s="253" t="s">
        <v>978</v>
      </c>
      <c r="BA65" s="253" t="s">
        <v>978</v>
      </c>
      <c r="BB65" s="253" t="s">
        <v>978</v>
      </c>
      <c r="BC65" s="127" t="s">
        <v>870</v>
      </c>
      <c r="BD65" s="127" t="s">
        <v>870</v>
      </c>
      <c r="BE65" s="253" t="s">
        <v>978</v>
      </c>
      <c r="BF65" s="253" t="s">
        <v>978</v>
      </c>
      <c r="BG65" s="127" t="s">
        <v>870</v>
      </c>
      <c r="BH65" s="127"/>
      <c r="BI65" s="127" t="s">
        <v>868</v>
      </c>
      <c r="BJ65" s="127" t="s">
        <v>870</v>
      </c>
      <c r="BK65" s="254" t="s">
        <v>870</v>
      </c>
      <c r="BL65" s="320" t="s">
        <v>870</v>
      </c>
      <c r="BM65" s="320"/>
      <c r="BN65" s="128"/>
      <c r="BO65" s="128"/>
      <c r="BP65" s="254" t="s">
        <v>870</v>
      </c>
    </row>
    <row r="66" spans="1:68">
      <c r="A66" s="196" t="s">
        <v>976</v>
      </c>
      <c r="B66" s="196" t="s">
        <v>899</v>
      </c>
      <c r="C66" s="196" t="s">
        <v>931</v>
      </c>
      <c r="D66" s="196" t="s">
        <v>936</v>
      </c>
      <c r="E66" s="196"/>
      <c r="F66" s="198" t="s">
        <v>937</v>
      </c>
      <c r="G66" s="282">
        <f>VLOOKUP(D66,'2024 NPI'!D:L,3,0)</f>
        <v>45282</v>
      </c>
      <c r="H66" s="282">
        <f>VLOOKUP(D66,'2024 NPI'!D:L,4,0)</f>
        <v>45303</v>
      </c>
      <c r="I66" s="235"/>
      <c r="K66" s="253" t="s">
        <v>868</v>
      </c>
      <c r="L66" s="253" t="s">
        <v>868</v>
      </c>
      <c r="M66" s="253" t="s">
        <v>868</v>
      </c>
      <c r="N66" s="253" t="s">
        <v>868</v>
      </c>
      <c r="O66" s="253" t="s">
        <v>978</v>
      </c>
      <c r="P66" s="253" t="s">
        <v>978</v>
      </c>
      <c r="Q66" s="253" t="s">
        <v>978</v>
      </c>
      <c r="R66" s="253" t="s">
        <v>978</v>
      </c>
      <c r="S66" s="253" t="s">
        <v>978</v>
      </c>
      <c r="T66" s="253" t="s">
        <v>978</v>
      </c>
      <c r="U66" s="253" t="s">
        <v>978</v>
      </c>
      <c r="V66" s="253" t="s">
        <v>978</v>
      </c>
      <c r="W66" s="253" t="s">
        <v>978</v>
      </c>
      <c r="X66" s="253" t="s">
        <v>978</v>
      </c>
      <c r="Y66" s="253" t="s">
        <v>978</v>
      </c>
      <c r="Z66" s="253" t="s">
        <v>978</v>
      </c>
      <c r="AA66" s="253" t="s">
        <v>978</v>
      </c>
      <c r="AB66" s="254" t="s">
        <v>870</v>
      </c>
      <c r="AC66" s="254" t="s">
        <v>870</v>
      </c>
      <c r="AD66" s="254" t="s">
        <v>870</v>
      </c>
      <c r="AE66" s="254" t="s">
        <v>870</v>
      </c>
      <c r="AF66" s="254" t="s">
        <v>870</v>
      </c>
      <c r="AG66" s="254" t="s">
        <v>870</v>
      </c>
      <c r="AH66" s="254" t="s">
        <v>870</v>
      </c>
      <c r="AI66" s="254"/>
      <c r="AJ66" s="253" t="s">
        <v>978</v>
      </c>
      <c r="AK66" s="253" t="s">
        <v>978</v>
      </c>
      <c r="AL66" s="253" t="s">
        <v>978</v>
      </c>
      <c r="AM66" s="253" t="s">
        <v>978</v>
      </c>
      <c r="AN66" s="253" t="s">
        <v>978</v>
      </c>
      <c r="AO66" s="253" t="s">
        <v>978</v>
      </c>
      <c r="AP66" s="253" t="s">
        <v>978</v>
      </c>
      <c r="AQ66" s="253" t="s">
        <v>978</v>
      </c>
      <c r="AR66" s="253" t="s">
        <v>978</v>
      </c>
      <c r="AS66" s="253" t="s">
        <v>978</v>
      </c>
      <c r="AT66" s="253" t="s">
        <v>978</v>
      </c>
      <c r="AU66" s="253" t="s">
        <v>978</v>
      </c>
      <c r="AV66" s="253" t="s">
        <v>978</v>
      </c>
      <c r="AW66" s="253" t="s">
        <v>978</v>
      </c>
      <c r="AX66" s="253" t="s">
        <v>978</v>
      </c>
      <c r="AY66" s="253" t="s">
        <v>978</v>
      </c>
      <c r="AZ66" s="253" t="s">
        <v>978</v>
      </c>
      <c r="BA66" s="253" t="s">
        <v>978</v>
      </c>
      <c r="BB66" s="253" t="s">
        <v>978</v>
      </c>
      <c r="BC66" s="254" t="s">
        <v>870</v>
      </c>
      <c r="BD66" s="254" t="s">
        <v>870</v>
      </c>
      <c r="BE66" s="253" t="s">
        <v>978</v>
      </c>
      <c r="BF66" s="253" t="s">
        <v>978</v>
      </c>
      <c r="BG66" s="255" t="s">
        <v>870</v>
      </c>
      <c r="BH66" s="255"/>
      <c r="BI66" s="254" t="s">
        <v>868</v>
      </c>
      <c r="BJ66" s="254" t="s">
        <v>870</v>
      </c>
      <c r="BK66" s="254" t="s">
        <v>870</v>
      </c>
      <c r="BL66" s="320" t="s">
        <v>870</v>
      </c>
      <c r="BM66" s="320"/>
      <c r="BN66" s="128"/>
      <c r="BO66" s="128"/>
      <c r="BP66" s="254" t="s">
        <v>870</v>
      </c>
    </row>
    <row r="67" spans="1:68" ht="30">
      <c r="A67" s="196" t="s">
        <v>976</v>
      </c>
      <c r="B67" s="196" t="s">
        <v>899</v>
      </c>
      <c r="C67" s="196" t="s">
        <v>931</v>
      </c>
      <c r="D67" s="196" t="s">
        <v>938</v>
      </c>
      <c r="E67" s="196"/>
      <c r="F67" s="198" t="s">
        <v>939</v>
      </c>
      <c r="G67" s="282">
        <f>VLOOKUP(D67,'2024 NPI'!D:L,3,0)</f>
        <v>45282</v>
      </c>
      <c r="H67" s="282">
        <f>VLOOKUP(D67,'2024 NPI'!D:L,4,0)</f>
        <v>45303</v>
      </c>
      <c r="I67" s="235"/>
      <c r="K67" s="253" t="s">
        <v>868</v>
      </c>
      <c r="L67" s="253" t="s">
        <v>868</v>
      </c>
      <c r="M67" s="253" t="s">
        <v>868</v>
      </c>
      <c r="N67" s="253" t="s">
        <v>868</v>
      </c>
      <c r="O67" s="253" t="s">
        <v>978</v>
      </c>
      <c r="P67" s="253" t="s">
        <v>978</v>
      </c>
      <c r="Q67" s="253" t="s">
        <v>978</v>
      </c>
      <c r="R67" s="253" t="s">
        <v>978</v>
      </c>
      <c r="S67" s="253" t="s">
        <v>978</v>
      </c>
      <c r="T67" s="253" t="s">
        <v>978</v>
      </c>
      <c r="U67" s="253" t="s">
        <v>978</v>
      </c>
      <c r="V67" s="253" t="s">
        <v>978</v>
      </c>
      <c r="W67" s="253" t="s">
        <v>978</v>
      </c>
      <c r="X67" s="253" t="s">
        <v>978</v>
      </c>
      <c r="Y67" s="253" t="s">
        <v>978</v>
      </c>
      <c r="Z67" s="253" t="s">
        <v>978</v>
      </c>
      <c r="AA67" s="253" t="s">
        <v>978</v>
      </c>
      <c r="AB67" s="254" t="s">
        <v>870</v>
      </c>
      <c r="AC67" s="254" t="s">
        <v>870</v>
      </c>
      <c r="AD67" s="254" t="s">
        <v>870</v>
      </c>
      <c r="AE67" s="254" t="s">
        <v>870</v>
      </c>
      <c r="AF67" s="254" t="s">
        <v>870</v>
      </c>
      <c r="AG67" s="254" t="s">
        <v>870</v>
      </c>
      <c r="AH67" s="254" t="s">
        <v>870</v>
      </c>
      <c r="AI67" s="254"/>
      <c r="AJ67" s="253" t="s">
        <v>978</v>
      </c>
      <c r="AK67" s="253" t="s">
        <v>978</v>
      </c>
      <c r="AL67" s="253" t="s">
        <v>978</v>
      </c>
      <c r="AM67" s="253" t="s">
        <v>978</v>
      </c>
      <c r="AN67" s="253" t="s">
        <v>978</v>
      </c>
      <c r="AO67" s="253" t="s">
        <v>978</v>
      </c>
      <c r="AP67" s="253" t="s">
        <v>978</v>
      </c>
      <c r="AQ67" s="253" t="s">
        <v>978</v>
      </c>
      <c r="AR67" s="253" t="s">
        <v>978</v>
      </c>
      <c r="AS67" s="253" t="s">
        <v>978</v>
      </c>
      <c r="AT67" s="253" t="s">
        <v>978</v>
      </c>
      <c r="AU67" s="253" t="s">
        <v>978</v>
      </c>
      <c r="AV67" s="253" t="s">
        <v>978</v>
      </c>
      <c r="AW67" s="253" t="s">
        <v>978</v>
      </c>
      <c r="AX67" s="253" t="s">
        <v>978</v>
      </c>
      <c r="AY67" s="253" t="s">
        <v>978</v>
      </c>
      <c r="AZ67" s="253" t="s">
        <v>978</v>
      </c>
      <c r="BA67" s="253" t="s">
        <v>978</v>
      </c>
      <c r="BB67" s="253" t="s">
        <v>978</v>
      </c>
      <c r="BC67" s="254" t="s">
        <v>870</v>
      </c>
      <c r="BD67" s="254" t="s">
        <v>870</v>
      </c>
      <c r="BE67" s="253" t="s">
        <v>978</v>
      </c>
      <c r="BF67" s="253" t="s">
        <v>978</v>
      </c>
      <c r="BG67" s="255" t="s">
        <v>870</v>
      </c>
      <c r="BH67" s="255"/>
      <c r="BI67" s="254" t="s">
        <v>868</v>
      </c>
      <c r="BJ67" s="254" t="s">
        <v>870</v>
      </c>
      <c r="BK67" s="254" t="s">
        <v>870</v>
      </c>
      <c r="BL67" s="320" t="s">
        <v>870</v>
      </c>
      <c r="BM67" s="320"/>
      <c r="BN67" s="128"/>
      <c r="BO67" s="128"/>
      <c r="BP67" s="254" t="s">
        <v>870</v>
      </c>
    </row>
    <row r="68" spans="1:68" ht="30">
      <c r="A68" s="196" t="s">
        <v>976</v>
      </c>
      <c r="B68" s="196" t="s">
        <v>899</v>
      </c>
      <c r="C68" s="196" t="s">
        <v>931</v>
      </c>
      <c r="D68" s="196" t="s">
        <v>940</v>
      </c>
      <c r="E68" s="196"/>
      <c r="F68" s="198" t="s">
        <v>941</v>
      </c>
      <c r="G68" s="282">
        <f>VLOOKUP(D68,'2024 NPI'!D:L,3,0)</f>
        <v>45282</v>
      </c>
      <c r="H68" s="282">
        <f>VLOOKUP(D68,'2024 NPI'!D:L,4,0)</f>
        <v>45303</v>
      </c>
      <c r="I68" s="235"/>
      <c r="K68" s="253" t="s">
        <v>868</v>
      </c>
      <c r="L68" s="253" t="s">
        <v>868</v>
      </c>
      <c r="M68" s="253" t="s">
        <v>868</v>
      </c>
      <c r="N68" s="253" t="s">
        <v>868</v>
      </c>
      <c r="O68" s="253" t="s">
        <v>978</v>
      </c>
      <c r="P68" s="253" t="s">
        <v>978</v>
      </c>
      <c r="Q68" s="253" t="s">
        <v>978</v>
      </c>
      <c r="R68" s="253" t="s">
        <v>978</v>
      </c>
      <c r="S68" s="253" t="s">
        <v>978</v>
      </c>
      <c r="T68" s="253" t="s">
        <v>978</v>
      </c>
      <c r="U68" s="253" t="s">
        <v>978</v>
      </c>
      <c r="V68" s="253" t="s">
        <v>978</v>
      </c>
      <c r="W68" s="253" t="s">
        <v>978</v>
      </c>
      <c r="X68" s="253" t="s">
        <v>978</v>
      </c>
      <c r="Y68" s="253" t="s">
        <v>978</v>
      </c>
      <c r="Z68" s="253" t="s">
        <v>978</v>
      </c>
      <c r="AA68" s="253" t="s">
        <v>978</v>
      </c>
      <c r="AB68" s="254" t="s">
        <v>870</v>
      </c>
      <c r="AC68" s="254" t="s">
        <v>870</v>
      </c>
      <c r="AD68" s="254" t="s">
        <v>870</v>
      </c>
      <c r="AE68" s="254" t="s">
        <v>870</v>
      </c>
      <c r="AF68" s="254" t="s">
        <v>870</v>
      </c>
      <c r="AG68" s="254" t="s">
        <v>870</v>
      </c>
      <c r="AH68" s="254" t="s">
        <v>870</v>
      </c>
      <c r="AI68" s="254"/>
      <c r="AJ68" s="253" t="s">
        <v>978</v>
      </c>
      <c r="AK68" s="253" t="s">
        <v>978</v>
      </c>
      <c r="AL68" s="253" t="s">
        <v>978</v>
      </c>
      <c r="AM68" s="253" t="s">
        <v>978</v>
      </c>
      <c r="AN68" s="253" t="s">
        <v>978</v>
      </c>
      <c r="AO68" s="253" t="s">
        <v>978</v>
      </c>
      <c r="AP68" s="253" t="s">
        <v>978</v>
      </c>
      <c r="AQ68" s="253" t="s">
        <v>978</v>
      </c>
      <c r="AR68" s="253" t="s">
        <v>978</v>
      </c>
      <c r="AS68" s="253" t="s">
        <v>978</v>
      </c>
      <c r="AT68" s="253" t="s">
        <v>978</v>
      </c>
      <c r="AU68" s="253" t="s">
        <v>978</v>
      </c>
      <c r="AV68" s="253" t="s">
        <v>978</v>
      </c>
      <c r="AW68" s="253" t="s">
        <v>978</v>
      </c>
      <c r="AX68" s="253" t="s">
        <v>978</v>
      </c>
      <c r="AY68" s="253" t="s">
        <v>978</v>
      </c>
      <c r="AZ68" s="253" t="s">
        <v>978</v>
      </c>
      <c r="BA68" s="253" t="s">
        <v>978</v>
      </c>
      <c r="BB68" s="253" t="s">
        <v>978</v>
      </c>
      <c r="BC68" s="254" t="s">
        <v>870</v>
      </c>
      <c r="BD68" s="254" t="s">
        <v>870</v>
      </c>
      <c r="BE68" s="253" t="s">
        <v>978</v>
      </c>
      <c r="BF68" s="253" t="s">
        <v>978</v>
      </c>
      <c r="BG68" s="255" t="s">
        <v>870</v>
      </c>
      <c r="BH68" s="255"/>
      <c r="BI68" s="254" t="s">
        <v>868</v>
      </c>
      <c r="BJ68" s="254" t="s">
        <v>870</v>
      </c>
      <c r="BK68" s="254" t="s">
        <v>870</v>
      </c>
      <c r="BL68" s="320" t="s">
        <v>870</v>
      </c>
      <c r="BM68" s="320"/>
      <c r="BN68" s="128"/>
      <c r="BO68" s="128"/>
      <c r="BP68" s="254" t="s">
        <v>870</v>
      </c>
    </row>
    <row r="69" spans="1:68">
      <c r="A69" s="196" t="s">
        <v>976</v>
      </c>
      <c r="B69" s="196" t="s">
        <v>899</v>
      </c>
      <c r="C69" s="196" t="s">
        <v>931</v>
      </c>
      <c r="D69" s="196" t="s">
        <v>942</v>
      </c>
      <c r="E69" s="196"/>
      <c r="F69" s="198" t="s">
        <v>943</v>
      </c>
      <c r="G69" s="282">
        <f>VLOOKUP(D69,'2024 NPI'!D:L,3,0)</f>
        <v>45282</v>
      </c>
      <c r="H69" s="282">
        <f>VLOOKUP(D69,'2024 NPI'!D:L,4,0)</f>
        <v>45303</v>
      </c>
      <c r="I69" s="235"/>
      <c r="K69" s="253" t="s">
        <v>868</v>
      </c>
      <c r="L69" s="253" t="s">
        <v>868</v>
      </c>
      <c r="M69" s="253" t="s">
        <v>868</v>
      </c>
      <c r="N69" s="253" t="s">
        <v>868</v>
      </c>
      <c r="O69" s="253" t="s">
        <v>978</v>
      </c>
      <c r="P69" s="253" t="s">
        <v>978</v>
      </c>
      <c r="Q69" s="253" t="s">
        <v>978</v>
      </c>
      <c r="R69" s="253" t="s">
        <v>978</v>
      </c>
      <c r="S69" s="253" t="s">
        <v>978</v>
      </c>
      <c r="T69" s="253" t="s">
        <v>978</v>
      </c>
      <c r="U69" s="253" t="s">
        <v>978</v>
      </c>
      <c r="V69" s="253" t="s">
        <v>978</v>
      </c>
      <c r="W69" s="253" t="s">
        <v>978</v>
      </c>
      <c r="X69" s="253" t="s">
        <v>978</v>
      </c>
      <c r="Y69" s="253" t="s">
        <v>978</v>
      </c>
      <c r="Z69" s="253" t="s">
        <v>978</v>
      </c>
      <c r="AA69" s="253" t="s">
        <v>978</v>
      </c>
      <c r="AB69" s="254" t="s">
        <v>870</v>
      </c>
      <c r="AC69" s="254" t="s">
        <v>870</v>
      </c>
      <c r="AD69" s="254" t="s">
        <v>870</v>
      </c>
      <c r="AE69" s="254" t="s">
        <v>870</v>
      </c>
      <c r="AF69" s="254" t="s">
        <v>870</v>
      </c>
      <c r="AG69" s="254" t="s">
        <v>870</v>
      </c>
      <c r="AH69" s="254" t="s">
        <v>870</v>
      </c>
      <c r="AI69" s="254"/>
      <c r="AJ69" s="253" t="s">
        <v>978</v>
      </c>
      <c r="AK69" s="253" t="s">
        <v>978</v>
      </c>
      <c r="AL69" s="253" t="s">
        <v>978</v>
      </c>
      <c r="AM69" s="253" t="s">
        <v>978</v>
      </c>
      <c r="AN69" s="253" t="s">
        <v>978</v>
      </c>
      <c r="AO69" s="253" t="s">
        <v>978</v>
      </c>
      <c r="AP69" s="253" t="s">
        <v>978</v>
      </c>
      <c r="AQ69" s="253" t="s">
        <v>978</v>
      </c>
      <c r="AR69" s="253" t="s">
        <v>978</v>
      </c>
      <c r="AS69" s="253" t="s">
        <v>978</v>
      </c>
      <c r="AT69" s="253" t="s">
        <v>978</v>
      </c>
      <c r="AU69" s="253" t="s">
        <v>978</v>
      </c>
      <c r="AV69" s="253" t="s">
        <v>978</v>
      </c>
      <c r="AW69" s="253" t="s">
        <v>978</v>
      </c>
      <c r="AX69" s="253" t="s">
        <v>978</v>
      </c>
      <c r="AY69" s="253" t="s">
        <v>978</v>
      </c>
      <c r="AZ69" s="253" t="s">
        <v>978</v>
      </c>
      <c r="BA69" s="253" t="s">
        <v>978</v>
      </c>
      <c r="BB69" s="253" t="s">
        <v>978</v>
      </c>
      <c r="BC69" s="254" t="s">
        <v>870</v>
      </c>
      <c r="BD69" s="254" t="s">
        <v>870</v>
      </c>
      <c r="BE69" s="253" t="s">
        <v>978</v>
      </c>
      <c r="BF69" s="253" t="s">
        <v>978</v>
      </c>
      <c r="BG69" s="255" t="s">
        <v>870</v>
      </c>
      <c r="BH69" s="255"/>
      <c r="BI69" s="254" t="s">
        <v>868</v>
      </c>
      <c r="BJ69" s="254" t="s">
        <v>870</v>
      </c>
      <c r="BK69" s="254" t="s">
        <v>870</v>
      </c>
      <c r="BL69" s="320" t="s">
        <v>870</v>
      </c>
      <c r="BM69" s="320"/>
      <c r="BN69" s="128"/>
      <c r="BO69" s="128"/>
      <c r="BP69" s="254" t="s">
        <v>870</v>
      </c>
    </row>
    <row r="70" spans="1:68">
      <c r="A70" s="196" t="s">
        <v>976</v>
      </c>
      <c r="B70" s="196" t="s">
        <v>899</v>
      </c>
      <c r="C70" s="196" t="s">
        <v>931</v>
      </c>
      <c r="D70" s="196" t="s">
        <v>944</v>
      </c>
      <c r="E70" s="196"/>
      <c r="F70" s="198" t="s">
        <v>945</v>
      </c>
      <c r="G70" s="282">
        <f>VLOOKUP(D70,'2024 NPI'!D:L,3,0)</f>
        <v>45282</v>
      </c>
      <c r="H70" s="282">
        <f>VLOOKUP(D70,'2024 NPI'!D:L,4,0)</f>
        <v>45303</v>
      </c>
      <c r="I70" s="235"/>
      <c r="K70" s="253" t="s">
        <v>868</v>
      </c>
      <c r="L70" s="253" t="s">
        <v>868</v>
      </c>
      <c r="M70" s="253" t="s">
        <v>868</v>
      </c>
      <c r="N70" s="253" t="s">
        <v>868</v>
      </c>
      <c r="O70" s="253" t="s">
        <v>978</v>
      </c>
      <c r="P70" s="253" t="s">
        <v>978</v>
      </c>
      <c r="Q70" s="253" t="s">
        <v>978</v>
      </c>
      <c r="R70" s="253" t="s">
        <v>978</v>
      </c>
      <c r="S70" s="253" t="s">
        <v>978</v>
      </c>
      <c r="T70" s="253" t="s">
        <v>978</v>
      </c>
      <c r="U70" s="253" t="s">
        <v>978</v>
      </c>
      <c r="V70" s="253" t="s">
        <v>978</v>
      </c>
      <c r="W70" s="253" t="s">
        <v>978</v>
      </c>
      <c r="X70" s="253" t="s">
        <v>978</v>
      </c>
      <c r="Y70" s="253" t="s">
        <v>978</v>
      </c>
      <c r="Z70" s="253" t="s">
        <v>978</v>
      </c>
      <c r="AA70" s="253" t="s">
        <v>978</v>
      </c>
      <c r="AB70" s="254" t="s">
        <v>870</v>
      </c>
      <c r="AC70" s="254" t="s">
        <v>870</v>
      </c>
      <c r="AD70" s="254" t="s">
        <v>870</v>
      </c>
      <c r="AE70" s="254" t="s">
        <v>870</v>
      </c>
      <c r="AF70" s="254" t="s">
        <v>870</v>
      </c>
      <c r="AG70" s="254" t="s">
        <v>870</v>
      </c>
      <c r="AH70" s="254" t="s">
        <v>870</v>
      </c>
      <c r="AI70" s="254"/>
      <c r="AJ70" s="253" t="s">
        <v>978</v>
      </c>
      <c r="AK70" s="253" t="s">
        <v>978</v>
      </c>
      <c r="AL70" s="253" t="s">
        <v>978</v>
      </c>
      <c r="AM70" s="253" t="s">
        <v>978</v>
      </c>
      <c r="AN70" s="253" t="s">
        <v>978</v>
      </c>
      <c r="AO70" s="253" t="s">
        <v>978</v>
      </c>
      <c r="AP70" s="253" t="s">
        <v>978</v>
      </c>
      <c r="AQ70" s="253" t="s">
        <v>978</v>
      </c>
      <c r="AR70" s="253" t="s">
        <v>978</v>
      </c>
      <c r="AS70" s="253" t="s">
        <v>978</v>
      </c>
      <c r="AT70" s="253" t="s">
        <v>978</v>
      </c>
      <c r="AU70" s="253" t="s">
        <v>978</v>
      </c>
      <c r="AV70" s="253" t="s">
        <v>978</v>
      </c>
      <c r="AW70" s="253" t="s">
        <v>978</v>
      </c>
      <c r="AX70" s="253" t="s">
        <v>978</v>
      </c>
      <c r="AY70" s="253" t="s">
        <v>978</v>
      </c>
      <c r="AZ70" s="253" t="s">
        <v>978</v>
      </c>
      <c r="BA70" s="253" t="s">
        <v>978</v>
      </c>
      <c r="BB70" s="253" t="s">
        <v>978</v>
      </c>
      <c r="BC70" s="254" t="s">
        <v>870</v>
      </c>
      <c r="BD70" s="254" t="s">
        <v>870</v>
      </c>
      <c r="BE70" s="254" t="s">
        <v>870</v>
      </c>
      <c r="BF70" s="254" t="s">
        <v>870</v>
      </c>
      <c r="BG70" s="255" t="s">
        <v>870</v>
      </c>
      <c r="BH70" s="255"/>
      <c r="BI70" s="254" t="s">
        <v>868</v>
      </c>
      <c r="BJ70" s="254" t="s">
        <v>870</v>
      </c>
      <c r="BK70" s="254" t="s">
        <v>870</v>
      </c>
      <c r="BL70" s="320" t="s">
        <v>870</v>
      </c>
      <c r="BM70" s="320"/>
      <c r="BN70" s="128"/>
      <c r="BO70" s="128"/>
      <c r="BP70" s="254" t="s">
        <v>870</v>
      </c>
    </row>
    <row r="71" spans="1:68" ht="30">
      <c r="A71" s="196" t="s">
        <v>976</v>
      </c>
      <c r="B71" s="196" t="s">
        <v>864</v>
      </c>
      <c r="C71" s="196" t="s">
        <v>900</v>
      </c>
      <c r="D71" s="196" t="s">
        <v>993</v>
      </c>
      <c r="E71" s="196"/>
      <c r="F71" s="198" t="s">
        <v>994</v>
      </c>
      <c r="G71" s="282">
        <f>VLOOKUP(D71,'2024 NPI'!D:L,3,0)</f>
        <v>45308</v>
      </c>
      <c r="H71" s="282">
        <f>VLOOKUP(D71,'2024 NPI'!D:L,4,0)</f>
        <v>45329</v>
      </c>
      <c r="I71" s="235"/>
      <c r="K71" s="253" t="s">
        <v>868</v>
      </c>
      <c r="L71" s="253" t="s">
        <v>868</v>
      </c>
      <c r="M71" s="253" t="s">
        <v>868</v>
      </c>
      <c r="N71" s="253" t="s">
        <v>868</v>
      </c>
      <c r="O71" s="253" t="s">
        <v>978</v>
      </c>
      <c r="P71" s="253" t="s">
        <v>978</v>
      </c>
      <c r="Q71" s="253" t="s">
        <v>978</v>
      </c>
      <c r="R71" s="253" t="s">
        <v>978</v>
      </c>
      <c r="S71" s="253" t="s">
        <v>978</v>
      </c>
      <c r="T71" s="253" t="s">
        <v>978</v>
      </c>
      <c r="U71" s="253" t="s">
        <v>978</v>
      </c>
      <c r="V71" s="253" t="s">
        <v>978</v>
      </c>
      <c r="W71" s="253" t="s">
        <v>978</v>
      </c>
      <c r="X71" s="253" t="s">
        <v>978</v>
      </c>
      <c r="Y71" s="253" t="s">
        <v>978</v>
      </c>
      <c r="Z71" s="253" t="s">
        <v>978</v>
      </c>
      <c r="AA71" s="253" t="s">
        <v>978</v>
      </c>
      <c r="AB71" s="254" t="s">
        <v>870</v>
      </c>
      <c r="AC71" s="254" t="s">
        <v>870</v>
      </c>
      <c r="AD71" s="254" t="s">
        <v>870</v>
      </c>
      <c r="AE71" s="254" t="s">
        <v>870</v>
      </c>
      <c r="AF71" s="254" t="s">
        <v>870</v>
      </c>
      <c r="AG71" s="254" t="s">
        <v>870</v>
      </c>
      <c r="AH71" s="254" t="s">
        <v>870</v>
      </c>
      <c r="AI71" s="254"/>
      <c r="AJ71" s="253" t="s">
        <v>978</v>
      </c>
      <c r="AK71" s="253" t="s">
        <v>978</v>
      </c>
      <c r="AL71" s="253" t="s">
        <v>978</v>
      </c>
      <c r="AM71" s="253" t="s">
        <v>978</v>
      </c>
      <c r="AN71" s="253" t="s">
        <v>978</v>
      </c>
      <c r="AO71" s="253" t="s">
        <v>978</v>
      </c>
      <c r="AP71" s="253" t="s">
        <v>978</v>
      </c>
      <c r="AQ71" s="253" t="s">
        <v>978</v>
      </c>
      <c r="AR71" s="253" t="s">
        <v>978</v>
      </c>
      <c r="AS71" s="253" t="s">
        <v>978</v>
      </c>
      <c r="AT71" s="253" t="s">
        <v>978</v>
      </c>
      <c r="AU71" s="253" t="s">
        <v>978</v>
      </c>
      <c r="AV71" s="253" t="s">
        <v>978</v>
      </c>
      <c r="AW71" s="253" t="s">
        <v>978</v>
      </c>
      <c r="AX71" s="253" t="s">
        <v>978</v>
      </c>
      <c r="AY71" s="253" t="s">
        <v>978</v>
      </c>
      <c r="AZ71" s="253" t="s">
        <v>978</v>
      </c>
      <c r="BA71" s="253" t="s">
        <v>978</v>
      </c>
      <c r="BB71" s="253" t="s">
        <v>978</v>
      </c>
      <c r="BC71" s="254" t="s">
        <v>870</v>
      </c>
      <c r="BD71" s="254" t="s">
        <v>870</v>
      </c>
      <c r="BE71" s="254" t="s">
        <v>868</v>
      </c>
      <c r="BF71" s="254" t="s">
        <v>868</v>
      </c>
      <c r="BG71" s="254" t="s">
        <v>868</v>
      </c>
      <c r="BH71" s="254"/>
      <c r="BI71" s="254" t="s">
        <v>868</v>
      </c>
      <c r="BJ71" s="254" t="s">
        <v>870</v>
      </c>
      <c r="BK71" s="254" t="s">
        <v>868</v>
      </c>
      <c r="BL71" s="320" t="s">
        <v>870</v>
      </c>
      <c r="BM71" s="320"/>
      <c r="BN71" s="320" t="s">
        <v>868</v>
      </c>
      <c r="BO71" s="128"/>
      <c r="BP71" s="254" t="s">
        <v>870</v>
      </c>
    </row>
    <row r="72" spans="1:68">
      <c r="A72" s="196" t="s">
        <v>976</v>
      </c>
      <c r="B72" s="196" t="s">
        <v>864</v>
      </c>
      <c r="C72" s="196" t="s">
        <v>880</v>
      </c>
      <c r="D72" s="196" t="s">
        <v>995</v>
      </c>
      <c r="E72" s="196"/>
      <c r="F72" s="198" t="s">
        <v>996</v>
      </c>
      <c r="G72" s="282">
        <f>VLOOKUP(D72,'2024 NPI'!D:L,3,0)</f>
        <v>45316</v>
      </c>
      <c r="H72" s="282">
        <f>VLOOKUP(D72,'2024 NPI'!D:L,4,0)</f>
        <v>45344</v>
      </c>
      <c r="I72" s="235"/>
      <c r="K72" s="253" t="s">
        <v>868</v>
      </c>
      <c r="L72" s="253" t="s">
        <v>868</v>
      </c>
      <c r="M72" s="253" t="s">
        <v>868</v>
      </c>
      <c r="N72" s="253" t="s">
        <v>868</v>
      </c>
      <c r="O72" s="253" t="s">
        <v>978</v>
      </c>
      <c r="P72" s="253" t="s">
        <v>978</v>
      </c>
      <c r="Q72" s="253" t="s">
        <v>978</v>
      </c>
      <c r="R72" s="253" t="s">
        <v>978</v>
      </c>
      <c r="S72" s="253" t="s">
        <v>978</v>
      </c>
      <c r="T72" s="253" t="s">
        <v>978</v>
      </c>
      <c r="U72" s="253" t="s">
        <v>978</v>
      </c>
      <c r="V72" s="253" t="s">
        <v>978</v>
      </c>
      <c r="W72" s="253" t="s">
        <v>978</v>
      </c>
      <c r="X72" s="253" t="s">
        <v>978</v>
      </c>
      <c r="Y72" s="253" t="s">
        <v>978</v>
      </c>
      <c r="Z72" s="253" t="s">
        <v>978</v>
      </c>
      <c r="AA72" s="253" t="s">
        <v>978</v>
      </c>
      <c r="AB72" s="254" t="s">
        <v>870</v>
      </c>
      <c r="AC72" s="254" t="s">
        <v>870</v>
      </c>
      <c r="AD72" s="254" t="s">
        <v>870</v>
      </c>
      <c r="AE72" s="254" t="s">
        <v>870</v>
      </c>
      <c r="AF72" s="254" t="s">
        <v>870</v>
      </c>
      <c r="AG72" s="254" t="s">
        <v>870</v>
      </c>
      <c r="AH72" s="254" t="s">
        <v>870</v>
      </c>
      <c r="AI72" s="254"/>
      <c r="AJ72" s="253" t="s">
        <v>978</v>
      </c>
      <c r="AK72" s="253" t="s">
        <v>978</v>
      </c>
      <c r="AL72" s="253" t="s">
        <v>978</v>
      </c>
      <c r="AM72" s="253" t="s">
        <v>978</v>
      </c>
      <c r="AN72" s="253" t="s">
        <v>978</v>
      </c>
      <c r="AO72" s="253" t="s">
        <v>978</v>
      </c>
      <c r="AP72" s="253" t="s">
        <v>978</v>
      </c>
      <c r="AQ72" s="253" t="s">
        <v>978</v>
      </c>
      <c r="AR72" s="253" t="s">
        <v>978</v>
      </c>
      <c r="AS72" s="253" t="s">
        <v>978</v>
      </c>
      <c r="AT72" s="253" t="s">
        <v>978</v>
      </c>
      <c r="AU72" s="253" t="s">
        <v>978</v>
      </c>
      <c r="AV72" s="253" t="s">
        <v>978</v>
      </c>
      <c r="AW72" s="253" t="s">
        <v>978</v>
      </c>
      <c r="AX72" s="253" t="s">
        <v>978</v>
      </c>
      <c r="AY72" s="253" t="s">
        <v>978</v>
      </c>
      <c r="AZ72" s="253" t="s">
        <v>978</v>
      </c>
      <c r="BA72" s="253" t="s">
        <v>978</v>
      </c>
      <c r="BB72" s="253" t="s">
        <v>978</v>
      </c>
      <c r="BC72" s="254" t="s">
        <v>870</v>
      </c>
      <c r="BD72" s="254" t="s">
        <v>870</v>
      </c>
      <c r="BE72" s="254" t="s">
        <v>868</v>
      </c>
      <c r="BF72" s="254" t="s">
        <v>868</v>
      </c>
      <c r="BG72" s="254" t="s">
        <v>868</v>
      </c>
      <c r="BH72" s="254"/>
      <c r="BI72" s="254" t="s">
        <v>868</v>
      </c>
      <c r="BJ72" s="254" t="s">
        <v>870</v>
      </c>
      <c r="BK72" s="254" t="s">
        <v>868</v>
      </c>
      <c r="BL72" s="320" t="s">
        <v>870</v>
      </c>
      <c r="BM72" s="320"/>
      <c r="BN72" s="320" t="s">
        <v>868</v>
      </c>
      <c r="BO72" s="128"/>
      <c r="BP72" s="254" t="s">
        <v>870</v>
      </c>
    </row>
    <row r="73" spans="1:68">
      <c r="A73" s="196" t="s">
        <v>976</v>
      </c>
      <c r="B73" s="196" t="s">
        <v>864</v>
      </c>
      <c r="C73" s="196" t="s">
        <v>880</v>
      </c>
      <c r="D73" s="196" t="s">
        <v>997</v>
      </c>
      <c r="E73" s="196"/>
      <c r="F73" s="198" t="s">
        <v>998</v>
      </c>
      <c r="G73" s="282">
        <f>VLOOKUP(D73,'2024 NPI'!D:L,3,0)</f>
        <v>45316</v>
      </c>
      <c r="H73" s="282">
        <f>VLOOKUP(D73,'2024 NPI'!D:L,4,0)</f>
        <v>45344</v>
      </c>
      <c r="I73" s="235"/>
      <c r="K73" s="253" t="s">
        <v>868</v>
      </c>
      <c r="L73" s="253" t="s">
        <v>868</v>
      </c>
      <c r="M73" s="253" t="s">
        <v>868</v>
      </c>
      <c r="N73" s="253" t="s">
        <v>868</v>
      </c>
      <c r="O73" s="253" t="s">
        <v>978</v>
      </c>
      <c r="P73" s="253" t="s">
        <v>978</v>
      </c>
      <c r="Q73" s="253" t="s">
        <v>978</v>
      </c>
      <c r="R73" s="253" t="s">
        <v>978</v>
      </c>
      <c r="S73" s="253" t="s">
        <v>978</v>
      </c>
      <c r="T73" s="253" t="s">
        <v>978</v>
      </c>
      <c r="U73" s="253" t="s">
        <v>978</v>
      </c>
      <c r="V73" s="253" t="s">
        <v>978</v>
      </c>
      <c r="W73" s="253" t="s">
        <v>978</v>
      </c>
      <c r="X73" s="253" t="s">
        <v>978</v>
      </c>
      <c r="Y73" s="253" t="s">
        <v>978</v>
      </c>
      <c r="Z73" s="253" t="s">
        <v>978</v>
      </c>
      <c r="AA73" s="253" t="s">
        <v>978</v>
      </c>
      <c r="AB73" s="254" t="s">
        <v>870</v>
      </c>
      <c r="AC73" s="254" t="s">
        <v>870</v>
      </c>
      <c r="AD73" s="254" t="s">
        <v>870</v>
      </c>
      <c r="AE73" s="254" t="s">
        <v>870</v>
      </c>
      <c r="AF73" s="254" t="s">
        <v>870</v>
      </c>
      <c r="AG73" s="254" t="s">
        <v>870</v>
      </c>
      <c r="AH73" s="254" t="s">
        <v>870</v>
      </c>
      <c r="AI73" s="254"/>
      <c r="AJ73" s="253" t="s">
        <v>978</v>
      </c>
      <c r="AK73" s="253" t="s">
        <v>978</v>
      </c>
      <c r="AL73" s="253" t="s">
        <v>978</v>
      </c>
      <c r="AM73" s="253" t="s">
        <v>978</v>
      </c>
      <c r="AN73" s="253" t="s">
        <v>978</v>
      </c>
      <c r="AO73" s="253" t="s">
        <v>978</v>
      </c>
      <c r="AP73" s="253" t="s">
        <v>978</v>
      </c>
      <c r="AQ73" s="253" t="s">
        <v>978</v>
      </c>
      <c r="AR73" s="253" t="s">
        <v>978</v>
      </c>
      <c r="AS73" s="253" t="s">
        <v>978</v>
      </c>
      <c r="AT73" s="253" t="s">
        <v>978</v>
      </c>
      <c r="AU73" s="253" t="s">
        <v>978</v>
      </c>
      <c r="AV73" s="253" t="s">
        <v>978</v>
      </c>
      <c r="AW73" s="253" t="s">
        <v>978</v>
      </c>
      <c r="AX73" s="253" t="s">
        <v>978</v>
      </c>
      <c r="AY73" s="253" t="s">
        <v>978</v>
      </c>
      <c r="AZ73" s="253" t="s">
        <v>978</v>
      </c>
      <c r="BA73" s="253" t="s">
        <v>978</v>
      </c>
      <c r="BB73" s="253" t="s">
        <v>978</v>
      </c>
      <c r="BC73" s="254" t="s">
        <v>870</v>
      </c>
      <c r="BD73" s="254" t="s">
        <v>870</v>
      </c>
      <c r="BE73" s="254" t="s">
        <v>868</v>
      </c>
      <c r="BF73" s="254" t="s">
        <v>868</v>
      </c>
      <c r="BG73" s="254" t="s">
        <v>868</v>
      </c>
      <c r="BH73" s="254"/>
      <c r="BI73" s="254" t="s">
        <v>868</v>
      </c>
      <c r="BJ73" s="254" t="s">
        <v>870</v>
      </c>
      <c r="BK73" s="254" t="s">
        <v>868</v>
      </c>
      <c r="BL73" s="320" t="s">
        <v>870</v>
      </c>
      <c r="BM73" s="320"/>
      <c r="BN73" s="320" t="s">
        <v>868</v>
      </c>
      <c r="BO73" s="128"/>
      <c r="BP73" s="254" t="s">
        <v>870</v>
      </c>
    </row>
    <row r="74" spans="1:68">
      <c r="A74" s="196" t="s">
        <v>976</v>
      </c>
      <c r="B74" s="196" t="s">
        <v>864</v>
      </c>
      <c r="C74" s="196" t="s">
        <v>880</v>
      </c>
      <c r="D74" s="196" t="s">
        <v>999</v>
      </c>
      <c r="E74" s="196"/>
      <c r="F74" s="198" t="s">
        <v>1000</v>
      </c>
      <c r="G74" s="282">
        <f>VLOOKUP(D74,'2024 NPI'!D:L,3,0)</f>
        <v>45316</v>
      </c>
      <c r="H74" s="282">
        <f>VLOOKUP(D74,'2024 NPI'!D:L,4,0)</f>
        <v>45344</v>
      </c>
      <c r="I74" s="235"/>
      <c r="K74" s="253" t="s">
        <v>868</v>
      </c>
      <c r="L74" s="253" t="s">
        <v>868</v>
      </c>
      <c r="M74" s="253" t="s">
        <v>868</v>
      </c>
      <c r="N74" s="253" t="s">
        <v>868</v>
      </c>
      <c r="O74" s="253" t="s">
        <v>978</v>
      </c>
      <c r="P74" s="253" t="s">
        <v>978</v>
      </c>
      <c r="Q74" s="253" t="s">
        <v>978</v>
      </c>
      <c r="R74" s="253" t="s">
        <v>978</v>
      </c>
      <c r="S74" s="253" t="s">
        <v>978</v>
      </c>
      <c r="T74" s="253" t="s">
        <v>978</v>
      </c>
      <c r="U74" s="253" t="s">
        <v>978</v>
      </c>
      <c r="V74" s="253" t="s">
        <v>978</v>
      </c>
      <c r="W74" s="253" t="s">
        <v>978</v>
      </c>
      <c r="X74" s="253" t="s">
        <v>978</v>
      </c>
      <c r="Y74" s="253" t="s">
        <v>978</v>
      </c>
      <c r="Z74" s="253" t="s">
        <v>978</v>
      </c>
      <c r="AA74" s="253" t="s">
        <v>978</v>
      </c>
      <c r="AB74" s="254" t="s">
        <v>870</v>
      </c>
      <c r="AC74" s="254" t="s">
        <v>870</v>
      </c>
      <c r="AD74" s="254" t="s">
        <v>870</v>
      </c>
      <c r="AE74" s="254" t="s">
        <v>870</v>
      </c>
      <c r="AF74" s="254" t="s">
        <v>870</v>
      </c>
      <c r="AG74" s="254" t="s">
        <v>870</v>
      </c>
      <c r="AH74" s="254" t="s">
        <v>870</v>
      </c>
      <c r="AI74" s="254"/>
      <c r="AJ74" s="253" t="s">
        <v>978</v>
      </c>
      <c r="AK74" s="253" t="s">
        <v>978</v>
      </c>
      <c r="AL74" s="253" t="s">
        <v>978</v>
      </c>
      <c r="AM74" s="253" t="s">
        <v>978</v>
      </c>
      <c r="AN74" s="253" t="s">
        <v>978</v>
      </c>
      <c r="AO74" s="253" t="s">
        <v>978</v>
      </c>
      <c r="AP74" s="253" t="s">
        <v>978</v>
      </c>
      <c r="AQ74" s="253" t="s">
        <v>978</v>
      </c>
      <c r="AR74" s="253" t="s">
        <v>978</v>
      </c>
      <c r="AS74" s="253" t="s">
        <v>978</v>
      </c>
      <c r="AT74" s="253" t="s">
        <v>978</v>
      </c>
      <c r="AU74" s="253" t="s">
        <v>978</v>
      </c>
      <c r="AV74" s="253" t="s">
        <v>978</v>
      </c>
      <c r="AW74" s="253" t="s">
        <v>978</v>
      </c>
      <c r="AX74" s="253" t="s">
        <v>978</v>
      </c>
      <c r="AY74" s="253" t="s">
        <v>978</v>
      </c>
      <c r="AZ74" s="253" t="s">
        <v>978</v>
      </c>
      <c r="BA74" s="253" t="s">
        <v>978</v>
      </c>
      <c r="BB74" s="253" t="s">
        <v>978</v>
      </c>
      <c r="BC74" s="254" t="s">
        <v>870</v>
      </c>
      <c r="BD74" s="254" t="s">
        <v>870</v>
      </c>
      <c r="BE74" s="254" t="s">
        <v>868</v>
      </c>
      <c r="BF74" s="254" t="s">
        <v>868</v>
      </c>
      <c r="BG74" s="254" t="s">
        <v>868</v>
      </c>
      <c r="BH74" s="254"/>
      <c r="BI74" s="254" t="s">
        <v>868</v>
      </c>
      <c r="BJ74" s="254" t="s">
        <v>870</v>
      </c>
      <c r="BK74" s="254" t="s">
        <v>868</v>
      </c>
      <c r="BL74" s="320" t="s">
        <v>870</v>
      </c>
      <c r="BM74" s="320"/>
      <c r="BN74" s="320" t="s">
        <v>868</v>
      </c>
      <c r="BO74" s="128"/>
      <c r="BP74" s="254" t="s">
        <v>870</v>
      </c>
    </row>
    <row r="75" spans="1:68" ht="30">
      <c r="A75" s="196" t="s">
        <v>976</v>
      </c>
      <c r="B75" s="196" t="s">
        <v>864</v>
      </c>
      <c r="C75" s="196" t="s">
        <v>900</v>
      </c>
      <c r="D75" s="196" t="s">
        <v>1001</v>
      </c>
      <c r="E75" s="196"/>
      <c r="F75" s="198" t="s">
        <v>1002</v>
      </c>
      <c r="G75" s="282">
        <f>VLOOKUP(D75,'2024 NPI'!D:L,3,0)</f>
        <v>45316</v>
      </c>
      <c r="H75" s="282">
        <f>VLOOKUP(D75,'2024 NPI'!D:L,4,0)</f>
        <v>45344</v>
      </c>
      <c r="I75" s="236"/>
      <c r="K75" s="253" t="s">
        <v>868</v>
      </c>
      <c r="L75" s="253" t="s">
        <v>868</v>
      </c>
      <c r="M75" s="253" t="s">
        <v>868</v>
      </c>
      <c r="N75" s="253" t="s">
        <v>868</v>
      </c>
      <c r="O75" s="253" t="s">
        <v>978</v>
      </c>
      <c r="P75" s="253" t="s">
        <v>978</v>
      </c>
      <c r="Q75" s="253" t="s">
        <v>978</v>
      </c>
      <c r="R75" s="253" t="s">
        <v>978</v>
      </c>
      <c r="S75" s="253" t="s">
        <v>978</v>
      </c>
      <c r="T75" s="253" t="s">
        <v>978</v>
      </c>
      <c r="U75" s="253" t="s">
        <v>978</v>
      </c>
      <c r="V75" s="253" t="s">
        <v>978</v>
      </c>
      <c r="W75" s="253" t="s">
        <v>978</v>
      </c>
      <c r="X75" s="253" t="s">
        <v>978</v>
      </c>
      <c r="Y75" s="253" t="s">
        <v>978</v>
      </c>
      <c r="Z75" s="253" t="s">
        <v>978</v>
      </c>
      <c r="AA75" s="253" t="s">
        <v>978</v>
      </c>
      <c r="AB75" s="254" t="s">
        <v>870</v>
      </c>
      <c r="AC75" s="254" t="s">
        <v>870</v>
      </c>
      <c r="AD75" s="254" t="s">
        <v>870</v>
      </c>
      <c r="AE75" s="254" t="s">
        <v>870</v>
      </c>
      <c r="AF75" s="254" t="s">
        <v>870</v>
      </c>
      <c r="AG75" s="254" t="s">
        <v>870</v>
      </c>
      <c r="AH75" s="254" t="s">
        <v>870</v>
      </c>
      <c r="AI75" s="254"/>
      <c r="AJ75" s="253" t="s">
        <v>978</v>
      </c>
      <c r="AK75" s="253" t="s">
        <v>978</v>
      </c>
      <c r="AL75" s="253" t="s">
        <v>978</v>
      </c>
      <c r="AM75" s="253" t="s">
        <v>978</v>
      </c>
      <c r="AN75" s="253" t="s">
        <v>978</v>
      </c>
      <c r="AO75" s="253" t="s">
        <v>978</v>
      </c>
      <c r="AP75" s="253" t="s">
        <v>978</v>
      </c>
      <c r="AQ75" s="253" t="s">
        <v>978</v>
      </c>
      <c r="AR75" s="253" t="s">
        <v>978</v>
      </c>
      <c r="AS75" s="253" t="s">
        <v>978</v>
      </c>
      <c r="AT75" s="253" t="s">
        <v>978</v>
      </c>
      <c r="AU75" s="253" t="s">
        <v>978</v>
      </c>
      <c r="AV75" s="253" t="s">
        <v>978</v>
      </c>
      <c r="AW75" s="253" t="s">
        <v>978</v>
      </c>
      <c r="AX75" s="253" t="s">
        <v>978</v>
      </c>
      <c r="AY75" s="253" t="s">
        <v>978</v>
      </c>
      <c r="AZ75" s="253" t="s">
        <v>978</v>
      </c>
      <c r="BA75" s="253" t="s">
        <v>978</v>
      </c>
      <c r="BB75" s="253" t="s">
        <v>978</v>
      </c>
      <c r="BC75" s="254" t="s">
        <v>870</v>
      </c>
      <c r="BD75" s="254" t="s">
        <v>870</v>
      </c>
      <c r="BE75" s="254" t="s">
        <v>868</v>
      </c>
      <c r="BF75" s="254" t="s">
        <v>868</v>
      </c>
      <c r="BG75" s="254" t="s">
        <v>868</v>
      </c>
      <c r="BH75" s="254"/>
      <c r="BI75" s="254" t="s">
        <v>868</v>
      </c>
      <c r="BJ75" s="254" t="s">
        <v>870</v>
      </c>
      <c r="BK75" s="254" t="s">
        <v>868</v>
      </c>
      <c r="BL75" s="320" t="s">
        <v>870</v>
      </c>
      <c r="BM75" s="320"/>
      <c r="BN75" s="320" t="s">
        <v>868</v>
      </c>
      <c r="BO75" s="128"/>
      <c r="BP75" s="254" t="s">
        <v>870</v>
      </c>
    </row>
    <row r="76" spans="1:68" ht="30">
      <c r="A76" s="196" t="s">
        <v>976</v>
      </c>
      <c r="B76" s="199" t="s">
        <v>864</v>
      </c>
      <c r="C76" s="196" t="s">
        <v>900</v>
      </c>
      <c r="D76" s="199" t="s">
        <v>1003</v>
      </c>
      <c r="E76" s="199"/>
      <c r="F76" s="200" t="s">
        <v>1004</v>
      </c>
      <c r="G76" s="282">
        <f>VLOOKUP(D76,'2024 NPI'!D:L,3,0)</f>
        <v>45338</v>
      </c>
      <c r="H76" s="282">
        <f>VLOOKUP(D76,'2024 NPI'!D:L,4,0)</f>
        <v>45352</v>
      </c>
      <c r="I76" s="235"/>
      <c r="K76" s="253" t="s">
        <v>868</v>
      </c>
      <c r="L76" s="253" t="s">
        <v>868</v>
      </c>
      <c r="M76" s="253" t="s">
        <v>868</v>
      </c>
      <c r="N76" s="253" t="s">
        <v>868</v>
      </c>
      <c r="O76" s="253" t="s">
        <v>978</v>
      </c>
      <c r="P76" s="253" t="s">
        <v>978</v>
      </c>
      <c r="Q76" s="253" t="s">
        <v>978</v>
      </c>
      <c r="R76" s="253" t="s">
        <v>978</v>
      </c>
      <c r="S76" s="253" t="s">
        <v>978</v>
      </c>
      <c r="T76" s="253" t="s">
        <v>978</v>
      </c>
      <c r="U76" s="253" t="s">
        <v>978</v>
      </c>
      <c r="V76" s="253" t="s">
        <v>978</v>
      </c>
      <c r="W76" s="253" t="s">
        <v>978</v>
      </c>
      <c r="X76" s="253" t="s">
        <v>978</v>
      </c>
      <c r="Y76" s="253" t="s">
        <v>978</v>
      </c>
      <c r="Z76" s="253" t="s">
        <v>978</v>
      </c>
      <c r="AA76" s="253" t="s">
        <v>978</v>
      </c>
      <c r="AB76" s="254" t="s">
        <v>870</v>
      </c>
      <c r="AC76" s="254" t="s">
        <v>870</v>
      </c>
      <c r="AD76" s="254" t="s">
        <v>870</v>
      </c>
      <c r="AE76" s="254" t="s">
        <v>870</v>
      </c>
      <c r="AF76" s="254" t="s">
        <v>870</v>
      </c>
      <c r="AG76" s="254" t="s">
        <v>870</v>
      </c>
      <c r="AH76" s="254" t="s">
        <v>870</v>
      </c>
      <c r="AI76" s="254"/>
      <c r="AJ76" s="253" t="s">
        <v>978</v>
      </c>
      <c r="AK76" s="253" t="s">
        <v>978</v>
      </c>
      <c r="AL76" s="253" t="s">
        <v>978</v>
      </c>
      <c r="AM76" s="253" t="s">
        <v>978</v>
      </c>
      <c r="AN76" s="253" t="s">
        <v>978</v>
      </c>
      <c r="AO76" s="253" t="s">
        <v>978</v>
      </c>
      <c r="AP76" s="253" t="s">
        <v>978</v>
      </c>
      <c r="AQ76" s="253" t="s">
        <v>978</v>
      </c>
      <c r="AR76" s="253" t="s">
        <v>978</v>
      </c>
      <c r="AS76" s="253" t="s">
        <v>978</v>
      </c>
      <c r="AT76" s="253" t="s">
        <v>978</v>
      </c>
      <c r="AU76" s="253" t="s">
        <v>978</v>
      </c>
      <c r="AV76" s="253" t="s">
        <v>978</v>
      </c>
      <c r="AW76" s="253" t="s">
        <v>978</v>
      </c>
      <c r="AX76" s="253" t="s">
        <v>978</v>
      </c>
      <c r="AY76" s="253" t="s">
        <v>978</v>
      </c>
      <c r="AZ76" s="253" t="s">
        <v>978</v>
      </c>
      <c r="BA76" s="253" t="s">
        <v>978</v>
      </c>
      <c r="BB76" s="253" t="s">
        <v>978</v>
      </c>
      <c r="BC76" s="254" t="s">
        <v>870</v>
      </c>
      <c r="BD76" s="254" t="s">
        <v>870</v>
      </c>
      <c r="BE76" s="254" t="s">
        <v>868</v>
      </c>
      <c r="BF76" s="254" t="s">
        <v>868</v>
      </c>
      <c r="BG76" s="254" t="s">
        <v>868</v>
      </c>
      <c r="BH76" s="254"/>
      <c r="BI76" s="254" t="s">
        <v>868</v>
      </c>
      <c r="BJ76" s="254" t="s">
        <v>870</v>
      </c>
      <c r="BK76" s="254" t="s">
        <v>868</v>
      </c>
      <c r="BL76" s="320" t="s">
        <v>870</v>
      </c>
      <c r="BM76" s="320"/>
      <c r="BN76" s="320" t="s">
        <v>868</v>
      </c>
      <c r="BO76" s="128"/>
      <c r="BP76" s="254" t="s">
        <v>870</v>
      </c>
    </row>
    <row r="77" spans="1:68" ht="30">
      <c r="A77" s="196" t="s">
        <v>976</v>
      </c>
      <c r="B77" s="196" t="s">
        <v>864</v>
      </c>
      <c r="C77" s="196" t="s">
        <v>900</v>
      </c>
      <c r="D77" s="196" t="s">
        <v>1005</v>
      </c>
      <c r="E77" s="196"/>
      <c r="F77" s="198" t="s">
        <v>1006</v>
      </c>
      <c r="G77" s="282">
        <f>VLOOKUP(D77,'2024 NPI'!D:L,3,0)</f>
        <v>45338</v>
      </c>
      <c r="H77" s="282">
        <f>VLOOKUP(D77,'2024 NPI'!D:L,4,0)</f>
        <v>45352</v>
      </c>
      <c r="I77" s="235"/>
      <c r="K77" s="253" t="s">
        <v>868</v>
      </c>
      <c r="L77" s="253" t="s">
        <v>868</v>
      </c>
      <c r="M77" s="253" t="s">
        <v>868</v>
      </c>
      <c r="N77" s="253" t="s">
        <v>868</v>
      </c>
      <c r="O77" s="253" t="s">
        <v>978</v>
      </c>
      <c r="P77" s="253" t="s">
        <v>978</v>
      </c>
      <c r="Q77" s="253" t="s">
        <v>978</v>
      </c>
      <c r="R77" s="253" t="s">
        <v>978</v>
      </c>
      <c r="S77" s="253" t="s">
        <v>978</v>
      </c>
      <c r="T77" s="253" t="s">
        <v>978</v>
      </c>
      <c r="U77" s="253" t="s">
        <v>978</v>
      </c>
      <c r="V77" s="253" t="s">
        <v>978</v>
      </c>
      <c r="W77" s="253" t="s">
        <v>978</v>
      </c>
      <c r="X77" s="253" t="s">
        <v>978</v>
      </c>
      <c r="Y77" s="253" t="s">
        <v>978</v>
      </c>
      <c r="Z77" s="253" t="s">
        <v>978</v>
      </c>
      <c r="AA77" s="253" t="s">
        <v>978</v>
      </c>
      <c r="AB77" s="254" t="s">
        <v>870</v>
      </c>
      <c r="AC77" s="254" t="s">
        <v>870</v>
      </c>
      <c r="AD77" s="254" t="s">
        <v>870</v>
      </c>
      <c r="AE77" s="254" t="s">
        <v>870</v>
      </c>
      <c r="AF77" s="254" t="s">
        <v>870</v>
      </c>
      <c r="AG77" s="254" t="s">
        <v>870</v>
      </c>
      <c r="AH77" s="254" t="s">
        <v>870</v>
      </c>
      <c r="AI77" s="254"/>
      <c r="AJ77" s="253" t="s">
        <v>978</v>
      </c>
      <c r="AK77" s="253" t="s">
        <v>978</v>
      </c>
      <c r="AL77" s="253" t="s">
        <v>978</v>
      </c>
      <c r="AM77" s="253" t="s">
        <v>978</v>
      </c>
      <c r="AN77" s="253" t="s">
        <v>978</v>
      </c>
      <c r="AO77" s="253" t="s">
        <v>978</v>
      </c>
      <c r="AP77" s="253" t="s">
        <v>978</v>
      </c>
      <c r="AQ77" s="253" t="s">
        <v>978</v>
      </c>
      <c r="AR77" s="253" t="s">
        <v>978</v>
      </c>
      <c r="AS77" s="253" t="s">
        <v>978</v>
      </c>
      <c r="AT77" s="253" t="s">
        <v>978</v>
      </c>
      <c r="AU77" s="253" t="s">
        <v>978</v>
      </c>
      <c r="AV77" s="253" t="s">
        <v>978</v>
      </c>
      <c r="AW77" s="253" t="s">
        <v>978</v>
      </c>
      <c r="AX77" s="253" t="s">
        <v>978</v>
      </c>
      <c r="AY77" s="253" t="s">
        <v>978</v>
      </c>
      <c r="AZ77" s="253" t="s">
        <v>978</v>
      </c>
      <c r="BA77" s="253" t="s">
        <v>978</v>
      </c>
      <c r="BB77" s="253" t="s">
        <v>978</v>
      </c>
      <c r="BC77" s="254" t="s">
        <v>870</v>
      </c>
      <c r="BD77" s="254" t="s">
        <v>870</v>
      </c>
      <c r="BE77" s="254" t="s">
        <v>868</v>
      </c>
      <c r="BF77" s="254" t="s">
        <v>868</v>
      </c>
      <c r="BG77" s="254" t="s">
        <v>868</v>
      </c>
      <c r="BH77" s="254"/>
      <c r="BI77" s="254" t="s">
        <v>868</v>
      </c>
      <c r="BJ77" s="254" t="s">
        <v>870</v>
      </c>
      <c r="BK77" s="254" t="s">
        <v>868</v>
      </c>
      <c r="BL77" s="320" t="s">
        <v>870</v>
      </c>
      <c r="BM77" s="320"/>
      <c r="BN77" s="320" t="s">
        <v>868</v>
      </c>
      <c r="BO77" s="128"/>
      <c r="BP77" s="254" t="s">
        <v>870</v>
      </c>
    </row>
    <row r="78" spans="1:68">
      <c r="A78" s="196" t="s">
        <v>976</v>
      </c>
      <c r="B78" s="196" t="s">
        <v>864</v>
      </c>
      <c r="C78" s="196" t="s">
        <v>873</v>
      </c>
      <c r="D78" s="196" t="s">
        <v>1007</v>
      </c>
      <c r="E78" s="196"/>
      <c r="F78" s="198" t="s">
        <v>1008</v>
      </c>
      <c r="G78" s="282">
        <f>VLOOKUP(D78,'2024 NPI'!D:L,3,0)</f>
        <v>45330</v>
      </c>
      <c r="H78" s="282">
        <f>VLOOKUP(D78,'2024 NPI'!D:L,4,0)</f>
        <v>45352</v>
      </c>
      <c r="I78" s="235"/>
      <c r="K78" s="253" t="s">
        <v>868</v>
      </c>
      <c r="L78" s="253" t="s">
        <v>868</v>
      </c>
      <c r="M78" s="253" t="s">
        <v>868</v>
      </c>
      <c r="N78" s="253" t="s">
        <v>868</v>
      </c>
      <c r="O78" s="253" t="s">
        <v>978</v>
      </c>
      <c r="P78" s="253" t="s">
        <v>978</v>
      </c>
      <c r="Q78" s="253" t="s">
        <v>978</v>
      </c>
      <c r="R78" s="253" t="s">
        <v>978</v>
      </c>
      <c r="S78" s="253" t="s">
        <v>978</v>
      </c>
      <c r="T78" s="253" t="s">
        <v>978</v>
      </c>
      <c r="U78" s="253" t="s">
        <v>978</v>
      </c>
      <c r="V78" s="253" t="s">
        <v>978</v>
      </c>
      <c r="W78" s="253" t="s">
        <v>978</v>
      </c>
      <c r="X78" s="253" t="s">
        <v>978</v>
      </c>
      <c r="Y78" s="253" t="s">
        <v>978</v>
      </c>
      <c r="Z78" s="253" t="s">
        <v>978</v>
      </c>
      <c r="AA78" s="253" t="s">
        <v>978</v>
      </c>
      <c r="AB78" s="254" t="s">
        <v>870</v>
      </c>
      <c r="AC78" s="254" t="s">
        <v>870</v>
      </c>
      <c r="AD78" s="254" t="s">
        <v>870</v>
      </c>
      <c r="AE78" s="254" t="s">
        <v>870</v>
      </c>
      <c r="AF78" s="254" t="s">
        <v>870</v>
      </c>
      <c r="AG78" s="254" t="s">
        <v>870</v>
      </c>
      <c r="AH78" s="254" t="s">
        <v>870</v>
      </c>
      <c r="AI78" s="254"/>
      <c r="AJ78" s="253" t="s">
        <v>978</v>
      </c>
      <c r="AK78" s="253" t="s">
        <v>978</v>
      </c>
      <c r="AL78" s="253" t="s">
        <v>978</v>
      </c>
      <c r="AM78" s="253" t="s">
        <v>978</v>
      </c>
      <c r="AN78" s="253" t="s">
        <v>978</v>
      </c>
      <c r="AO78" s="253" t="s">
        <v>978</v>
      </c>
      <c r="AP78" s="253" t="s">
        <v>978</v>
      </c>
      <c r="AQ78" s="253" t="s">
        <v>978</v>
      </c>
      <c r="AR78" s="253" t="s">
        <v>978</v>
      </c>
      <c r="AS78" s="253" t="s">
        <v>978</v>
      </c>
      <c r="AT78" s="253" t="s">
        <v>978</v>
      </c>
      <c r="AU78" s="253" t="s">
        <v>978</v>
      </c>
      <c r="AV78" s="253" t="s">
        <v>978</v>
      </c>
      <c r="AW78" s="253" t="s">
        <v>978</v>
      </c>
      <c r="AX78" s="253" t="s">
        <v>978</v>
      </c>
      <c r="AY78" s="253" t="s">
        <v>978</v>
      </c>
      <c r="AZ78" s="253" t="s">
        <v>978</v>
      </c>
      <c r="BA78" s="253" t="s">
        <v>978</v>
      </c>
      <c r="BB78" s="253" t="s">
        <v>978</v>
      </c>
      <c r="BC78" s="254" t="s">
        <v>870</v>
      </c>
      <c r="BD78" s="254" t="s">
        <v>870</v>
      </c>
      <c r="BE78" s="254" t="s">
        <v>868</v>
      </c>
      <c r="BF78" s="254" t="s">
        <v>868</v>
      </c>
      <c r="BG78" s="253" t="s">
        <v>978</v>
      </c>
      <c r="BH78" s="253"/>
      <c r="BI78" s="254" t="s">
        <v>868</v>
      </c>
      <c r="BJ78" s="254" t="s">
        <v>870</v>
      </c>
      <c r="BK78" s="254" t="s">
        <v>868</v>
      </c>
      <c r="BL78" s="320" t="s">
        <v>870</v>
      </c>
      <c r="BM78" s="320"/>
      <c r="BN78" s="320" t="s">
        <v>868</v>
      </c>
      <c r="BO78" s="128"/>
      <c r="BP78" s="254" t="s">
        <v>870</v>
      </c>
    </row>
    <row r="79" spans="1:68">
      <c r="A79" s="196" t="s">
        <v>976</v>
      </c>
      <c r="B79" s="196" t="s">
        <v>864</v>
      </c>
      <c r="C79" s="196" t="s">
        <v>873</v>
      </c>
      <c r="D79" s="196" t="s">
        <v>1009</v>
      </c>
      <c r="E79" s="196"/>
      <c r="F79" s="198" t="s">
        <v>1010</v>
      </c>
      <c r="G79" s="282">
        <f>VLOOKUP(D79,'2024 NPI'!D:L,3,0)</f>
        <v>45330</v>
      </c>
      <c r="H79" s="282">
        <f>VLOOKUP(D79,'2024 NPI'!D:L,4,0)</f>
        <v>45352</v>
      </c>
      <c r="I79" s="235"/>
      <c r="K79" s="253" t="s">
        <v>868</v>
      </c>
      <c r="L79" s="253" t="s">
        <v>868</v>
      </c>
      <c r="M79" s="253" t="s">
        <v>868</v>
      </c>
      <c r="N79" s="253" t="s">
        <v>868</v>
      </c>
      <c r="O79" s="253" t="s">
        <v>978</v>
      </c>
      <c r="P79" s="253" t="s">
        <v>978</v>
      </c>
      <c r="Q79" s="253" t="s">
        <v>978</v>
      </c>
      <c r="R79" s="253" t="s">
        <v>978</v>
      </c>
      <c r="S79" s="253" t="s">
        <v>978</v>
      </c>
      <c r="T79" s="253" t="s">
        <v>978</v>
      </c>
      <c r="U79" s="253" t="s">
        <v>978</v>
      </c>
      <c r="V79" s="253" t="s">
        <v>978</v>
      </c>
      <c r="W79" s="253" t="s">
        <v>978</v>
      </c>
      <c r="X79" s="253" t="s">
        <v>978</v>
      </c>
      <c r="Y79" s="253" t="s">
        <v>978</v>
      </c>
      <c r="Z79" s="253" t="s">
        <v>978</v>
      </c>
      <c r="AA79" s="253" t="s">
        <v>978</v>
      </c>
      <c r="AB79" s="254" t="s">
        <v>870</v>
      </c>
      <c r="AC79" s="254" t="s">
        <v>870</v>
      </c>
      <c r="AD79" s="254" t="s">
        <v>870</v>
      </c>
      <c r="AE79" s="254" t="s">
        <v>870</v>
      </c>
      <c r="AF79" s="254" t="s">
        <v>870</v>
      </c>
      <c r="AG79" s="254" t="s">
        <v>870</v>
      </c>
      <c r="AH79" s="254" t="s">
        <v>870</v>
      </c>
      <c r="AI79" s="254"/>
      <c r="AJ79" s="253" t="s">
        <v>978</v>
      </c>
      <c r="AK79" s="253" t="s">
        <v>978</v>
      </c>
      <c r="AL79" s="253" t="s">
        <v>978</v>
      </c>
      <c r="AM79" s="253" t="s">
        <v>978</v>
      </c>
      <c r="AN79" s="253" t="s">
        <v>978</v>
      </c>
      <c r="AO79" s="253" t="s">
        <v>978</v>
      </c>
      <c r="AP79" s="253" t="s">
        <v>978</v>
      </c>
      <c r="AQ79" s="253" t="s">
        <v>978</v>
      </c>
      <c r="AR79" s="253" t="s">
        <v>978</v>
      </c>
      <c r="AS79" s="253" t="s">
        <v>978</v>
      </c>
      <c r="AT79" s="253" t="s">
        <v>978</v>
      </c>
      <c r="AU79" s="253" t="s">
        <v>978</v>
      </c>
      <c r="AV79" s="253" t="s">
        <v>978</v>
      </c>
      <c r="AW79" s="253" t="s">
        <v>978</v>
      </c>
      <c r="AX79" s="253" t="s">
        <v>978</v>
      </c>
      <c r="AY79" s="253" t="s">
        <v>978</v>
      </c>
      <c r="AZ79" s="253" t="s">
        <v>978</v>
      </c>
      <c r="BA79" s="253" t="s">
        <v>978</v>
      </c>
      <c r="BB79" s="253" t="s">
        <v>978</v>
      </c>
      <c r="BC79" s="254" t="s">
        <v>870</v>
      </c>
      <c r="BD79" s="254" t="s">
        <v>870</v>
      </c>
      <c r="BE79" s="254" t="s">
        <v>868</v>
      </c>
      <c r="BF79" s="254" t="s">
        <v>868</v>
      </c>
      <c r="BG79" s="253" t="s">
        <v>978</v>
      </c>
      <c r="BH79" s="253"/>
      <c r="BI79" s="254" t="s">
        <v>868</v>
      </c>
      <c r="BJ79" s="254" t="s">
        <v>870</v>
      </c>
      <c r="BK79" s="254" t="s">
        <v>868</v>
      </c>
      <c r="BL79" s="320" t="s">
        <v>870</v>
      </c>
      <c r="BM79" s="320"/>
      <c r="BN79" s="320" t="s">
        <v>868</v>
      </c>
      <c r="BO79" s="128"/>
      <c r="BP79" s="254" t="s">
        <v>870</v>
      </c>
    </row>
    <row r="80" spans="1:68">
      <c r="A80" s="196" t="s">
        <v>976</v>
      </c>
      <c r="B80" s="196" t="s">
        <v>864</v>
      </c>
      <c r="C80" s="196" t="s">
        <v>873</v>
      </c>
      <c r="D80" s="196" t="s">
        <v>1011</v>
      </c>
      <c r="E80" s="196"/>
      <c r="F80" s="198" t="s">
        <v>1012</v>
      </c>
      <c r="G80" s="282">
        <f>VLOOKUP(D80,'2024 NPI'!D:L,3,0)</f>
        <v>45330</v>
      </c>
      <c r="H80" s="282">
        <f>VLOOKUP(D80,'2024 NPI'!D:L,4,0)</f>
        <v>45352</v>
      </c>
      <c r="I80" s="235"/>
      <c r="K80" s="253" t="s">
        <v>868</v>
      </c>
      <c r="L80" s="253" t="s">
        <v>868</v>
      </c>
      <c r="M80" s="253" t="s">
        <v>868</v>
      </c>
      <c r="N80" s="253" t="s">
        <v>868</v>
      </c>
      <c r="O80" s="253" t="s">
        <v>978</v>
      </c>
      <c r="P80" s="253" t="s">
        <v>978</v>
      </c>
      <c r="Q80" s="253" t="s">
        <v>978</v>
      </c>
      <c r="R80" s="253" t="s">
        <v>978</v>
      </c>
      <c r="S80" s="253" t="s">
        <v>978</v>
      </c>
      <c r="T80" s="253" t="s">
        <v>978</v>
      </c>
      <c r="U80" s="253" t="s">
        <v>978</v>
      </c>
      <c r="V80" s="253" t="s">
        <v>978</v>
      </c>
      <c r="W80" s="253" t="s">
        <v>978</v>
      </c>
      <c r="X80" s="253" t="s">
        <v>978</v>
      </c>
      <c r="Y80" s="253" t="s">
        <v>978</v>
      </c>
      <c r="Z80" s="253" t="s">
        <v>978</v>
      </c>
      <c r="AA80" s="253" t="s">
        <v>978</v>
      </c>
      <c r="AB80" s="254" t="s">
        <v>870</v>
      </c>
      <c r="AC80" s="254" t="s">
        <v>870</v>
      </c>
      <c r="AD80" s="254" t="s">
        <v>870</v>
      </c>
      <c r="AE80" s="254" t="s">
        <v>870</v>
      </c>
      <c r="AF80" s="254" t="s">
        <v>870</v>
      </c>
      <c r="AG80" s="254" t="s">
        <v>870</v>
      </c>
      <c r="AH80" s="254" t="s">
        <v>870</v>
      </c>
      <c r="AI80" s="254"/>
      <c r="AJ80" s="253" t="s">
        <v>978</v>
      </c>
      <c r="AK80" s="253" t="s">
        <v>978</v>
      </c>
      <c r="AL80" s="253" t="s">
        <v>978</v>
      </c>
      <c r="AM80" s="253" t="s">
        <v>978</v>
      </c>
      <c r="AN80" s="253" t="s">
        <v>978</v>
      </c>
      <c r="AO80" s="253" t="s">
        <v>978</v>
      </c>
      <c r="AP80" s="253" t="s">
        <v>978</v>
      </c>
      <c r="AQ80" s="253" t="s">
        <v>978</v>
      </c>
      <c r="AR80" s="253" t="s">
        <v>978</v>
      </c>
      <c r="AS80" s="253" t="s">
        <v>978</v>
      </c>
      <c r="AT80" s="253" t="s">
        <v>978</v>
      </c>
      <c r="AU80" s="253" t="s">
        <v>978</v>
      </c>
      <c r="AV80" s="253" t="s">
        <v>978</v>
      </c>
      <c r="AW80" s="253" t="s">
        <v>978</v>
      </c>
      <c r="AX80" s="253" t="s">
        <v>978</v>
      </c>
      <c r="AY80" s="253" t="s">
        <v>978</v>
      </c>
      <c r="AZ80" s="253" t="s">
        <v>978</v>
      </c>
      <c r="BA80" s="253" t="s">
        <v>978</v>
      </c>
      <c r="BB80" s="253" t="s">
        <v>978</v>
      </c>
      <c r="BC80" s="254" t="s">
        <v>870</v>
      </c>
      <c r="BD80" s="254" t="s">
        <v>870</v>
      </c>
      <c r="BE80" s="254" t="s">
        <v>868</v>
      </c>
      <c r="BF80" s="254" t="s">
        <v>868</v>
      </c>
      <c r="BG80" s="253" t="s">
        <v>978</v>
      </c>
      <c r="BH80" s="253"/>
      <c r="BI80" s="254" t="s">
        <v>868</v>
      </c>
      <c r="BJ80" s="254" t="s">
        <v>870</v>
      </c>
      <c r="BK80" s="254" t="s">
        <v>868</v>
      </c>
      <c r="BL80" s="320" t="s">
        <v>870</v>
      </c>
      <c r="BM80" s="320"/>
      <c r="BN80" s="320" t="s">
        <v>868</v>
      </c>
      <c r="BO80" s="128"/>
      <c r="BP80" s="254" t="s">
        <v>870</v>
      </c>
    </row>
    <row r="81" spans="1:68">
      <c r="A81" s="196" t="s">
        <v>976</v>
      </c>
      <c r="B81" s="196" t="s">
        <v>864</v>
      </c>
      <c r="C81" s="196" t="s">
        <v>865</v>
      </c>
      <c r="D81" s="196" t="s">
        <v>1013</v>
      </c>
      <c r="E81" s="196"/>
      <c r="F81" s="198" t="s">
        <v>1014</v>
      </c>
      <c r="G81" s="282">
        <f>VLOOKUP(D81,'2024 NPI'!D:L,3,0)</f>
        <v>45330</v>
      </c>
      <c r="H81" s="282">
        <f>VLOOKUP(D81,'2024 NPI'!D:L,4,0)</f>
        <v>45352</v>
      </c>
      <c r="I81" s="235"/>
      <c r="K81" s="253" t="s">
        <v>868</v>
      </c>
      <c r="L81" s="253" t="s">
        <v>868</v>
      </c>
      <c r="M81" s="253" t="s">
        <v>868</v>
      </c>
      <c r="N81" s="253" t="s">
        <v>868</v>
      </c>
      <c r="O81" s="253" t="s">
        <v>978</v>
      </c>
      <c r="P81" s="253" t="s">
        <v>978</v>
      </c>
      <c r="Q81" s="253" t="s">
        <v>978</v>
      </c>
      <c r="R81" s="253" t="s">
        <v>978</v>
      </c>
      <c r="S81" s="253" t="s">
        <v>978</v>
      </c>
      <c r="T81" s="253" t="s">
        <v>978</v>
      </c>
      <c r="U81" s="253" t="s">
        <v>978</v>
      </c>
      <c r="V81" s="253" t="s">
        <v>978</v>
      </c>
      <c r="W81" s="253" t="s">
        <v>978</v>
      </c>
      <c r="X81" s="253" t="s">
        <v>978</v>
      </c>
      <c r="Y81" s="253" t="s">
        <v>978</v>
      </c>
      <c r="Z81" s="253" t="s">
        <v>978</v>
      </c>
      <c r="AA81" s="253" t="s">
        <v>978</v>
      </c>
      <c r="AB81" s="254" t="s">
        <v>870</v>
      </c>
      <c r="AC81" s="254" t="s">
        <v>870</v>
      </c>
      <c r="AD81" s="254" t="s">
        <v>870</v>
      </c>
      <c r="AE81" s="254" t="s">
        <v>870</v>
      </c>
      <c r="AF81" s="254" t="s">
        <v>870</v>
      </c>
      <c r="AG81" s="254" t="s">
        <v>870</v>
      </c>
      <c r="AH81" s="254" t="s">
        <v>870</v>
      </c>
      <c r="AI81" s="254"/>
      <c r="AJ81" s="253" t="s">
        <v>978</v>
      </c>
      <c r="AK81" s="253" t="s">
        <v>978</v>
      </c>
      <c r="AL81" s="253" t="s">
        <v>978</v>
      </c>
      <c r="AM81" s="253" t="s">
        <v>978</v>
      </c>
      <c r="AN81" s="253" t="s">
        <v>978</v>
      </c>
      <c r="AO81" s="253" t="s">
        <v>978</v>
      </c>
      <c r="AP81" s="253" t="s">
        <v>978</v>
      </c>
      <c r="AQ81" s="253" t="s">
        <v>978</v>
      </c>
      <c r="AR81" s="253" t="s">
        <v>978</v>
      </c>
      <c r="AS81" s="253" t="s">
        <v>978</v>
      </c>
      <c r="AT81" s="253" t="s">
        <v>978</v>
      </c>
      <c r="AU81" s="253" t="s">
        <v>978</v>
      </c>
      <c r="AV81" s="253" t="s">
        <v>978</v>
      </c>
      <c r="AW81" s="253" t="s">
        <v>978</v>
      </c>
      <c r="AX81" s="253" t="s">
        <v>978</v>
      </c>
      <c r="AY81" s="253" t="s">
        <v>978</v>
      </c>
      <c r="AZ81" s="253" t="s">
        <v>978</v>
      </c>
      <c r="BA81" s="253" t="s">
        <v>978</v>
      </c>
      <c r="BB81" s="253" t="s">
        <v>978</v>
      </c>
      <c r="BC81" s="254" t="s">
        <v>870</v>
      </c>
      <c r="BD81" s="254" t="s">
        <v>870</v>
      </c>
      <c r="BE81" s="254" t="s">
        <v>868</v>
      </c>
      <c r="BF81" s="254" t="s">
        <v>868</v>
      </c>
      <c r="BG81" s="254" t="s">
        <v>870</v>
      </c>
      <c r="BH81" s="254"/>
      <c r="BI81" s="254" t="s">
        <v>868</v>
      </c>
      <c r="BJ81" s="254" t="s">
        <v>870</v>
      </c>
      <c r="BK81" s="254" t="s">
        <v>868</v>
      </c>
      <c r="BL81" s="320" t="s">
        <v>870</v>
      </c>
      <c r="BM81" s="320"/>
      <c r="BN81" s="320" t="s">
        <v>868</v>
      </c>
      <c r="BO81" s="128"/>
      <c r="BP81" s="254" t="s">
        <v>870</v>
      </c>
    </row>
    <row r="82" spans="1:68">
      <c r="A82" s="196" t="s">
        <v>976</v>
      </c>
      <c r="B82" s="196" t="s">
        <v>864</v>
      </c>
      <c r="C82" s="196" t="s">
        <v>865</v>
      </c>
      <c r="D82" s="196" t="s">
        <v>1015</v>
      </c>
      <c r="E82" s="196"/>
      <c r="F82" s="198" t="s">
        <v>1016</v>
      </c>
      <c r="G82" s="282">
        <f>VLOOKUP(D82,'2024 NPI'!D:L,3,0)</f>
        <v>45330</v>
      </c>
      <c r="H82" s="282">
        <f>VLOOKUP(D82,'2024 NPI'!D:L,4,0)</f>
        <v>45352</v>
      </c>
      <c r="I82" s="235"/>
      <c r="K82" s="253" t="s">
        <v>868</v>
      </c>
      <c r="L82" s="253" t="s">
        <v>868</v>
      </c>
      <c r="M82" s="253" t="s">
        <v>868</v>
      </c>
      <c r="N82" s="253" t="s">
        <v>868</v>
      </c>
      <c r="O82" s="253" t="s">
        <v>978</v>
      </c>
      <c r="P82" s="253" t="s">
        <v>978</v>
      </c>
      <c r="Q82" s="253" t="s">
        <v>978</v>
      </c>
      <c r="R82" s="253" t="s">
        <v>978</v>
      </c>
      <c r="S82" s="253" t="s">
        <v>978</v>
      </c>
      <c r="T82" s="253" t="s">
        <v>978</v>
      </c>
      <c r="U82" s="253" t="s">
        <v>978</v>
      </c>
      <c r="V82" s="253" t="s">
        <v>978</v>
      </c>
      <c r="W82" s="253" t="s">
        <v>978</v>
      </c>
      <c r="X82" s="253" t="s">
        <v>978</v>
      </c>
      <c r="Y82" s="253" t="s">
        <v>978</v>
      </c>
      <c r="Z82" s="253" t="s">
        <v>978</v>
      </c>
      <c r="AA82" s="253" t="s">
        <v>978</v>
      </c>
      <c r="AB82" s="254" t="s">
        <v>870</v>
      </c>
      <c r="AC82" s="254" t="s">
        <v>870</v>
      </c>
      <c r="AD82" s="254" t="s">
        <v>870</v>
      </c>
      <c r="AE82" s="254" t="s">
        <v>870</v>
      </c>
      <c r="AF82" s="254" t="s">
        <v>870</v>
      </c>
      <c r="AG82" s="254" t="s">
        <v>870</v>
      </c>
      <c r="AH82" s="254" t="s">
        <v>870</v>
      </c>
      <c r="AI82" s="254"/>
      <c r="AJ82" s="253" t="s">
        <v>978</v>
      </c>
      <c r="AK82" s="253" t="s">
        <v>978</v>
      </c>
      <c r="AL82" s="253" t="s">
        <v>978</v>
      </c>
      <c r="AM82" s="253" t="s">
        <v>978</v>
      </c>
      <c r="AN82" s="253" t="s">
        <v>978</v>
      </c>
      <c r="AO82" s="253" t="s">
        <v>978</v>
      </c>
      <c r="AP82" s="253" t="s">
        <v>978</v>
      </c>
      <c r="AQ82" s="253" t="s">
        <v>978</v>
      </c>
      <c r="AR82" s="253" t="s">
        <v>978</v>
      </c>
      <c r="AS82" s="253" t="s">
        <v>978</v>
      </c>
      <c r="AT82" s="253" t="s">
        <v>978</v>
      </c>
      <c r="AU82" s="253" t="s">
        <v>978</v>
      </c>
      <c r="AV82" s="253" t="s">
        <v>978</v>
      </c>
      <c r="AW82" s="253" t="s">
        <v>978</v>
      </c>
      <c r="AX82" s="253" t="s">
        <v>978</v>
      </c>
      <c r="AY82" s="253" t="s">
        <v>978</v>
      </c>
      <c r="AZ82" s="253" t="s">
        <v>978</v>
      </c>
      <c r="BA82" s="253" t="s">
        <v>978</v>
      </c>
      <c r="BB82" s="253" t="s">
        <v>978</v>
      </c>
      <c r="BC82" s="254" t="s">
        <v>870</v>
      </c>
      <c r="BD82" s="254" t="s">
        <v>870</v>
      </c>
      <c r="BE82" s="254" t="s">
        <v>868</v>
      </c>
      <c r="BF82" s="254" t="s">
        <v>868</v>
      </c>
      <c r="BG82" s="254" t="s">
        <v>870</v>
      </c>
      <c r="BH82" s="254"/>
      <c r="BI82" s="254" t="s">
        <v>868</v>
      </c>
      <c r="BJ82" s="254" t="s">
        <v>870</v>
      </c>
      <c r="BK82" s="254" t="s">
        <v>868</v>
      </c>
      <c r="BL82" s="320" t="s">
        <v>870</v>
      </c>
      <c r="BM82" s="320"/>
      <c r="BN82" s="320" t="s">
        <v>868</v>
      </c>
      <c r="BO82" s="128"/>
      <c r="BP82" s="254" t="s">
        <v>870</v>
      </c>
    </row>
    <row r="83" spans="1:68">
      <c r="A83" s="196" t="s">
        <v>976</v>
      </c>
      <c r="B83" s="196" t="s">
        <v>864</v>
      </c>
      <c r="C83" s="196" t="s">
        <v>865</v>
      </c>
      <c r="D83" s="196" t="s">
        <v>1017</v>
      </c>
      <c r="E83" s="196"/>
      <c r="F83" s="198" t="s">
        <v>1018</v>
      </c>
      <c r="G83" s="282">
        <f>VLOOKUP(D83,'2024 NPI'!D:L,3,0)</f>
        <v>45330</v>
      </c>
      <c r="H83" s="282">
        <f>VLOOKUP(D83,'2024 NPI'!D:L,4,0)</f>
        <v>45352</v>
      </c>
      <c r="I83" s="235"/>
      <c r="K83" s="253" t="s">
        <v>868</v>
      </c>
      <c r="L83" s="253" t="s">
        <v>868</v>
      </c>
      <c r="M83" s="253" t="s">
        <v>868</v>
      </c>
      <c r="N83" s="253" t="s">
        <v>868</v>
      </c>
      <c r="O83" s="253" t="s">
        <v>978</v>
      </c>
      <c r="P83" s="253" t="s">
        <v>978</v>
      </c>
      <c r="Q83" s="253" t="s">
        <v>978</v>
      </c>
      <c r="R83" s="253" t="s">
        <v>978</v>
      </c>
      <c r="S83" s="253" t="s">
        <v>978</v>
      </c>
      <c r="T83" s="253" t="s">
        <v>978</v>
      </c>
      <c r="U83" s="253" t="s">
        <v>978</v>
      </c>
      <c r="V83" s="253" t="s">
        <v>978</v>
      </c>
      <c r="W83" s="253" t="s">
        <v>978</v>
      </c>
      <c r="X83" s="253" t="s">
        <v>978</v>
      </c>
      <c r="Y83" s="253" t="s">
        <v>978</v>
      </c>
      <c r="Z83" s="253" t="s">
        <v>978</v>
      </c>
      <c r="AA83" s="253" t="s">
        <v>978</v>
      </c>
      <c r="AB83" s="254" t="s">
        <v>870</v>
      </c>
      <c r="AC83" s="254" t="s">
        <v>870</v>
      </c>
      <c r="AD83" s="254" t="s">
        <v>870</v>
      </c>
      <c r="AE83" s="254" t="s">
        <v>870</v>
      </c>
      <c r="AF83" s="254" t="s">
        <v>870</v>
      </c>
      <c r="AG83" s="254" t="s">
        <v>870</v>
      </c>
      <c r="AH83" s="254" t="s">
        <v>870</v>
      </c>
      <c r="AI83" s="254"/>
      <c r="AJ83" s="253" t="s">
        <v>978</v>
      </c>
      <c r="AK83" s="253" t="s">
        <v>978</v>
      </c>
      <c r="AL83" s="253" t="s">
        <v>978</v>
      </c>
      <c r="AM83" s="253" t="s">
        <v>978</v>
      </c>
      <c r="AN83" s="253" t="s">
        <v>978</v>
      </c>
      <c r="AO83" s="253" t="s">
        <v>978</v>
      </c>
      <c r="AP83" s="253" t="s">
        <v>978</v>
      </c>
      <c r="AQ83" s="253" t="s">
        <v>978</v>
      </c>
      <c r="AR83" s="253" t="s">
        <v>978</v>
      </c>
      <c r="AS83" s="253" t="s">
        <v>978</v>
      </c>
      <c r="AT83" s="253" t="s">
        <v>978</v>
      </c>
      <c r="AU83" s="253" t="s">
        <v>978</v>
      </c>
      <c r="AV83" s="253" t="s">
        <v>978</v>
      </c>
      <c r="AW83" s="253" t="s">
        <v>978</v>
      </c>
      <c r="AX83" s="253" t="s">
        <v>978</v>
      </c>
      <c r="AY83" s="253" t="s">
        <v>978</v>
      </c>
      <c r="AZ83" s="253" t="s">
        <v>978</v>
      </c>
      <c r="BA83" s="253" t="s">
        <v>978</v>
      </c>
      <c r="BB83" s="253" t="s">
        <v>978</v>
      </c>
      <c r="BC83" s="254" t="s">
        <v>870</v>
      </c>
      <c r="BD83" s="254" t="s">
        <v>870</v>
      </c>
      <c r="BE83" s="254" t="s">
        <v>868</v>
      </c>
      <c r="BF83" s="254" t="s">
        <v>868</v>
      </c>
      <c r="BG83" s="254" t="s">
        <v>870</v>
      </c>
      <c r="BH83" s="254"/>
      <c r="BI83" s="254" t="s">
        <v>868</v>
      </c>
      <c r="BJ83" s="254" t="s">
        <v>870</v>
      </c>
      <c r="BK83" s="254" t="s">
        <v>868</v>
      </c>
      <c r="BL83" s="320" t="s">
        <v>870</v>
      </c>
      <c r="BM83" s="320"/>
      <c r="BN83" s="320" t="s">
        <v>868</v>
      </c>
      <c r="BO83" s="128"/>
      <c r="BP83" s="254" t="s">
        <v>870</v>
      </c>
    </row>
    <row r="84" spans="1:68">
      <c r="A84" s="196" t="s">
        <v>976</v>
      </c>
      <c r="B84" s="196" t="s">
        <v>864</v>
      </c>
      <c r="C84" s="196" t="s">
        <v>865</v>
      </c>
      <c r="D84" s="196" t="s">
        <v>1019</v>
      </c>
      <c r="E84" s="196"/>
      <c r="F84" s="198" t="s">
        <v>1020</v>
      </c>
      <c r="G84" s="282">
        <f>VLOOKUP(D84,'2024 NPI'!D:L,3,0)</f>
        <v>45330</v>
      </c>
      <c r="H84" s="282">
        <f>VLOOKUP(D84,'2024 NPI'!D:L,4,0)</f>
        <v>45352</v>
      </c>
      <c r="I84" s="235"/>
      <c r="K84" s="253" t="s">
        <v>868</v>
      </c>
      <c r="L84" s="253" t="s">
        <v>868</v>
      </c>
      <c r="M84" s="253" t="s">
        <v>868</v>
      </c>
      <c r="N84" s="253" t="s">
        <v>868</v>
      </c>
      <c r="O84" s="253" t="s">
        <v>978</v>
      </c>
      <c r="P84" s="253" t="s">
        <v>978</v>
      </c>
      <c r="Q84" s="253" t="s">
        <v>978</v>
      </c>
      <c r="R84" s="253" t="s">
        <v>978</v>
      </c>
      <c r="S84" s="253" t="s">
        <v>978</v>
      </c>
      <c r="T84" s="253" t="s">
        <v>978</v>
      </c>
      <c r="U84" s="253" t="s">
        <v>978</v>
      </c>
      <c r="V84" s="253" t="s">
        <v>978</v>
      </c>
      <c r="W84" s="253" t="s">
        <v>978</v>
      </c>
      <c r="X84" s="253" t="s">
        <v>978</v>
      </c>
      <c r="Y84" s="253" t="s">
        <v>978</v>
      </c>
      <c r="Z84" s="253" t="s">
        <v>978</v>
      </c>
      <c r="AA84" s="253" t="s">
        <v>978</v>
      </c>
      <c r="AB84" s="254" t="s">
        <v>870</v>
      </c>
      <c r="AC84" s="254" t="s">
        <v>870</v>
      </c>
      <c r="AD84" s="254" t="s">
        <v>870</v>
      </c>
      <c r="AE84" s="254" t="s">
        <v>870</v>
      </c>
      <c r="AF84" s="254" t="s">
        <v>870</v>
      </c>
      <c r="AG84" s="254" t="s">
        <v>870</v>
      </c>
      <c r="AH84" s="254" t="s">
        <v>870</v>
      </c>
      <c r="AI84" s="254"/>
      <c r="AJ84" s="253" t="s">
        <v>978</v>
      </c>
      <c r="AK84" s="253" t="s">
        <v>978</v>
      </c>
      <c r="AL84" s="253" t="s">
        <v>978</v>
      </c>
      <c r="AM84" s="253" t="s">
        <v>978</v>
      </c>
      <c r="AN84" s="253" t="s">
        <v>978</v>
      </c>
      <c r="AO84" s="253" t="s">
        <v>978</v>
      </c>
      <c r="AP84" s="253" t="s">
        <v>978</v>
      </c>
      <c r="AQ84" s="253" t="s">
        <v>978</v>
      </c>
      <c r="AR84" s="253" t="s">
        <v>978</v>
      </c>
      <c r="AS84" s="253" t="s">
        <v>978</v>
      </c>
      <c r="AT84" s="253" t="s">
        <v>978</v>
      </c>
      <c r="AU84" s="253" t="s">
        <v>978</v>
      </c>
      <c r="AV84" s="253" t="s">
        <v>978</v>
      </c>
      <c r="AW84" s="253" t="s">
        <v>978</v>
      </c>
      <c r="AX84" s="253" t="s">
        <v>978</v>
      </c>
      <c r="AY84" s="253" t="s">
        <v>978</v>
      </c>
      <c r="AZ84" s="253" t="s">
        <v>978</v>
      </c>
      <c r="BA84" s="253" t="s">
        <v>978</v>
      </c>
      <c r="BB84" s="253" t="s">
        <v>978</v>
      </c>
      <c r="BC84" s="254" t="s">
        <v>870</v>
      </c>
      <c r="BD84" s="254" t="s">
        <v>870</v>
      </c>
      <c r="BE84" s="254" t="s">
        <v>868</v>
      </c>
      <c r="BF84" s="254" t="s">
        <v>868</v>
      </c>
      <c r="BG84" s="254" t="s">
        <v>870</v>
      </c>
      <c r="BH84" s="254"/>
      <c r="BI84" s="254" t="s">
        <v>868</v>
      </c>
      <c r="BJ84" s="254" t="s">
        <v>870</v>
      </c>
      <c r="BK84" s="254" t="s">
        <v>868</v>
      </c>
      <c r="BL84" s="320" t="s">
        <v>870</v>
      </c>
      <c r="BM84" s="320"/>
      <c r="BN84" s="320" t="s">
        <v>868</v>
      </c>
      <c r="BO84" s="128"/>
      <c r="BP84" s="254" t="s">
        <v>870</v>
      </c>
    </row>
    <row r="85" spans="1:68">
      <c r="A85" s="196" t="s">
        <v>976</v>
      </c>
      <c r="B85" s="196" t="s">
        <v>864</v>
      </c>
      <c r="C85" s="196" t="s">
        <v>873</v>
      </c>
      <c r="D85" s="196" t="s">
        <v>1021</v>
      </c>
      <c r="E85" s="196"/>
      <c r="F85" s="198" t="s">
        <v>1022</v>
      </c>
      <c r="G85" s="282">
        <f>VLOOKUP(D85,'2024 NPI'!D:L,3,0)</f>
        <v>45330</v>
      </c>
      <c r="H85" s="282">
        <f>VLOOKUP(D85,'2024 NPI'!D:L,4,0)</f>
        <v>45352</v>
      </c>
      <c r="I85" s="235"/>
      <c r="K85" s="253" t="s">
        <v>868</v>
      </c>
      <c r="L85" s="253" t="s">
        <v>868</v>
      </c>
      <c r="M85" s="253" t="s">
        <v>868</v>
      </c>
      <c r="N85" s="253" t="s">
        <v>868</v>
      </c>
      <c r="O85" s="253" t="s">
        <v>978</v>
      </c>
      <c r="P85" s="253" t="s">
        <v>978</v>
      </c>
      <c r="Q85" s="253" t="s">
        <v>978</v>
      </c>
      <c r="R85" s="253" t="s">
        <v>978</v>
      </c>
      <c r="S85" s="253" t="s">
        <v>978</v>
      </c>
      <c r="T85" s="253" t="s">
        <v>978</v>
      </c>
      <c r="U85" s="253" t="s">
        <v>978</v>
      </c>
      <c r="V85" s="253" t="s">
        <v>978</v>
      </c>
      <c r="W85" s="253" t="s">
        <v>978</v>
      </c>
      <c r="X85" s="253" t="s">
        <v>978</v>
      </c>
      <c r="Y85" s="253" t="s">
        <v>978</v>
      </c>
      <c r="Z85" s="253" t="s">
        <v>978</v>
      </c>
      <c r="AA85" s="253" t="s">
        <v>978</v>
      </c>
      <c r="AB85" s="254" t="s">
        <v>870</v>
      </c>
      <c r="AC85" s="254" t="s">
        <v>870</v>
      </c>
      <c r="AD85" s="254" t="s">
        <v>870</v>
      </c>
      <c r="AE85" s="254" t="s">
        <v>870</v>
      </c>
      <c r="AF85" s="254" t="s">
        <v>870</v>
      </c>
      <c r="AG85" s="254" t="s">
        <v>870</v>
      </c>
      <c r="AH85" s="254" t="s">
        <v>870</v>
      </c>
      <c r="AI85" s="254"/>
      <c r="AJ85" s="253" t="s">
        <v>978</v>
      </c>
      <c r="AK85" s="253" t="s">
        <v>978</v>
      </c>
      <c r="AL85" s="253" t="s">
        <v>978</v>
      </c>
      <c r="AM85" s="253" t="s">
        <v>978</v>
      </c>
      <c r="AN85" s="253" t="s">
        <v>978</v>
      </c>
      <c r="AO85" s="253" t="s">
        <v>978</v>
      </c>
      <c r="AP85" s="253" t="s">
        <v>978</v>
      </c>
      <c r="AQ85" s="253" t="s">
        <v>978</v>
      </c>
      <c r="AR85" s="253" t="s">
        <v>978</v>
      </c>
      <c r="AS85" s="253" t="s">
        <v>978</v>
      </c>
      <c r="AT85" s="253" t="s">
        <v>978</v>
      </c>
      <c r="AU85" s="253" t="s">
        <v>978</v>
      </c>
      <c r="AV85" s="253" t="s">
        <v>978</v>
      </c>
      <c r="AW85" s="253" t="s">
        <v>978</v>
      </c>
      <c r="AX85" s="253" t="s">
        <v>978</v>
      </c>
      <c r="AY85" s="253" t="s">
        <v>978</v>
      </c>
      <c r="AZ85" s="253" t="s">
        <v>978</v>
      </c>
      <c r="BA85" s="253" t="s">
        <v>978</v>
      </c>
      <c r="BB85" s="253" t="s">
        <v>978</v>
      </c>
      <c r="BC85" s="254" t="s">
        <v>870</v>
      </c>
      <c r="BD85" s="254" t="s">
        <v>870</v>
      </c>
      <c r="BE85" s="254" t="s">
        <v>868</v>
      </c>
      <c r="BF85" s="254" t="s">
        <v>868</v>
      </c>
      <c r="BG85" s="254" t="s">
        <v>870</v>
      </c>
      <c r="BH85" s="254"/>
      <c r="BI85" s="254" t="s">
        <v>868</v>
      </c>
      <c r="BJ85" s="254" t="s">
        <v>870</v>
      </c>
      <c r="BK85" s="254" t="s">
        <v>868</v>
      </c>
      <c r="BL85" s="320" t="s">
        <v>870</v>
      </c>
      <c r="BM85" s="320"/>
      <c r="BN85" s="320" t="s">
        <v>868</v>
      </c>
      <c r="BO85" s="128"/>
      <c r="BP85" s="254" t="s">
        <v>870</v>
      </c>
    </row>
    <row r="86" spans="1:68">
      <c r="A86" s="196" t="s">
        <v>976</v>
      </c>
      <c r="B86" s="196" t="s">
        <v>864</v>
      </c>
      <c r="C86" s="196" t="s">
        <v>873</v>
      </c>
      <c r="D86" s="196" t="s">
        <v>1023</v>
      </c>
      <c r="E86" s="196"/>
      <c r="F86" s="198" t="s">
        <v>1024</v>
      </c>
      <c r="G86" s="282">
        <f>VLOOKUP(D86,'2024 NPI'!D:L,3,0)</f>
        <v>45330</v>
      </c>
      <c r="H86" s="282">
        <f>VLOOKUP(D86,'2024 NPI'!D:L,4,0)</f>
        <v>45352</v>
      </c>
      <c r="I86" s="235"/>
      <c r="K86" s="253" t="s">
        <v>868</v>
      </c>
      <c r="L86" s="253" t="s">
        <v>868</v>
      </c>
      <c r="M86" s="253" t="s">
        <v>868</v>
      </c>
      <c r="N86" s="253" t="s">
        <v>868</v>
      </c>
      <c r="O86" s="253" t="s">
        <v>978</v>
      </c>
      <c r="P86" s="253" t="s">
        <v>978</v>
      </c>
      <c r="Q86" s="253" t="s">
        <v>978</v>
      </c>
      <c r="R86" s="253" t="s">
        <v>978</v>
      </c>
      <c r="S86" s="253" t="s">
        <v>978</v>
      </c>
      <c r="T86" s="253" t="s">
        <v>978</v>
      </c>
      <c r="U86" s="253" t="s">
        <v>978</v>
      </c>
      <c r="V86" s="253" t="s">
        <v>978</v>
      </c>
      <c r="W86" s="253" t="s">
        <v>978</v>
      </c>
      <c r="X86" s="253" t="s">
        <v>978</v>
      </c>
      <c r="Y86" s="253" t="s">
        <v>978</v>
      </c>
      <c r="Z86" s="253" t="s">
        <v>978</v>
      </c>
      <c r="AA86" s="253" t="s">
        <v>978</v>
      </c>
      <c r="AB86" s="254" t="s">
        <v>870</v>
      </c>
      <c r="AC86" s="254" t="s">
        <v>870</v>
      </c>
      <c r="AD86" s="254" t="s">
        <v>870</v>
      </c>
      <c r="AE86" s="254" t="s">
        <v>870</v>
      </c>
      <c r="AF86" s="254" t="s">
        <v>870</v>
      </c>
      <c r="AG86" s="254" t="s">
        <v>870</v>
      </c>
      <c r="AH86" s="254" t="s">
        <v>870</v>
      </c>
      <c r="AI86" s="254"/>
      <c r="AJ86" s="253" t="s">
        <v>978</v>
      </c>
      <c r="AK86" s="253" t="s">
        <v>978</v>
      </c>
      <c r="AL86" s="253" t="s">
        <v>978</v>
      </c>
      <c r="AM86" s="253" t="s">
        <v>978</v>
      </c>
      <c r="AN86" s="253" t="s">
        <v>978</v>
      </c>
      <c r="AO86" s="253" t="s">
        <v>978</v>
      </c>
      <c r="AP86" s="253" t="s">
        <v>978</v>
      </c>
      <c r="AQ86" s="253" t="s">
        <v>978</v>
      </c>
      <c r="AR86" s="253" t="s">
        <v>978</v>
      </c>
      <c r="AS86" s="253" t="s">
        <v>978</v>
      </c>
      <c r="AT86" s="253" t="s">
        <v>978</v>
      </c>
      <c r="AU86" s="253" t="s">
        <v>978</v>
      </c>
      <c r="AV86" s="253" t="s">
        <v>978</v>
      </c>
      <c r="AW86" s="253" t="s">
        <v>978</v>
      </c>
      <c r="AX86" s="253" t="s">
        <v>978</v>
      </c>
      <c r="AY86" s="253" t="s">
        <v>978</v>
      </c>
      <c r="AZ86" s="253" t="s">
        <v>978</v>
      </c>
      <c r="BA86" s="253" t="s">
        <v>978</v>
      </c>
      <c r="BB86" s="253" t="s">
        <v>978</v>
      </c>
      <c r="BC86" s="254" t="s">
        <v>870</v>
      </c>
      <c r="BD86" s="254" t="s">
        <v>870</v>
      </c>
      <c r="BE86" s="254" t="s">
        <v>868</v>
      </c>
      <c r="BF86" s="254" t="s">
        <v>868</v>
      </c>
      <c r="BG86" s="254" t="s">
        <v>870</v>
      </c>
      <c r="BH86" s="254"/>
      <c r="BI86" s="254" t="s">
        <v>868</v>
      </c>
      <c r="BJ86" s="254" t="s">
        <v>870</v>
      </c>
      <c r="BK86" s="254" t="s">
        <v>868</v>
      </c>
      <c r="BL86" s="320" t="s">
        <v>870</v>
      </c>
      <c r="BM86" s="320"/>
      <c r="BN86" s="320" t="s">
        <v>868</v>
      </c>
      <c r="BO86" s="128"/>
      <c r="BP86" s="254" t="s">
        <v>870</v>
      </c>
    </row>
    <row r="87" spans="1:68">
      <c r="A87" s="196" t="s">
        <v>976</v>
      </c>
      <c r="B87" s="196" t="s">
        <v>864</v>
      </c>
      <c r="C87" s="196" t="s">
        <v>894</v>
      </c>
      <c r="D87" s="196" t="s">
        <v>1025</v>
      </c>
      <c r="E87" s="196"/>
      <c r="F87" s="198" t="s">
        <v>1026</v>
      </c>
      <c r="G87" s="282">
        <f>VLOOKUP(D87,'2024 NPI'!D:L,3,0)</f>
        <v>45321</v>
      </c>
      <c r="H87" s="282">
        <f>VLOOKUP(D87,'2024 NPI'!D:L,4,0)</f>
        <v>45352</v>
      </c>
      <c r="I87" s="235"/>
      <c r="K87" s="253" t="s">
        <v>868</v>
      </c>
      <c r="L87" s="253" t="s">
        <v>868</v>
      </c>
      <c r="M87" s="253" t="s">
        <v>868</v>
      </c>
      <c r="N87" s="253" t="s">
        <v>868</v>
      </c>
      <c r="O87" s="253" t="s">
        <v>978</v>
      </c>
      <c r="P87" s="253" t="s">
        <v>978</v>
      </c>
      <c r="Q87" s="253" t="s">
        <v>978</v>
      </c>
      <c r="R87" s="253" t="s">
        <v>978</v>
      </c>
      <c r="S87" s="253" t="s">
        <v>978</v>
      </c>
      <c r="T87" s="253" t="s">
        <v>978</v>
      </c>
      <c r="U87" s="253" t="s">
        <v>978</v>
      </c>
      <c r="V87" s="253" t="s">
        <v>978</v>
      </c>
      <c r="W87" s="253" t="s">
        <v>978</v>
      </c>
      <c r="X87" s="253" t="s">
        <v>978</v>
      </c>
      <c r="Y87" s="253" t="s">
        <v>978</v>
      </c>
      <c r="Z87" s="253" t="s">
        <v>978</v>
      </c>
      <c r="AA87" s="253" t="s">
        <v>978</v>
      </c>
      <c r="AB87" s="254" t="s">
        <v>870</v>
      </c>
      <c r="AC87" s="254" t="s">
        <v>870</v>
      </c>
      <c r="AD87" s="254" t="s">
        <v>870</v>
      </c>
      <c r="AE87" s="254" t="s">
        <v>870</v>
      </c>
      <c r="AF87" s="254" t="s">
        <v>870</v>
      </c>
      <c r="AG87" s="254" t="s">
        <v>870</v>
      </c>
      <c r="AH87" s="254" t="s">
        <v>870</v>
      </c>
      <c r="AI87" s="254"/>
      <c r="AJ87" s="253" t="s">
        <v>978</v>
      </c>
      <c r="AK87" s="253" t="s">
        <v>978</v>
      </c>
      <c r="AL87" s="253" t="s">
        <v>978</v>
      </c>
      <c r="AM87" s="253" t="s">
        <v>978</v>
      </c>
      <c r="AN87" s="253" t="s">
        <v>978</v>
      </c>
      <c r="AO87" s="253" t="s">
        <v>978</v>
      </c>
      <c r="AP87" s="253" t="s">
        <v>978</v>
      </c>
      <c r="AQ87" s="253" t="s">
        <v>978</v>
      </c>
      <c r="AR87" s="253" t="s">
        <v>978</v>
      </c>
      <c r="AS87" s="253" t="s">
        <v>978</v>
      </c>
      <c r="AT87" s="253" t="s">
        <v>978</v>
      </c>
      <c r="AU87" s="253" t="s">
        <v>978</v>
      </c>
      <c r="AV87" s="253" t="s">
        <v>978</v>
      </c>
      <c r="AW87" s="253" t="s">
        <v>978</v>
      </c>
      <c r="AX87" s="253" t="s">
        <v>978</v>
      </c>
      <c r="AY87" s="253" t="s">
        <v>978</v>
      </c>
      <c r="AZ87" s="253" t="s">
        <v>978</v>
      </c>
      <c r="BA87" s="253" t="s">
        <v>978</v>
      </c>
      <c r="BB87" s="253" t="s">
        <v>978</v>
      </c>
      <c r="BC87" s="254" t="s">
        <v>870</v>
      </c>
      <c r="BD87" s="254" t="s">
        <v>870</v>
      </c>
      <c r="BE87" s="254" t="s">
        <v>868</v>
      </c>
      <c r="BF87" s="254" t="s">
        <v>868</v>
      </c>
      <c r="BG87" s="254" t="s">
        <v>868</v>
      </c>
      <c r="BH87" s="254"/>
      <c r="BI87" s="254" t="s">
        <v>868</v>
      </c>
      <c r="BJ87" s="254" t="s">
        <v>868</v>
      </c>
      <c r="BK87" s="254" t="s">
        <v>868</v>
      </c>
      <c r="BL87" s="320" t="s">
        <v>870</v>
      </c>
      <c r="BM87" s="320"/>
      <c r="BN87" s="320" t="s">
        <v>868</v>
      </c>
      <c r="BO87" s="128"/>
      <c r="BP87" s="254" t="s">
        <v>870</v>
      </c>
    </row>
    <row r="88" spans="1:68" ht="30">
      <c r="A88" s="196" t="s">
        <v>976</v>
      </c>
      <c r="B88" s="196" t="s">
        <v>864</v>
      </c>
      <c r="C88" s="196" t="s">
        <v>894</v>
      </c>
      <c r="D88" s="196" t="s">
        <v>1027</v>
      </c>
      <c r="E88" s="196"/>
      <c r="F88" s="198" t="s">
        <v>1028</v>
      </c>
      <c r="G88" s="282">
        <f>VLOOKUP(D88,'2024 NPI'!D:L,3,0)</f>
        <v>45321</v>
      </c>
      <c r="H88" s="282">
        <f>VLOOKUP(D88,'2024 NPI'!D:L,4,0)</f>
        <v>45352</v>
      </c>
      <c r="I88" s="128"/>
      <c r="K88" s="253" t="s">
        <v>868</v>
      </c>
      <c r="L88" s="253" t="s">
        <v>868</v>
      </c>
      <c r="M88" s="253" t="s">
        <v>868</v>
      </c>
      <c r="N88" s="253" t="s">
        <v>868</v>
      </c>
      <c r="O88" s="253" t="s">
        <v>978</v>
      </c>
      <c r="P88" s="253" t="s">
        <v>978</v>
      </c>
      <c r="Q88" s="253" t="s">
        <v>978</v>
      </c>
      <c r="R88" s="253" t="s">
        <v>978</v>
      </c>
      <c r="S88" s="253" t="s">
        <v>978</v>
      </c>
      <c r="T88" s="253" t="s">
        <v>978</v>
      </c>
      <c r="U88" s="253" t="s">
        <v>978</v>
      </c>
      <c r="V88" s="253" t="s">
        <v>978</v>
      </c>
      <c r="W88" s="253" t="s">
        <v>978</v>
      </c>
      <c r="X88" s="253" t="s">
        <v>978</v>
      </c>
      <c r="Y88" s="253" t="s">
        <v>978</v>
      </c>
      <c r="Z88" s="253" t="s">
        <v>978</v>
      </c>
      <c r="AA88" s="253" t="s">
        <v>978</v>
      </c>
      <c r="AB88" s="254" t="s">
        <v>870</v>
      </c>
      <c r="AC88" s="254" t="s">
        <v>870</v>
      </c>
      <c r="AD88" s="254" t="s">
        <v>870</v>
      </c>
      <c r="AE88" s="254" t="s">
        <v>870</v>
      </c>
      <c r="AF88" s="254" t="s">
        <v>870</v>
      </c>
      <c r="AG88" s="254" t="s">
        <v>870</v>
      </c>
      <c r="AH88" s="254" t="s">
        <v>870</v>
      </c>
      <c r="AI88" s="254"/>
      <c r="AJ88" s="253" t="s">
        <v>978</v>
      </c>
      <c r="AK88" s="253" t="s">
        <v>978</v>
      </c>
      <c r="AL88" s="253" t="s">
        <v>978</v>
      </c>
      <c r="AM88" s="253" t="s">
        <v>978</v>
      </c>
      <c r="AN88" s="253" t="s">
        <v>978</v>
      </c>
      <c r="AO88" s="253" t="s">
        <v>978</v>
      </c>
      <c r="AP88" s="253" t="s">
        <v>978</v>
      </c>
      <c r="AQ88" s="253" t="s">
        <v>978</v>
      </c>
      <c r="AR88" s="253" t="s">
        <v>978</v>
      </c>
      <c r="AS88" s="253" t="s">
        <v>978</v>
      </c>
      <c r="AT88" s="253" t="s">
        <v>978</v>
      </c>
      <c r="AU88" s="253" t="s">
        <v>978</v>
      </c>
      <c r="AV88" s="253" t="s">
        <v>978</v>
      </c>
      <c r="AW88" s="253" t="s">
        <v>978</v>
      </c>
      <c r="AX88" s="253" t="s">
        <v>978</v>
      </c>
      <c r="AY88" s="253" t="s">
        <v>978</v>
      </c>
      <c r="AZ88" s="253" t="s">
        <v>978</v>
      </c>
      <c r="BA88" s="253" t="s">
        <v>978</v>
      </c>
      <c r="BB88" s="253" t="s">
        <v>978</v>
      </c>
      <c r="BC88" s="254" t="s">
        <v>870</v>
      </c>
      <c r="BD88" s="254" t="s">
        <v>870</v>
      </c>
      <c r="BE88" s="254" t="s">
        <v>868</v>
      </c>
      <c r="BF88" s="254" t="s">
        <v>868</v>
      </c>
      <c r="BG88" s="254" t="s">
        <v>868</v>
      </c>
      <c r="BH88" s="254"/>
      <c r="BI88" s="254" t="s">
        <v>868</v>
      </c>
      <c r="BJ88" s="254" t="s">
        <v>868</v>
      </c>
      <c r="BK88" s="254" t="s">
        <v>868</v>
      </c>
      <c r="BL88" s="320" t="s">
        <v>870</v>
      </c>
      <c r="BM88" s="320"/>
      <c r="BN88" s="320" t="s">
        <v>868</v>
      </c>
      <c r="BO88" s="128"/>
      <c r="BP88" s="254" t="s">
        <v>870</v>
      </c>
    </row>
    <row r="89" spans="1:68" ht="30">
      <c r="A89" s="196" t="s">
        <v>976</v>
      </c>
      <c r="B89" s="196" t="s">
        <v>864</v>
      </c>
      <c r="C89" s="196" t="s">
        <v>900</v>
      </c>
      <c r="D89" s="196" t="s">
        <v>1029</v>
      </c>
      <c r="E89" s="196"/>
      <c r="F89" s="198" t="s">
        <v>1030</v>
      </c>
      <c r="G89" s="282">
        <f>VLOOKUP(D89,'2024 NPI'!D:L,3,0)</f>
        <v>45405</v>
      </c>
      <c r="H89" s="282">
        <f>VLOOKUP(D89,'2024 NPI'!D:L,4,0)</f>
        <v>45422</v>
      </c>
      <c r="I89" s="128"/>
      <c r="K89" s="253" t="s">
        <v>868</v>
      </c>
      <c r="L89" s="253" t="s">
        <v>868</v>
      </c>
      <c r="M89" s="253" t="s">
        <v>868</v>
      </c>
      <c r="N89" s="253" t="s">
        <v>868</v>
      </c>
      <c r="O89" s="253" t="s">
        <v>978</v>
      </c>
      <c r="P89" s="253" t="s">
        <v>978</v>
      </c>
      <c r="Q89" s="253" t="s">
        <v>978</v>
      </c>
      <c r="R89" s="253" t="s">
        <v>978</v>
      </c>
      <c r="S89" s="253" t="s">
        <v>978</v>
      </c>
      <c r="T89" s="253" t="s">
        <v>978</v>
      </c>
      <c r="U89" s="253" t="s">
        <v>978</v>
      </c>
      <c r="V89" s="253" t="s">
        <v>978</v>
      </c>
      <c r="W89" s="253" t="s">
        <v>978</v>
      </c>
      <c r="X89" s="253" t="s">
        <v>978</v>
      </c>
      <c r="Y89" s="253" t="s">
        <v>978</v>
      </c>
      <c r="Z89" s="253" t="s">
        <v>978</v>
      </c>
      <c r="AA89" s="253" t="s">
        <v>978</v>
      </c>
      <c r="AB89" s="254" t="s">
        <v>870</v>
      </c>
      <c r="AC89" s="254" t="s">
        <v>870</v>
      </c>
      <c r="AD89" s="254" t="s">
        <v>870</v>
      </c>
      <c r="AE89" s="254" t="s">
        <v>870</v>
      </c>
      <c r="AF89" s="254" t="s">
        <v>870</v>
      </c>
      <c r="AG89" s="254" t="s">
        <v>870</v>
      </c>
      <c r="AH89" s="254" t="s">
        <v>870</v>
      </c>
      <c r="AI89" s="254"/>
      <c r="AJ89" s="253" t="s">
        <v>978</v>
      </c>
      <c r="AK89" s="253" t="s">
        <v>978</v>
      </c>
      <c r="AL89" s="253" t="s">
        <v>978</v>
      </c>
      <c r="AM89" s="253" t="s">
        <v>978</v>
      </c>
      <c r="AN89" s="253" t="s">
        <v>978</v>
      </c>
      <c r="AO89" s="253" t="s">
        <v>978</v>
      </c>
      <c r="AP89" s="253" t="s">
        <v>978</v>
      </c>
      <c r="AQ89" s="253" t="s">
        <v>978</v>
      </c>
      <c r="AR89" s="253" t="s">
        <v>978</v>
      </c>
      <c r="AS89" s="253" t="s">
        <v>978</v>
      </c>
      <c r="AT89" s="253" t="s">
        <v>978</v>
      </c>
      <c r="AU89" s="253" t="s">
        <v>978</v>
      </c>
      <c r="AV89" s="253" t="s">
        <v>978</v>
      </c>
      <c r="AW89" s="253" t="s">
        <v>978</v>
      </c>
      <c r="AX89" s="253" t="s">
        <v>978</v>
      </c>
      <c r="AY89" s="253" t="s">
        <v>978</v>
      </c>
      <c r="AZ89" s="253" t="s">
        <v>978</v>
      </c>
      <c r="BA89" s="253" t="s">
        <v>978</v>
      </c>
      <c r="BB89" s="253" t="s">
        <v>978</v>
      </c>
      <c r="BC89" s="254" t="s">
        <v>870</v>
      </c>
      <c r="BD89" s="254" t="s">
        <v>870</v>
      </c>
      <c r="BE89" s="254" t="s">
        <v>868</v>
      </c>
      <c r="BF89" s="254" t="s">
        <v>868</v>
      </c>
      <c r="BG89" s="254" t="s">
        <v>868</v>
      </c>
      <c r="BH89" s="254"/>
      <c r="BI89" s="254" t="s">
        <v>868</v>
      </c>
      <c r="BJ89" s="254" t="s">
        <v>870</v>
      </c>
      <c r="BK89" s="254" t="s">
        <v>868</v>
      </c>
      <c r="BL89" s="320" t="s">
        <v>870</v>
      </c>
      <c r="BM89" s="320"/>
      <c r="BN89" s="320" t="s">
        <v>868</v>
      </c>
      <c r="BO89" s="128"/>
      <c r="BP89" s="254" t="s">
        <v>870</v>
      </c>
    </row>
    <row r="90" spans="1:68">
      <c r="A90" s="196" t="s">
        <v>976</v>
      </c>
      <c r="B90" s="196" t="s">
        <v>899</v>
      </c>
      <c r="C90" s="196" t="s">
        <v>880</v>
      </c>
      <c r="D90" s="196" t="s">
        <v>1031</v>
      </c>
      <c r="E90" s="196"/>
      <c r="F90" s="198" t="s">
        <v>1032</v>
      </c>
      <c r="G90" s="282" t="str">
        <f>VLOOKUP(D90,'2024 NPI'!D:L,3,0)</f>
        <v>NA</v>
      </c>
      <c r="H90" s="282">
        <f>VLOOKUP(D90,'2024 NPI'!D:L,4,0)</f>
        <v>45376</v>
      </c>
      <c r="I90" s="128"/>
      <c r="K90" s="253" t="s">
        <v>868</v>
      </c>
      <c r="L90" s="253" t="s">
        <v>868</v>
      </c>
      <c r="M90" s="253" t="s">
        <v>868</v>
      </c>
      <c r="N90" s="253" t="s">
        <v>868</v>
      </c>
      <c r="O90" s="253" t="s">
        <v>978</v>
      </c>
      <c r="P90" s="253" t="s">
        <v>978</v>
      </c>
      <c r="Q90" s="253" t="s">
        <v>978</v>
      </c>
      <c r="R90" s="253" t="s">
        <v>978</v>
      </c>
      <c r="S90" s="253" t="s">
        <v>978</v>
      </c>
      <c r="T90" s="253" t="s">
        <v>978</v>
      </c>
      <c r="U90" s="253" t="s">
        <v>978</v>
      </c>
      <c r="V90" s="253" t="s">
        <v>978</v>
      </c>
      <c r="W90" s="253" t="s">
        <v>978</v>
      </c>
      <c r="X90" s="253" t="s">
        <v>978</v>
      </c>
      <c r="Y90" s="253" t="s">
        <v>978</v>
      </c>
      <c r="Z90" s="253" t="s">
        <v>978</v>
      </c>
      <c r="AA90" s="253" t="s">
        <v>978</v>
      </c>
      <c r="AB90" s="254" t="s">
        <v>870</v>
      </c>
      <c r="AC90" s="254" t="s">
        <v>870</v>
      </c>
      <c r="AD90" s="254" t="s">
        <v>870</v>
      </c>
      <c r="AE90" s="254" t="s">
        <v>870</v>
      </c>
      <c r="AF90" s="254" t="s">
        <v>870</v>
      </c>
      <c r="AG90" s="254" t="s">
        <v>870</v>
      </c>
      <c r="AH90" s="254" t="s">
        <v>870</v>
      </c>
      <c r="AI90" s="254"/>
      <c r="AJ90" s="253" t="s">
        <v>978</v>
      </c>
      <c r="AK90" s="253" t="s">
        <v>978</v>
      </c>
      <c r="AL90" s="253" t="s">
        <v>978</v>
      </c>
      <c r="AM90" s="253" t="s">
        <v>978</v>
      </c>
      <c r="AN90" s="253" t="s">
        <v>978</v>
      </c>
      <c r="AO90" s="253" t="s">
        <v>978</v>
      </c>
      <c r="AP90" s="253" t="s">
        <v>978</v>
      </c>
      <c r="AQ90" s="253" t="s">
        <v>978</v>
      </c>
      <c r="AR90" s="253" t="s">
        <v>978</v>
      </c>
      <c r="AS90" s="253" t="s">
        <v>978</v>
      </c>
      <c r="AT90" s="253" t="s">
        <v>978</v>
      </c>
      <c r="AU90" s="253" t="s">
        <v>978</v>
      </c>
      <c r="AV90" s="253" t="s">
        <v>978</v>
      </c>
      <c r="AW90" s="253" t="s">
        <v>978</v>
      </c>
      <c r="AX90" s="253" t="s">
        <v>978</v>
      </c>
      <c r="AY90" s="253" t="s">
        <v>978</v>
      </c>
      <c r="AZ90" s="253" t="s">
        <v>978</v>
      </c>
      <c r="BA90" s="253" t="s">
        <v>978</v>
      </c>
      <c r="BB90" s="253" t="s">
        <v>978</v>
      </c>
      <c r="BC90" s="254" t="s">
        <v>870</v>
      </c>
      <c r="BD90" s="254" t="s">
        <v>870</v>
      </c>
      <c r="BE90" s="254" t="s">
        <v>870</v>
      </c>
      <c r="BF90" s="254" t="s">
        <v>870</v>
      </c>
      <c r="BG90" s="255" t="s">
        <v>870</v>
      </c>
      <c r="BH90" s="255"/>
      <c r="BI90" s="254" t="s">
        <v>868</v>
      </c>
      <c r="BJ90" s="254" t="s">
        <v>870</v>
      </c>
      <c r="BK90" s="254" t="s">
        <v>870</v>
      </c>
      <c r="BL90" s="320" t="s">
        <v>870</v>
      </c>
      <c r="BM90" s="320"/>
      <c r="BN90" s="128"/>
      <c r="BO90" s="128"/>
      <c r="BP90" s="254" t="s">
        <v>870</v>
      </c>
    </row>
    <row r="91" spans="1:68" ht="15.75" thickBot="1">
      <c r="A91" s="312" t="s">
        <v>1033</v>
      </c>
      <c r="B91" s="312" t="s">
        <v>864</v>
      </c>
      <c r="C91" s="312"/>
      <c r="D91" s="312" t="s">
        <v>1034</v>
      </c>
      <c r="E91" s="312"/>
      <c r="F91" s="313" t="s">
        <v>1035</v>
      </c>
      <c r="G91" s="314"/>
      <c r="H91" s="314"/>
      <c r="I91" s="315"/>
      <c r="K91" s="253" t="s">
        <v>868</v>
      </c>
      <c r="L91" s="253" t="s">
        <v>868</v>
      </c>
      <c r="M91" s="253" t="s">
        <v>868</v>
      </c>
      <c r="N91" s="253" t="s">
        <v>868</v>
      </c>
      <c r="O91" s="253" t="s">
        <v>868</v>
      </c>
      <c r="P91" s="253" t="s">
        <v>868</v>
      </c>
      <c r="Q91" s="253" t="s">
        <v>868</v>
      </c>
      <c r="R91" s="253" t="s">
        <v>868</v>
      </c>
      <c r="S91" s="253" t="s">
        <v>868</v>
      </c>
      <c r="T91" s="253" t="s">
        <v>978</v>
      </c>
      <c r="U91" s="253" t="s">
        <v>978</v>
      </c>
      <c r="V91" s="253" t="s">
        <v>978</v>
      </c>
      <c r="W91" s="253" t="s">
        <v>978</v>
      </c>
      <c r="X91" s="253" t="s">
        <v>868</v>
      </c>
      <c r="Y91" s="253" t="s">
        <v>868</v>
      </c>
      <c r="Z91" s="253" t="s">
        <v>868</v>
      </c>
      <c r="AA91" s="253" t="s">
        <v>868</v>
      </c>
      <c r="AB91" s="254" t="s">
        <v>870</v>
      </c>
      <c r="AC91" s="254" t="s">
        <v>870</v>
      </c>
      <c r="AD91" s="254" t="s">
        <v>870</v>
      </c>
      <c r="AE91" s="254" t="s">
        <v>870</v>
      </c>
      <c r="AF91" s="254" t="s">
        <v>870</v>
      </c>
      <c r="AG91" s="254" t="s">
        <v>870</v>
      </c>
      <c r="AH91" s="254" t="s">
        <v>870</v>
      </c>
      <c r="AI91" s="253" t="s">
        <v>868</v>
      </c>
      <c r="AJ91" s="253" t="s">
        <v>978</v>
      </c>
      <c r="AK91" s="253" t="s">
        <v>978</v>
      </c>
      <c r="AL91" s="253" t="s">
        <v>978</v>
      </c>
      <c r="AM91" s="253" t="s">
        <v>978</v>
      </c>
      <c r="AN91" s="253" t="s">
        <v>978</v>
      </c>
      <c r="AO91" s="253" t="s">
        <v>978</v>
      </c>
      <c r="AP91" s="253" t="s">
        <v>978</v>
      </c>
      <c r="AQ91" s="253" t="s">
        <v>978</v>
      </c>
      <c r="AR91" s="253" t="s">
        <v>978</v>
      </c>
      <c r="AS91" s="253" t="s">
        <v>978</v>
      </c>
      <c r="AT91" s="253" t="s">
        <v>978</v>
      </c>
      <c r="AU91" s="253" t="s">
        <v>978</v>
      </c>
      <c r="AV91" s="253" t="s">
        <v>978</v>
      </c>
      <c r="AW91" s="253" t="s">
        <v>978</v>
      </c>
      <c r="AX91" s="253" t="s">
        <v>978</v>
      </c>
      <c r="AY91" s="253" t="s">
        <v>978</v>
      </c>
      <c r="AZ91" s="253" t="s">
        <v>978</v>
      </c>
      <c r="BA91" s="253" t="s">
        <v>978</v>
      </c>
      <c r="BB91" s="253" t="s">
        <v>978</v>
      </c>
      <c r="BC91" s="254" t="s">
        <v>870</v>
      </c>
      <c r="BD91" s="254" t="s">
        <v>870</v>
      </c>
      <c r="BE91" s="254" t="s">
        <v>868</v>
      </c>
      <c r="BF91" s="254" t="s">
        <v>868</v>
      </c>
      <c r="BG91" s="255" t="s">
        <v>868</v>
      </c>
      <c r="BH91" s="255" t="s">
        <v>868</v>
      </c>
      <c r="BI91" s="254" t="s">
        <v>868</v>
      </c>
      <c r="BJ91" s="254" t="s">
        <v>870</v>
      </c>
      <c r="BK91" s="254" t="s">
        <v>868</v>
      </c>
      <c r="BL91" s="320" t="s">
        <v>868</v>
      </c>
      <c r="BM91" s="320"/>
      <c r="BN91" s="320" t="s">
        <v>868</v>
      </c>
      <c r="BO91" s="320" t="s">
        <v>870</v>
      </c>
      <c r="BP91" s="254" t="s">
        <v>870</v>
      </c>
    </row>
    <row r="92" spans="1:68" ht="30">
      <c r="A92" s="230" t="s">
        <v>1036</v>
      </c>
      <c r="B92" s="230" t="s">
        <v>864</v>
      </c>
      <c r="C92" s="230" t="s">
        <v>1037</v>
      </c>
      <c r="D92" s="230" t="s">
        <v>1038</v>
      </c>
      <c r="E92" s="230"/>
      <c r="F92" s="231" t="s">
        <v>1039</v>
      </c>
      <c r="G92" s="282">
        <f>VLOOKUP(D92,'2025 NPI'!D:L,3,0)</f>
        <v>45450</v>
      </c>
      <c r="H92" s="282">
        <f>VLOOKUP(D92,'2025 NPI'!D:L,4,0)</f>
        <v>45478</v>
      </c>
      <c r="I92" s="250"/>
      <c r="K92" s="253" t="s">
        <v>868</v>
      </c>
      <c r="L92" s="253" t="s">
        <v>868</v>
      </c>
      <c r="M92" s="253" t="s">
        <v>868</v>
      </c>
      <c r="N92" s="253" t="s">
        <v>868</v>
      </c>
      <c r="O92" s="253" t="s">
        <v>868</v>
      </c>
      <c r="P92" s="253" t="s">
        <v>868</v>
      </c>
      <c r="Q92" s="253" t="s">
        <v>868</v>
      </c>
      <c r="R92" s="253" t="s">
        <v>868</v>
      </c>
      <c r="S92" s="253" t="s">
        <v>978</v>
      </c>
      <c r="T92" s="253" t="s">
        <v>978</v>
      </c>
      <c r="U92" s="253" t="s">
        <v>978</v>
      </c>
      <c r="V92" s="253" t="s">
        <v>978</v>
      </c>
      <c r="W92" s="253" t="s">
        <v>978</v>
      </c>
      <c r="X92" s="253" t="s">
        <v>870</v>
      </c>
      <c r="Y92" s="253" t="s">
        <v>868</v>
      </c>
      <c r="Z92" s="253" t="s">
        <v>870</v>
      </c>
      <c r="AA92" s="253" t="s">
        <v>868</v>
      </c>
      <c r="AB92" s="254" t="s">
        <v>870</v>
      </c>
      <c r="AC92" s="254" t="s">
        <v>870</v>
      </c>
      <c r="AD92" s="254" t="s">
        <v>870</v>
      </c>
      <c r="AE92" s="254" t="s">
        <v>870</v>
      </c>
      <c r="AF92" s="254" t="s">
        <v>870</v>
      </c>
      <c r="AG92" s="254" t="s">
        <v>870</v>
      </c>
      <c r="AH92" s="254" t="s">
        <v>870</v>
      </c>
      <c r="AI92" s="254" t="s">
        <v>870</v>
      </c>
      <c r="AJ92" s="253" t="s">
        <v>978</v>
      </c>
      <c r="AK92" s="253" t="s">
        <v>978</v>
      </c>
      <c r="AL92" s="253" t="s">
        <v>978</v>
      </c>
      <c r="AM92" s="253" t="s">
        <v>978</v>
      </c>
      <c r="AN92" s="253" t="s">
        <v>978</v>
      </c>
      <c r="AO92" s="253" t="s">
        <v>978</v>
      </c>
      <c r="AP92" s="253" t="s">
        <v>978</v>
      </c>
      <c r="AQ92" s="253" t="s">
        <v>978</v>
      </c>
      <c r="AR92" s="253" t="s">
        <v>978</v>
      </c>
      <c r="AS92" s="253" t="s">
        <v>978</v>
      </c>
      <c r="AT92" s="253" t="s">
        <v>978</v>
      </c>
      <c r="AU92" s="253" t="s">
        <v>978</v>
      </c>
      <c r="AV92" s="253" t="s">
        <v>978</v>
      </c>
      <c r="AW92" s="253" t="s">
        <v>978</v>
      </c>
      <c r="AX92" s="253" t="s">
        <v>978</v>
      </c>
      <c r="AY92" s="253" t="s">
        <v>978</v>
      </c>
      <c r="AZ92" s="253" t="s">
        <v>978</v>
      </c>
      <c r="BA92" s="253" t="s">
        <v>978</v>
      </c>
      <c r="BB92" s="253" t="s">
        <v>978</v>
      </c>
      <c r="BC92" s="254" t="s">
        <v>870</v>
      </c>
      <c r="BD92" s="254" t="s">
        <v>870</v>
      </c>
      <c r="BE92" s="254" t="s">
        <v>978</v>
      </c>
      <c r="BF92" s="254" t="s">
        <v>978</v>
      </c>
      <c r="BG92" s="255" t="s">
        <v>978</v>
      </c>
      <c r="BH92" s="255" t="s">
        <v>978</v>
      </c>
      <c r="BI92" s="254" t="s">
        <v>868</v>
      </c>
      <c r="BJ92" s="254" t="s">
        <v>870</v>
      </c>
      <c r="BK92" s="254" t="s">
        <v>1040</v>
      </c>
      <c r="BL92" s="320" t="s">
        <v>870</v>
      </c>
      <c r="BM92" s="320"/>
      <c r="BN92" s="128"/>
      <c r="BO92" s="128"/>
      <c r="BP92" s="254" t="s">
        <v>870</v>
      </c>
    </row>
    <row r="93" spans="1:68" ht="30">
      <c r="A93" s="196" t="s">
        <v>1036</v>
      </c>
      <c r="B93" s="196" t="s">
        <v>864</v>
      </c>
      <c r="C93" s="196" t="s">
        <v>1041</v>
      </c>
      <c r="D93" s="196" t="s">
        <v>1042</v>
      </c>
      <c r="E93" s="196"/>
      <c r="F93" s="198" t="s">
        <v>1043</v>
      </c>
      <c r="G93" s="282">
        <f>VLOOKUP(D93,'2025 NPI'!D:L,3,0)</f>
        <v>45505</v>
      </c>
      <c r="H93" s="282">
        <f>VLOOKUP(D93,'2025 NPI'!D:L,4,0)</f>
        <v>45541</v>
      </c>
      <c r="I93" s="235"/>
      <c r="K93" s="253" t="s">
        <v>868</v>
      </c>
      <c r="L93" s="253" t="s">
        <v>868</v>
      </c>
      <c r="M93" s="253" t="s">
        <v>868</v>
      </c>
      <c r="N93" s="253" t="s">
        <v>868</v>
      </c>
      <c r="O93" s="253" t="s">
        <v>868</v>
      </c>
      <c r="P93" s="253" t="s">
        <v>868</v>
      </c>
      <c r="Q93" s="253" t="s">
        <v>868</v>
      </c>
      <c r="R93" s="253" t="s">
        <v>868</v>
      </c>
      <c r="S93" s="253" t="s">
        <v>978</v>
      </c>
      <c r="T93" s="253" t="s">
        <v>978</v>
      </c>
      <c r="U93" s="253" t="s">
        <v>978</v>
      </c>
      <c r="V93" s="253" t="s">
        <v>978</v>
      </c>
      <c r="W93" s="253" t="s">
        <v>978</v>
      </c>
      <c r="X93" s="253" t="s">
        <v>870</v>
      </c>
      <c r="Y93" s="253" t="s">
        <v>868</v>
      </c>
      <c r="Z93" s="253" t="s">
        <v>870</v>
      </c>
      <c r="AA93" s="253" t="s">
        <v>868</v>
      </c>
      <c r="AB93" s="254" t="s">
        <v>870</v>
      </c>
      <c r="AC93" s="254" t="s">
        <v>870</v>
      </c>
      <c r="AD93" s="254" t="s">
        <v>870</v>
      </c>
      <c r="AE93" s="254" t="s">
        <v>870</v>
      </c>
      <c r="AF93" s="254" t="s">
        <v>870</v>
      </c>
      <c r="AG93" s="254" t="s">
        <v>870</v>
      </c>
      <c r="AH93" s="254" t="s">
        <v>870</v>
      </c>
      <c r="AI93" s="254" t="s">
        <v>870</v>
      </c>
      <c r="AJ93" s="253" t="s">
        <v>978</v>
      </c>
      <c r="AK93" s="253" t="s">
        <v>978</v>
      </c>
      <c r="AL93" s="253" t="s">
        <v>978</v>
      </c>
      <c r="AM93" s="253" t="s">
        <v>978</v>
      </c>
      <c r="AN93" s="253" t="s">
        <v>978</v>
      </c>
      <c r="AO93" s="253" t="s">
        <v>978</v>
      </c>
      <c r="AP93" s="253" t="s">
        <v>978</v>
      </c>
      <c r="AQ93" s="253" t="s">
        <v>978</v>
      </c>
      <c r="AR93" s="253" t="s">
        <v>978</v>
      </c>
      <c r="AS93" s="253" t="s">
        <v>978</v>
      </c>
      <c r="AT93" s="253" t="s">
        <v>978</v>
      </c>
      <c r="AU93" s="253" t="s">
        <v>978</v>
      </c>
      <c r="AV93" s="253" t="s">
        <v>978</v>
      </c>
      <c r="AW93" s="253" t="s">
        <v>978</v>
      </c>
      <c r="AX93" s="253" t="s">
        <v>978</v>
      </c>
      <c r="AY93" s="253" t="s">
        <v>978</v>
      </c>
      <c r="AZ93" s="253" t="s">
        <v>978</v>
      </c>
      <c r="BA93" s="253" t="s">
        <v>978</v>
      </c>
      <c r="BB93" s="253" t="s">
        <v>978</v>
      </c>
      <c r="BC93" s="254" t="s">
        <v>870</v>
      </c>
      <c r="BD93" s="254" t="s">
        <v>870</v>
      </c>
      <c r="BE93" s="254" t="s">
        <v>868</v>
      </c>
      <c r="BF93" s="254" t="s">
        <v>868</v>
      </c>
      <c r="BG93" s="255" t="s">
        <v>978</v>
      </c>
      <c r="BH93" s="255" t="s">
        <v>978</v>
      </c>
      <c r="BI93" s="254" t="s">
        <v>868</v>
      </c>
      <c r="BJ93" s="254" t="s">
        <v>870</v>
      </c>
      <c r="BK93" s="254" t="s">
        <v>868</v>
      </c>
      <c r="BL93" s="320" t="s">
        <v>870</v>
      </c>
      <c r="BM93" s="320"/>
      <c r="BN93" s="320" t="s">
        <v>868</v>
      </c>
      <c r="BO93" s="128"/>
      <c r="BP93" s="254" t="s">
        <v>870</v>
      </c>
    </row>
    <row r="94" spans="1:68" ht="30">
      <c r="A94" s="196" t="s">
        <v>1036</v>
      </c>
      <c r="B94" s="196" t="s">
        <v>864</v>
      </c>
      <c r="C94" s="196" t="s">
        <v>1044</v>
      </c>
      <c r="D94" s="196" t="s">
        <v>1045</v>
      </c>
      <c r="E94" s="196"/>
      <c r="F94" s="198" t="s">
        <v>1046</v>
      </c>
      <c r="G94" s="282">
        <f>VLOOKUP(D94,'2025 NPI'!D:L,3,0)</f>
        <v>45463</v>
      </c>
      <c r="H94" s="282">
        <f>VLOOKUP(D94,'2025 NPI'!D:L,4,0)</f>
        <v>45555</v>
      </c>
      <c r="I94" s="235"/>
      <c r="K94" s="254" t="s">
        <v>870</v>
      </c>
      <c r="L94" s="253" t="s">
        <v>868</v>
      </c>
      <c r="M94" s="253" t="s">
        <v>868</v>
      </c>
      <c r="N94" s="253" t="s">
        <v>868</v>
      </c>
      <c r="O94" s="253" t="s">
        <v>868</v>
      </c>
      <c r="P94" s="253" t="s">
        <v>868</v>
      </c>
      <c r="Q94" s="253" t="s">
        <v>868</v>
      </c>
      <c r="R94" s="253" t="s">
        <v>868</v>
      </c>
      <c r="S94" s="253" t="s">
        <v>978</v>
      </c>
      <c r="T94" s="253" t="s">
        <v>978</v>
      </c>
      <c r="U94" s="253" t="s">
        <v>978</v>
      </c>
      <c r="V94" s="253" t="s">
        <v>978</v>
      </c>
      <c r="W94" s="253" t="s">
        <v>978</v>
      </c>
      <c r="X94" s="253" t="s">
        <v>870</v>
      </c>
      <c r="Y94" s="253" t="s">
        <v>868</v>
      </c>
      <c r="Z94" s="253" t="s">
        <v>870</v>
      </c>
      <c r="AA94" s="253" t="s">
        <v>868</v>
      </c>
      <c r="AB94" s="254" t="s">
        <v>870</v>
      </c>
      <c r="AC94" s="254" t="s">
        <v>870</v>
      </c>
      <c r="AD94" s="254" t="s">
        <v>870</v>
      </c>
      <c r="AE94" s="254" t="s">
        <v>870</v>
      </c>
      <c r="AF94" s="254" t="s">
        <v>870</v>
      </c>
      <c r="AG94" s="254" t="s">
        <v>870</v>
      </c>
      <c r="AH94" s="254" t="s">
        <v>870</v>
      </c>
      <c r="AI94" s="253" t="s">
        <v>868</v>
      </c>
      <c r="AJ94" s="253" t="s">
        <v>978</v>
      </c>
      <c r="AK94" s="253" t="s">
        <v>978</v>
      </c>
      <c r="AL94" s="253" t="s">
        <v>978</v>
      </c>
      <c r="AM94" s="253" t="s">
        <v>978</v>
      </c>
      <c r="AN94" s="253" t="s">
        <v>978</v>
      </c>
      <c r="AO94" s="253" t="s">
        <v>978</v>
      </c>
      <c r="AP94" s="253" t="s">
        <v>978</v>
      </c>
      <c r="AQ94" s="253" t="s">
        <v>978</v>
      </c>
      <c r="AR94" s="253" t="s">
        <v>978</v>
      </c>
      <c r="AS94" s="253" t="s">
        <v>978</v>
      </c>
      <c r="AT94" s="253" t="s">
        <v>978</v>
      </c>
      <c r="AU94" s="253" t="s">
        <v>978</v>
      </c>
      <c r="AV94" s="253" t="s">
        <v>978</v>
      </c>
      <c r="AW94" s="253" t="s">
        <v>978</v>
      </c>
      <c r="AX94" s="253" t="s">
        <v>978</v>
      </c>
      <c r="AY94" s="253" t="s">
        <v>978</v>
      </c>
      <c r="AZ94" s="253" t="s">
        <v>978</v>
      </c>
      <c r="BA94" s="253" t="s">
        <v>978</v>
      </c>
      <c r="BB94" s="253" t="s">
        <v>978</v>
      </c>
      <c r="BC94" s="254" t="s">
        <v>870</v>
      </c>
      <c r="BD94" s="254" t="s">
        <v>870</v>
      </c>
      <c r="BE94" s="254" t="s">
        <v>868</v>
      </c>
      <c r="BF94" s="254" t="s">
        <v>868</v>
      </c>
      <c r="BG94" s="254" t="s">
        <v>868</v>
      </c>
      <c r="BH94" s="254"/>
      <c r="BI94" s="254" t="s">
        <v>868</v>
      </c>
      <c r="BJ94" s="254" t="s">
        <v>870</v>
      </c>
      <c r="BK94" s="254" t="s">
        <v>868</v>
      </c>
      <c r="BL94" s="320" t="s">
        <v>870</v>
      </c>
      <c r="BM94" s="320"/>
      <c r="BN94" s="320" t="s">
        <v>868</v>
      </c>
      <c r="BO94" s="320" t="s">
        <v>868</v>
      </c>
      <c r="BP94" s="254" t="s">
        <v>870</v>
      </c>
    </row>
    <row r="95" spans="1:68" ht="45">
      <c r="A95" s="196" t="s">
        <v>1036</v>
      </c>
      <c r="B95" s="196" t="s">
        <v>899</v>
      </c>
      <c r="C95" s="196" t="s">
        <v>1047</v>
      </c>
      <c r="D95" s="196" t="s">
        <v>1048</v>
      </c>
      <c r="E95" s="196"/>
      <c r="F95" s="198" t="s">
        <v>1049</v>
      </c>
      <c r="G95" s="282">
        <f>VLOOKUP(D95,'2025 NPI'!D:L,3,0)</f>
        <v>45450</v>
      </c>
      <c r="H95" s="282">
        <f>VLOOKUP(D95,'2025 NPI'!D:L,4,0)</f>
        <v>45588</v>
      </c>
      <c r="I95" s="235"/>
      <c r="K95" s="253" t="s">
        <v>868</v>
      </c>
      <c r="L95" s="253" t="s">
        <v>868</v>
      </c>
      <c r="M95" s="253" t="s">
        <v>868</v>
      </c>
      <c r="N95" s="253" t="s">
        <v>868</v>
      </c>
      <c r="O95" s="253" t="s">
        <v>868</v>
      </c>
      <c r="P95" s="253" t="s">
        <v>868</v>
      </c>
      <c r="Q95" s="253" t="s">
        <v>868</v>
      </c>
      <c r="R95" s="253" t="s">
        <v>868</v>
      </c>
      <c r="S95" s="253" t="s">
        <v>978</v>
      </c>
      <c r="T95" s="253" t="s">
        <v>978</v>
      </c>
      <c r="U95" s="253" t="s">
        <v>978</v>
      </c>
      <c r="V95" s="253" t="s">
        <v>978</v>
      </c>
      <c r="W95" s="253" t="s">
        <v>978</v>
      </c>
      <c r="X95" s="253" t="s">
        <v>870</v>
      </c>
      <c r="Y95" s="253" t="s">
        <v>868</v>
      </c>
      <c r="Z95" s="253" t="s">
        <v>870</v>
      </c>
      <c r="AA95" s="253" t="s">
        <v>868</v>
      </c>
      <c r="AB95" s="254" t="s">
        <v>870</v>
      </c>
      <c r="AC95" s="254" t="s">
        <v>870</v>
      </c>
      <c r="AD95" s="254" t="s">
        <v>870</v>
      </c>
      <c r="AE95" s="254" t="s">
        <v>870</v>
      </c>
      <c r="AF95" s="254" t="s">
        <v>870</v>
      </c>
      <c r="AG95" s="254" t="s">
        <v>870</v>
      </c>
      <c r="AH95" s="254" t="s">
        <v>870</v>
      </c>
      <c r="AI95" s="254" t="s">
        <v>1040</v>
      </c>
      <c r="AJ95" s="253" t="s">
        <v>978</v>
      </c>
      <c r="AK95" s="253" t="s">
        <v>978</v>
      </c>
      <c r="AL95" s="253" t="s">
        <v>978</v>
      </c>
      <c r="AM95" s="253" t="s">
        <v>978</v>
      </c>
      <c r="AN95" s="253" t="s">
        <v>978</v>
      </c>
      <c r="AO95" s="253" t="s">
        <v>978</v>
      </c>
      <c r="AP95" s="253" t="s">
        <v>978</v>
      </c>
      <c r="AQ95" s="253" t="s">
        <v>978</v>
      </c>
      <c r="AR95" s="253" t="s">
        <v>978</v>
      </c>
      <c r="AS95" s="253" t="s">
        <v>978</v>
      </c>
      <c r="AT95" s="253" t="s">
        <v>978</v>
      </c>
      <c r="AU95" s="253" t="s">
        <v>978</v>
      </c>
      <c r="AV95" s="253" t="s">
        <v>978</v>
      </c>
      <c r="AW95" s="253" t="s">
        <v>978</v>
      </c>
      <c r="AX95" s="253" t="s">
        <v>978</v>
      </c>
      <c r="AY95" s="253" t="s">
        <v>978</v>
      </c>
      <c r="AZ95" s="253" t="s">
        <v>978</v>
      </c>
      <c r="BA95" s="253" t="s">
        <v>978</v>
      </c>
      <c r="BB95" s="253" t="s">
        <v>978</v>
      </c>
      <c r="BC95" s="254" t="s">
        <v>870</v>
      </c>
      <c r="BD95" s="254" t="s">
        <v>870</v>
      </c>
      <c r="BE95" s="254" t="s">
        <v>978</v>
      </c>
      <c r="BF95" s="254" t="s">
        <v>978</v>
      </c>
      <c r="BG95" s="255" t="s">
        <v>978</v>
      </c>
      <c r="BH95" s="255" t="s">
        <v>978</v>
      </c>
      <c r="BI95" s="254" t="s">
        <v>868</v>
      </c>
      <c r="BJ95" s="254" t="s">
        <v>870</v>
      </c>
      <c r="BK95" s="254" t="s">
        <v>1040</v>
      </c>
      <c r="BL95" s="320" t="s">
        <v>870</v>
      </c>
      <c r="BM95" s="320"/>
      <c r="BN95" s="128"/>
      <c r="BO95" s="128"/>
      <c r="BP95" s="254" t="s">
        <v>870</v>
      </c>
    </row>
    <row r="96" spans="1:68" ht="30">
      <c r="A96" s="196" t="s">
        <v>1036</v>
      </c>
      <c r="B96" s="196" t="s">
        <v>864</v>
      </c>
      <c r="C96" s="196" t="s">
        <v>1044</v>
      </c>
      <c r="D96" s="196" t="s">
        <v>1050</v>
      </c>
      <c r="E96" s="196"/>
      <c r="F96" s="198" t="s">
        <v>1051</v>
      </c>
      <c r="G96" s="282">
        <f>VLOOKUP(D96,'2025 NPI'!D:L,3,0)</f>
        <v>45481</v>
      </c>
      <c r="H96" s="282">
        <f>VLOOKUP(D96,'2025 NPI'!D:L,4,0)</f>
        <v>45597</v>
      </c>
      <c r="I96" s="235"/>
      <c r="K96" s="254" t="s">
        <v>870</v>
      </c>
      <c r="L96" s="253" t="s">
        <v>868</v>
      </c>
      <c r="M96" s="253" t="s">
        <v>868</v>
      </c>
      <c r="N96" s="253" t="s">
        <v>868</v>
      </c>
      <c r="O96" s="253" t="s">
        <v>868</v>
      </c>
      <c r="P96" s="253" t="s">
        <v>868</v>
      </c>
      <c r="Q96" s="253" t="s">
        <v>868</v>
      </c>
      <c r="R96" s="253" t="s">
        <v>868</v>
      </c>
      <c r="S96" s="253" t="s">
        <v>978</v>
      </c>
      <c r="T96" s="253" t="s">
        <v>978</v>
      </c>
      <c r="U96" s="253" t="s">
        <v>978</v>
      </c>
      <c r="V96" s="253" t="s">
        <v>978</v>
      </c>
      <c r="W96" s="253" t="s">
        <v>978</v>
      </c>
      <c r="X96" s="253" t="s">
        <v>870</v>
      </c>
      <c r="Y96" s="253" t="s">
        <v>868</v>
      </c>
      <c r="Z96" s="253" t="s">
        <v>870</v>
      </c>
      <c r="AA96" s="253" t="s">
        <v>868</v>
      </c>
      <c r="AB96" s="254" t="s">
        <v>870</v>
      </c>
      <c r="AC96" s="254" t="s">
        <v>870</v>
      </c>
      <c r="AD96" s="254" t="s">
        <v>870</v>
      </c>
      <c r="AE96" s="254" t="s">
        <v>870</v>
      </c>
      <c r="AF96" s="254" t="s">
        <v>870</v>
      </c>
      <c r="AG96" s="254" t="s">
        <v>870</v>
      </c>
      <c r="AH96" s="254" t="s">
        <v>870</v>
      </c>
      <c r="AI96" s="253" t="s">
        <v>868</v>
      </c>
      <c r="AJ96" s="253" t="s">
        <v>978</v>
      </c>
      <c r="AK96" s="253" t="s">
        <v>978</v>
      </c>
      <c r="AL96" s="253" t="s">
        <v>978</v>
      </c>
      <c r="AM96" s="253" t="s">
        <v>978</v>
      </c>
      <c r="AN96" s="253" t="s">
        <v>978</v>
      </c>
      <c r="AO96" s="253" t="s">
        <v>978</v>
      </c>
      <c r="AP96" s="253" t="s">
        <v>978</v>
      </c>
      <c r="AQ96" s="253" t="s">
        <v>978</v>
      </c>
      <c r="AR96" s="253" t="s">
        <v>978</v>
      </c>
      <c r="AS96" s="253" t="s">
        <v>978</v>
      </c>
      <c r="AT96" s="253" t="s">
        <v>978</v>
      </c>
      <c r="AU96" s="253" t="s">
        <v>978</v>
      </c>
      <c r="AV96" s="253" t="s">
        <v>978</v>
      </c>
      <c r="AW96" s="253" t="s">
        <v>978</v>
      </c>
      <c r="AX96" s="253" t="s">
        <v>978</v>
      </c>
      <c r="AY96" s="253" t="s">
        <v>978</v>
      </c>
      <c r="AZ96" s="253" t="s">
        <v>978</v>
      </c>
      <c r="BA96" s="253" t="s">
        <v>978</v>
      </c>
      <c r="BB96" s="253" t="s">
        <v>978</v>
      </c>
      <c r="BC96" s="254" t="s">
        <v>870</v>
      </c>
      <c r="BD96" s="254" t="s">
        <v>870</v>
      </c>
      <c r="BE96" s="254" t="s">
        <v>868</v>
      </c>
      <c r="BF96" s="254" t="s">
        <v>868</v>
      </c>
      <c r="BG96" s="254" t="s">
        <v>868</v>
      </c>
      <c r="BH96" s="254" t="s">
        <v>868</v>
      </c>
      <c r="BI96" s="254" t="s">
        <v>868</v>
      </c>
      <c r="BJ96" s="254" t="s">
        <v>870</v>
      </c>
      <c r="BK96" s="254" t="s">
        <v>868</v>
      </c>
      <c r="BL96" s="320" t="s">
        <v>870</v>
      </c>
      <c r="BM96" s="320"/>
      <c r="BN96" s="320" t="s">
        <v>868</v>
      </c>
      <c r="BO96" s="320" t="s">
        <v>868</v>
      </c>
      <c r="BP96" s="254" t="s">
        <v>870</v>
      </c>
    </row>
    <row r="97" spans="1:68" ht="30">
      <c r="A97" s="196" t="s">
        <v>1036</v>
      </c>
      <c r="B97" s="196" t="s">
        <v>864</v>
      </c>
      <c r="C97" s="196" t="s">
        <v>1044</v>
      </c>
      <c r="D97" s="196" t="s">
        <v>1052</v>
      </c>
      <c r="E97" s="196"/>
      <c r="F97" s="198" t="s">
        <v>1053</v>
      </c>
      <c r="G97" s="282">
        <f>VLOOKUP(D97,'2025 NPI'!D:L,3,0)</f>
        <v>45481</v>
      </c>
      <c r="H97" s="282">
        <f>VLOOKUP(D97,'2025 NPI'!D:L,4,0)</f>
        <v>45597</v>
      </c>
      <c r="I97" s="235"/>
      <c r="K97" s="254" t="s">
        <v>870</v>
      </c>
      <c r="L97" s="253" t="s">
        <v>868</v>
      </c>
      <c r="M97" s="253" t="s">
        <v>868</v>
      </c>
      <c r="N97" s="253" t="s">
        <v>868</v>
      </c>
      <c r="O97" s="253" t="s">
        <v>868</v>
      </c>
      <c r="P97" s="253" t="s">
        <v>868</v>
      </c>
      <c r="Q97" s="253" t="s">
        <v>868</v>
      </c>
      <c r="R97" s="253" t="s">
        <v>868</v>
      </c>
      <c r="S97" s="253" t="s">
        <v>978</v>
      </c>
      <c r="T97" s="253" t="s">
        <v>978</v>
      </c>
      <c r="U97" s="253" t="s">
        <v>978</v>
      </c>
      <c r="V97" s="253" t="s">
        <v>978</v>
      </c>
      <c r="W97" s="253" t="s">
        <v>978</v>
      </c>
      <c r="X97" s="253" t="s">
        <v>870</v>
      </c>
      <c r="Y97" s="253" t="s">
        <v>868</v>
      </c>
      <c r="Z97" s="253" t="s">
        <v>870</v>
      </c>
      <c r="AA97" s="253" t="s">
        <v>868</v>
      </c>
      <c r="AB97" s="254" t="s">
        <v>870</v>
      </c>
      <c r="AC97" s="254" t="s">
        <v>870</v>
      </c>
      <c r="AD97" s="254" t="s">
        <v>870</v>
      </c>
      <c r="AE97" s="254" t="s">
        <v>870</v>
      </c>
      <c r="AF97" s="254" t="s">
        <v>870</v>
      </c>
      <c r="AG97" s="254" t="s">
        <v>870</v>
      </c>
      <c r="AH97" s="254" t="s">
        <v>870</v>
      </c>
      <c r="AI97" s="253" t="s">
        <v>868</v>
      </c>
      <c r="AJ97" s="253" t="s">
        <v>978</v>
      </c>
      <c r="AK97" s="253" t="s">
        <v>978</v>
      </c>
      <c r="AL97" s="253" t="s">
        <v>978</v>
      </c>
      <c r="AM97" s="253" t="s">
        <v>978</v>
      </c>
      <c r="AN97" s="253" t="s">
        <v>978</v>
      </c>
      <c r="AO97" s="253" t="s">
        <v>978</v>
      </c>
      <c r="AP97" s="253" t="s">
        <v>978</v>
      </c>
      <c r="AQ97" s="253" t="s">
        <v>978</v>
      </c>
      <c r="AR97" s="253" t="s">
        <v>978</v>
      </c>
      <c r="AS97" s="253" t="s">
        <v>978</v>
      </c>
      <c r="AT97" s="253" t="s">
        <v>978</v>
      </c>
      <c r="AU97" s="253" t="s">
        <v>978</v>
      </c>
      <c r="AV97" s="253" t="s">
        <v>978</v>
      </c>
      <c r="AW97" s="253" t="s">
        <v>978</v>
      </c>
      <c r="AX97" s="253" t="s">
        <v>978</v>
      </c>
      <c r="AY97" s="253" t="s">
        <v>978</v>
      </c>
      <c r="AZ97" s="253" t="s">
        <v>978</v>
      </c>
      <c r="BA97" s="253" t="s">
        <v>978</v>
      </c>
      <c r="BB97" s="253" t="s">
        <v>978</v>
      </c>
      <c r="BC97" s="254" t="s">
        <v>870</v>
      </c>
      <c r="BD97" s="254" t="s">
        <v>870</v>
      </c>
      <c r="BE97" s="254" t="s">
        <v>868</v>
      </c>
      <c r="BF97" s="254" t="s">
        <v>868</v>
      </c>
      <c r="BG97" s="254" t="s">
        <v>868</v>
      </c>
      <c r="BH97" s="254" t="s">
        <v>868</v>
      </c>
      <c r="BI97" s="254" t="s">
        <v>868</v>
      </c>
      <c r="BJ97" s="254" t="s">
        <v>868</v>
      </c>
      <c r="BK97" s="254" t="s">
        <v>868</v>
      </c>
      <c r="BL97" s="320" t="s">
        <v>870</v>
      </c>
      <c r="BM97" s="320"/>
      <c r="BN97" s="320" t="s">
        <v>868</v>
      </c>
      <c r="BO97" s="320" t="s">
        <v>868</v>
      </c>
      <c r="BP97" s="254" t="s">
        <v>870</v>
      </c>
    </row>
    <row r="98" spans="1:68" ht="30">
      <c r="A98" s="196" t="s">
        <v>1036</v>
      </c>
      <c r="B98" s="196" t="s">
        <v>864</v>
      </c>
      <c r="C98" s="196" t="s">
        <v>1037</v>
      </c>
      <c r="D98" s="196" t="s">
        <v>1054</v>
      </c>
      <c r="E98" s="196"/>
      <c r="F98" s="198" t="s">
        <v>1055</v>
      </c>
      <c r="G98" s="282">
        <f>VLOOKUP(D98,'2025 NPI'!D:L,3,0)</f>
        <v>45540</v>
      </c>
      <c r="H98" s="282">
        <f>VLOOKUP(D98,'2025 NPI'!D:L,4,0)</f>
        <v>45615</v>
      </c>
      <c r="I98" s="235"/>
      <c r="K98" s="253" t="s">
        <v>868</v>
      </c>
      <c r="L98" s="253" t="s">
        <v>868</v>
      </c>
      <c r="M98" s="253" t="s">
        <v>868</v>
      </c>
      <c r="N98" s="253" t="s">
        <v>868</v>
      </c>
      <c r="O98" s="253" t="s">
        <v>868</v>
      </c>
      <c r="P98" s="253" t="s">
        <v>868</v>
      </c>
      <c r="Q98" s="253" t="s">
        <v>868</v>
      </c>
      <c r="R98" s="253" t="s">
        <v>868</v>
      </c>
      <c r="S98" s="253" t="s">
        <v>978</v>
      </c>
      <c r="T98" s="253" t="s">
        <v>978</v>
      </c>
      <c r="U98" s="253" t="s">
        <v>978</v>
      </c>
      <c r="V98" s="253" t="s">
        <v>978</v>
      </c>
      <c r="W98" s="253" t="s">
        <v>978</v>
      </c>
      <c r="X98" s="253" t="s">
        <v>870</v>
      </c>
      <c r="Y98" s="253" t="s">
        <v>868</v>
      </c>
      <c r="Z98" s="253" t="s">
        <v>870</v>
      </c>
      <c r="AA98" s="253" t="s">
        <v>868</v>
      </c>
      <c r="AB98" s="254" t="s">
        <v>870</v>
      </c>
      <c r="AC98" s="254" t="s">
        <v>870</v>
      </c>
      <c r="AD98" s="254" t="s">
        <v>870</v>
      </c>
      <c r="AE98" s="254" t="s">
        <v>870</v>
      </c>
      <c r="AF98" s="254" t="s">
        <v>870</v>
      </c>
      <c r="AG98" s="254" t="s">
        <v>870</v>
      </c>
      <c r="AH98" s="254" t="s">
        <v>870</v>
      </c>
      <c r="AI98" s="254" t="s">
        <v>870</v>
      </c>
      <c r="AJ98" s="253" t="s">
        <v>978</v>
      </c>
      <c r="AK98" s="253" t="s">
        <v>978</v>
      </c>
      <c r="AL98" s="253" t="s">
        <v>978</v>
      </c>
      <c r="AM98" s="253" t="s">
        <v>978</v>
      </c>
      <c r="AN98" s="253" t="s">
        <v>978</v>
      </c>
      <c r="AO98" s="253" t="s">
        <v>978</v>
      </c>
      <c r="AP98" s="253" t="s">
        <v>978</v>
      </c>
      <c r="AQ98" s="253" t="s">
        <v>978</v>
      </c>
      <c r="AR98" s="253" t="s">
        <v>978</v>
      </c>
      <c r="AS98" s="253" t="s">
        <v>978</v>
      </c>
      <c r="AT98" s="253" t="s">
        <v>978</v>
      </c>
      <c r="AU98" s="253" t="s">
        <v>978</v>
      </c>
      <c r="AV98" s="253" t="s">
        <v>978</v>
      </c>
      <c r="AW98" s="253" t="s">
        <v>978</v>
      </c>
      <c r="AX98" s="253" t="s">
        <v>978</v>
      </c>
      <c r="AY98" s="253" t="s">
        <v>978</v>
      </c>
      <c r="AZ98" s="253" t="s">
        <v>978</v>
      </c>
      <c r="BA98" s="253" t="s">
        <v>978</v>
      </c>
      <c r="BB98" s="253" t="s">
        <v>978</v>
      </c>
      <c r="BC98" s="254" t="s">
        <v>870</v>
      </c>
      <c r="BD98" s="254" t="s">
        <v>870</v>
      </c>
      <c r="BE98" s="254" t="s">
        <v>978</v>
      </c>
      <c r="BF98" s="254" t="s">
        <v>978</v>
      </c>
      <c r="BG98" s="255" t="s">
        <v>978</v>
      </c>
      <c r="BH98" s="255" t="s">
        <v>978</v>
      </c>
      <c r="BI98" s="254" t="s">
        <v>868</v>
      </c>
      <c r="BJ98" s="254" t="s">
        <v>870</v>
      </c>
      <c r="BK98" s="254" t="s">
        <v>1040</v>
      </c>
      <c r="BL98" s="320" t="s">
        <v>870</v>
      </c>
      <c r="BM98" s="320"/>
      <c r="BN98" s="128"/>
      <c r="BO98" s="128"/>
      <c r="BP98" s="254" t="s">
        <v>870</v>
      </c>
    </row>
    <row r="99" spans="1:68" ht="30">
      <c r="A99" s="196" t="s">
        <v>1036</v>
      </c>
      <c r="B99" s="196" t="s">
        <v>864</v>
      </c>
      <c r="C99" s="196" t="s">
        <v>1056</v>
      </c>
      <c r="D99" s="196" t="s">
        <v>1057</v>
      </c>
      <c r="E99" s="196"/>
      <c r="F99" s="198" t="s">
        <v>1058</v>
      </c>
      <c r="G99" s="282">
        <f>VLOOKUP(D99,'2025 NPI'!D:L,3,0)</f>
        <v>45510</v>
      </c>
      <c r="H99" s="282">
        <f>VLOOKUP(D99,'2025 NPI'!D:L,4,0)</f>
        <v>45646</v>
      </c>
      <c r="I99" s="235"/>
      <c r="K99" s="253" t="s">
        <v>868</v>
      </c>
      <c r="L99" s="253" t="s">
        <v>868</v>
      </c>
      <c r="M99" s="253" t="s">
        <v>868</v>
      </c>
      <c r="N99" s="253" t="s">
        <v>868</v>
      </c>
      <c r="O99" s="253" t="s">
        <v>868</v>
      </c>
      <c r="P99" s="253" t="s">
        <v>868</v>
      </c>
      <c r="Q99" s="253" t="s">
        <v>868</v>
      </c>
      <c r="R99" s="253" t="s">
        <v>868</v>
      </c>
      <c r="S99" s="253" t="s">
        <v>978</v>
      </c>
      <c r="T99" s="253" t="s">
        <v>978</v>
      </c>
      <c r="U99" s="253" t="s">
        <v>978</v>
      </c>
      <c r="V99" s="253" t="s">
        <v>978</v>
      </c>
      <c r="W99" s="253" t="s">
        <v>978</v>
      </c>
      <c r="X99" s="253" t="s">
        <v>870</v>
      </c>
      <c r="Y99" s="253" t="s">
        <v>868</v>
      </c>
      <c r="Z99" s="253" t="s">
        <v>870</v>
      </c>
      <c r="AA99" s="253" t="s">
        <v>868</v>
      </c>
      <c r="AB99" s="254" t="s">
        <v>870</v>
      </c>
      <c r="AC99" s="254" t="s">
        <v>870</v>
      </c>
      <c r="AD99" s="254" t="s">
        <v>870</v>
      </c>
      <c r="AE99" s="254" t="s">
        <v>870</v>
      </c>
      <c r="AF99" s="254" t="s">
        <v>870</v>
      </c>
      <c r="AG99" s="254" t="s">
        <v>870</v>
      </c>
      <c r="AH99" s="254" t="s">
        <v>870</v>
      </c>
      <c r="AI99" s="253" t="s">
        <v>868</v>
      </c>
      <c r="AJ99" s="253" t="s">
        <v>978</v>
      </c>
      <c r="AK99" s="253" t="s">
        <v>978</v>
      </c>
      <c r="AL99" s="253" t="s">
        <v>978</v>
      </c>
      <c r="AM99" s="253" t="s">
        <v>978</v>
      </c>
      <c r="AN99" s="253" t="s">
        <v>978</v>
      </c>
      <c r="AO99" s="253" t="s">
        <v>978</v>
      </c>
      <c r="AP99" s="253" t="s">
        <v>978</v>
      </c>
      <c r="AQ99" s="253" t="s">
        <v>978</v>
      </c>
      <c r="AR99" s="253" t="s">
        <v>978</v>
      </c>
      <c r="AS99" s="253" t="s">
        <v>978</v>
      </c>
      <c r="AT99" s="253" t="s">
        <v>978</v>
      </c>
      <c r="AU99" s="253" t="s">
        <v>978</v>
      </c>
      <c r="AV99" s="253" t="s">
        <v>978</v>
      </c>
      <c r="AW99" s="253" t="s">
        <v>978</v>
      </c>
      <c r="AX99" s="253" t="s">
        <v>978</v>
      </c>
      <c r="AY99" s="253" t="s">
        <v>978</v>
      </c>
      <c r="AZ99" s="253" t="s">
        <v>978</v>
      </c>
      <c r="BA99" s="253" t="s">
        <v>978</v>
      </c>
      <c r="BB99" s="253" t="s">
        <v>978</v>
      </c>
      <c r="BC99" s="254" t="s">
        <v>870</v>
      </c>
      <c r="BD99" s="254" t="s">
        <v>870</v>
      </c>
      <c r="BE99" s="254" t="s">
        <v>868</v>
      </c>
      <c r="BF99" s="254" t="s">
        <v>868</v>
      </c>
      <c r="BG99" s="254" t="s">
        <v>868</v>
      </c>
      <c r="BH99" s="254" t="s">
        <v>868</v>
      </c>
      <c r="BI99" s="254" t="s">
        <v>868</v>
      </c>
      <c r="BJ99" s="254" t="s">
        <v>870</v>
      </c>
      <c r="BK99" s="254" t="s">
        <v>868</v>
      </c>
      <c r="BL99" s="320" t="s">
        <v>870</v>
      </c>
      <c r="BM99" s="320"/>
      <c r="BN99" s="320" t="s">
        <v>868</v>
      </c>
      <c r="BO99" s="320" t="s">
        <v>868</v>
      </c>
      <c r="BP99" s="254" t="s">
        <v>870</v>
      </c>
    </row>
    <row r="100" spans="1:68" ht="30">
      <c r="A100" s="196" t="s">
        <v>1036</v>
      </c>
      <c r="B100" s="196" t="s">
        <v>899</v>
      </c>
      <c r="C100" s="196" t="s">
        <v>1059</v>
      </c>
      <c r="D100" s="196" t="s">
        <v>1060</v>
      </c>
      <c r="E100" s="196"/>
      <c r="F100" s="198" t="s">
        <v>1061</v>
      </c>
      <c r="G100" s="282">
        <f>VLOOKUP(D100,'2025 NPI'!D:L,3,0)</f>
        <v>45517</v>
      </c>
      <c r="H100" s="282">
        <f>VLOOKUP(D100,'2025 NPI'!D:L,4,0)</f>
        <v>45656</v>
      </c>
      <c r="I100" s="235"/>
      <c r="K100" s="253" t="s">
        <v>868</v>
      </c>
      <c r="L100" s="253" t="s">
        <v>868</v>
      </c>
      <c r="M100" s="253" t="s">
        <v>868</v>
      </c>
      <c r="N100" s="253" t="s">
        <v>868</v>
      </c>
      <c r="O100" s="253" t="s">
        <v>868</v>
      </c>
      <c r="P100" s="253" t="s">
        <v>868</v>
      </c>
      <c r="Q100" s="253" t="s">
        <v>868</v>
      </c>
      <c r="R100" s="253" t="s">
        <v>868</v>
      </c>
      <c r="S100" s="253" t="s">
        <v>978</v>
      </c>
      <c r="T100" s="253" t="s">
        <v>978</v>
      </c>
      <c r="U100" s="253" t="s">
        <v>978</v>
      </c>
      <c r="V100" s="253" t="s">
        <v>978</v>
      </c>
      <c r="W100" s="253" t="s">
        <v>978</v>
      </c>
      <c r="X100" s="253" t="s">
        <v>870</v>
      </c>
      <c r="Y100" s="253" t="s">
        <v>868</v>
      </c>
      <c r="Z100" s="253" t="s">
        <v>870</v>
      </c>
      <c r="AA100" s="253" t="s">
        <v>868</v>
      </c>
      <c r="AB100" s="254" t="s">
        <v>870</v>
      </c>
      <c r="AC100" s="254" t="s">
        <v>870</v>
      </c>
      <c r="AD100" s="254" t="s">
        <v>870</v>
      </c>
      <c r="AE100" s="254" t="s">
        <v>870</v>
      </c>
      <c r="AF100" s="254" t="s">
        <v>870</v>
      </c>
      <c r="AG100" s="254" t="s">
        <v>870</v>
      </c>
      <c r="AH100" s="254" t="s">
        <v>870</v>
      </c>
      <c r="AI100" s="254" t="s">
        <v>1040</v>
      </c>
      <c r="AJ100" s="253" t="s">
        <v>978</v>
      </c>
      <c r="AK100" s="253" t="s">
        <v>978</v>
      </c>
      <c r="AL100" s="253" t="s">
        <v>978</v>
      </c>
      <c r="AM100" s="253" t="s">
        <v>978</v>
      </c>
      <c r="AN100" s="253" t="s">
        <v>978</v>
      </c>
      <c r="AO100" s="253" t="s">
        <v>978</v>
      </c>
      <c r="AP100" s="253" t="s">
        <v>978</v>
      </c>
      <c r="AQ100" s="253" t="s">
        <v>978</v>
      </c>
      <c r="AR100" s="253" t="s">
        <v>978</v>
      </c>
      <c r="AS100" s="253" t="s">
        <v>978</v>
      </c>
      <c r="AT100" s="253" t="s">
        <v>978</v>
      </c>
      <c r="AU100" s="253" t="s">
        <v>978</v>
      </c>
      <c r="AV100" s="253" t="s">
        <v>978</v>
      </c>
      <c r="AW100" s="253" t="s">
        <v>978</v>
      </c>
      <c r="AX100" s="253" t="s">
        <v>978</v>
      </c>
      <c r="AY100" s="253" t="s">
        <v>978</v>
      </c>
      <c r="AZ100" s="253" t="s">
        <v>978</v>
      </c>
      <c r="BA100" s="253" t="s">
        <v>978</v>
      </c>
      <c r="BB100" s="253" t="s">
        <v>978</v>
      </c>
      <c r="BC100" s="254" t="s">
        <v>870</v>
      </c>
      <c r="BD100" s="254" t="s">
        <v>870</v>
      </c>
      <c r="BE100" s="254" t="s">
        <v>978</v>
      </c>
      <c r="BF100" s="254" t="s">
        <v>978</v>
      </c>
      <c r="BG100" s="255" t="s">
        <v>978</v>
      </c>
      <c r="BH100" s="255" t="s">
        <v>978</v>
      </c>
      <c r="BI100" s="254" t="s">
        <v>868</v>
      </c>
      <c r="BJ100" s="254" t="s">
        <v>870</v>
      </c>
      <c r="BK100" s="254" t="s">
        <v>1040</v>
      </c>
      <c r="BL100" s="320" t="s">
        <v>870</v>
      </c>
      <c r="BM100" s="320"/>
      <c r="BN100" s="320" t="s">
        <v>868</v>
      </c>
      <c r="BO100" s="128"/>
      <c r="BP100" s="254" t="s">
        <v>870</v>
      </c>
    </row>
    <row r="101" spans="1:68" ht="30">
      <c r="A101" s="196" t="s">
        <v>1036</v>
      </c>
      <c r="B101" s="196" t="s">
        <v>899</v>
      </c>
      <c r="C101" s="196" t="s">
        <v>1059</v>
      </c>
      <c r="D101" s="196" t="s">
        <v>1062</v>
      </c>
      <c r="E101" s="196"/>
      <c r="F101" s="198" t="s">
        <v>1063</v>
      </c>
      <c r="G101" s="282">
        <f>VLOOKUP(D101,'2025 NPI'!D:L,3,0)</f>
        <v>45517</v>
      </c>
      <c r="H101" s="282">
        <f>VLOOKUP(D101,'2025 NPI'!D:L,4,0)</f>
        <v>45656</v>
      </c>
      <c r="I101" s="235"/>
      <c r="K101" s="253" t="s">
        <v>868</v>
      </c>
      <c r="L101" s="253" t="s">
        <v>868</v>
      </c>
      <c r="M101" s="253" t="s">
        <v>868</v>
      </c>
      <c r="N101" s="253" t="s">
        <v>868</v>
      </c>
      <c r="O101" s="253" t="s">
        <v>868</v>
      </c>
      <c r="P101" s="253" t="s">
        <v>868</v>
      </c>
      <c r="Q101" s="253" t="s">
        <v>868</v>
      </c>
      <c r="R101" s="253" t="s">
        <v>868</v>
      </c>
      <c r="S101" s="253" t="s">
        <v>978</v>
      </c>
      <c r="T101" s="253" t="s">
        <v>978</v>
      </c>
      <c r="U101" s="253" t="s">
        <v>978</v>
      </c>
      <c r="V101" s="253" t="s">
        <v>978</v>
      </c>
      <c r="W101" s="253" t="s">
        <v>978</v>
      </c>
      <c r="X101" s="253" t="s">
        <v>870</v>
      </c>
      <c r="Y101" s="253" t="s">
        <v>868</v>
      </c>
      <c r="Z101" s="253" t="s">
        <v>870</v>
      </c>
      <c r="AA101" s="253" t="s">
        <v>868</v>
      </c>
      <c r="AB101" s="254" t="s">
        <v>870</v>
      </c>
      <c r="AC101" s="254" t="s">
        <v>870</v>
      </c>
      <c r="AD101" s="254" t="s">
        <v>870</v>
      </c>
      <c r="AE101" s="254" t="s">
        <v>870</v>
      </c>
      <c r="AF101" s="254" t="s">
        <v>870</v>
      </c>
      <c r="AG101" s="254" t="s">
        <v>870</v>
      </c>
      <c r="AH101" s="254" t="s">
        <v>870</v>
      </c>
      <c r="AI101" s="254" t="s">
        <v>1040</v>
      </c>
      <c r="AJ101" s="253" t="s">
        <v>978</v>
      </c>
      <c r="AK101" s="253" t="s">
        <v>978</v>
      </c>
      <c r="AL101" s="253" t="s">
        <v>978</v>
      </c>
      <c r="AM101" s="253" t="s">
        <v>978</v>
      </c>
      <c r="AN101" s="253" t="s">
        <v>978</v>
      </c>
      <c r="AO101" s="253" t="s">
        <v>978</v>
      </c>
      <c r="AP101" s="253" t="s">
        <v>978</v>
      </c>
      <c r="AQ101" s="253" t="s">
        <v>978</v>
      </c>
      <c r="AR101" s="253" t="s">
        <v>978</v>
      </c>
      <c r="AS101" s="253" t="s">
        <v>978</v>
      </c>
      <c r="AT101" s="253" t="s">
        <v>978</v>
      </c>
      <c r="AU101" s="253" t="s">
        <v>978</v>
      </c>
      <c r="AV101" s="253" t="s">
        <v>978</v>
      </c>
      <c r="AW101" s="253" t="s">
        <v>978</v>
      </c>
      <c r="AX101" s="253" t="s">
        <v>978</v>
      </c>
      <c r="AY101" s="253" t="s">
        <v>978</v>
      </c>
      <c r="AZ101" s="253" t="s">
        <v>978</v>
      </c>
      <c r="BA101" s="253" t="s">
        <v>978</v>
      </c>
      <c r="BB101" s="253" t="s">
        <v>978</v>
      </c>
      <c r="BC101" s="254" t="s">
        <v>870</v>
      </c>
      <c r="BD101" s="254" t="s">
        <v>870</v>
      </c>
      <c r="BE101" s="254" t="s">
        <v>978</v>
      </c>
      <c r="BF101" s="254" t="s">
        <v>978</v>
      </c>
      <c r="BG101" s="255" t="s">
        <v>978</v>
      </c>
      <c r="BH101" s="255" t="s">
        <v>978</v>
      </c>
      <c r="BI101" s="254" t="s">
        <v>868</v>
      </c>
      <c r="BJ101" s="254" t="s">
        <v>870</v>
      </c>
      <c r="BK101" s="254" t="s">
        <v>1040</v>
      </c>
      <c r="BL101" s="320" t="s">
        <v>870</v>
      </c>
      <c r="BM101" s="320"/>
      <c r="BN101" s="320" t="s">
        <v>868</v>
      </c>
      <c r="BO101" s="128"/>
      <c r="BP101" s="254" t="s">
        <v>870</v>
      </c>
    </row>
    <row r="102" spans="1:68" ht="30">
      <c r="A102" s="196" t="s">
        <v>1036</v>
      </c>
      <c r="B102" s="196" t="s">
        <v>899</v>
      </c>
      <c r="C102" s="196" t="s">
        <v>1064</v>
      </c>
      <c r="D102" s="196" t="s">
        <v>1065</v>
      </c>
      <c r="E102" s="196"/>
      <c r="F102" s="198" t="s">
        <v>1066</v>
      </c>
      <c r="G102" s="282">
        <f>VLOOKUP(D102,'2025 NPI'!D:L,3,0)</f>
        <v>45517</v>
      </c>
      <c r="H102" s="282">
        <f>VLOOKUP(D102,'2025 NPI'!D:L,4,0)</f>
        <v>45656</v>
      </c>
      <c r="I102" s="235"/>
      <c r="K102" s="253" t="s">
        <v>868</v>
      </c>
      <c r="L102" s="253" t="s">
        <v>868</v>
      </c>
      <c r="M102" s="253" t="s">
        <v>868</v>
      </c>
      <c r="N102" s="253" t="s">
        <v>868</v>
      </c>
      <c r="O102" s="253" t="s">
        <v>868</v>
      </c>
      <c r="P102" s="253" t="s">
        <v>868</v>
      </c>
      <c r="Q102" s="253" t="s">
        <v>868</v>
      </c>
      <c r="R102" s="253" t="s">
        <v>868</v>
      </c>
      <c r="S102" s="253" t="s">
        <v>978</v>
      </c>
      <c r="T102" s="253" t="s">
        <v>978</v>
      </c>
      <c r="U102" s="253" t="s">
        <v>978</v>
      </c>
      <c r="V102" s="253" t="s">
        <v>978</v>
      </c>
      <c r="W102" s="253" t="s">
        <v>978</v>
      </c>
      <c r="X102" s="253" t="s">
        <v>870</v>
      </c>
      <c r="Y102" s="253" t="s">
        <v>868</v>
      </c>
      <c r="Z102" s="253" t="s">
        <v>870</v>
      </c>
      <c r="AA102" s="253" t="s">
        <v>868</v>
      </c>
      <c r="AB102" s="254" t="s">
        <v>870</v>
      </c>
      <c r="AC102" s="254" t="s">
        <v>870</v>
      </c>
      <c r="AD102" s="254" t="s">
        <v>870</v>
      </c>
      <c r="AE102" s="254" t="s">
        <v>870</v>
      </c>
      <c r="AF102" s="254" t="s">
        <v>870</v>
      </c>
      <c r="AG102" s="254" t="s">
        <v>870</v>
      </c>
      <c r="AH102" s="254" t="s">
        <v>870</v>
      </c>
      <c r="AI102" s="254" t="s">
        <v>1040</v>
      </c>
      <c r="AJ102" s="253" t="s">
        <v>978</v>
      </c>
      <c r="AK102" s="253" t="s">
        <v>978</v>
      </c>
      <c r="AL102" s="253" t="s">
        <v>978</v>
      </c>
      <c r="AM102" s="253" t="s">
        <v>978</v>
      </c>
      <c r="AN102" s="253" t="s">
        <v>978</v>
      </c>
      <c r="AO102" s="253" t="s">
        <v>978</v>
      </c>
      <c r="AP102" s="253" t="s">
        <v>978</v>
      </c>
      <c r="AQ102" s="253" t="s">
        <v>978</v>
      </c>
      <c r="AR102" s="253" t="s">
        <v>978</v>
      </c>
      <c r="AS102" s="253" t="s">
        <v>978</v>
      </c>
      <c r="AT102" s="253" t="s">
        <v>978</v>
      </c>
      <c r="AU102" s="253" t="s">
        <v>978</v>
      </c>
      <c r="AV102" s="253" t="s">
        <v>978</v>
      </c>
      <c r="AW102" s="253" t="s">
        <v>978</v>
      </c>
      <c r="AX102" s="253" t="s">
        <v>978</v>
      </c>
      <c r="AY102" s="253" t="s">
        <v>978</v>
      </c>
      <c r="AZ102" s="253" t="s">
        <v>978</v>
      </c>
      <c r="BA102" s="253" t="s">
        <v>978</v>
      </c>
      <c r="BB102" s="253" t="s">
        <v>978</v>
      </c>
      <c r="BC102" s="254" t="s">
        <v>870</v>
      </c>
      <c r="BD102" s="254" t="s">
        <v>870</v>
      </c>
      <c r="BE102" s="254" t="s">
        <v>978</v>
      </c>
      <c r="BF102" s="254" t="s">
        <v>978</v>
      </c>
      <c r="BG102" s="255" t="s">
        <v>978</v>
      </c>
      <c r="BH102" s="255" t="s">
        <v>978</v>
      </c>
      <c r="BI102" s="254" t="s">
        <v>868</v>
      </c>
      <c r="BJ102" s="254" t="s">
        <v>870</v>
      </c>
      <c r="BK102" s="254" t="s">
        <v>1040</v>
      </c>
      <c r="BL102" s="320" t="s">
        <v>870</v>
      </c>
      <c r="BM102" s="320"/>
      <c r="BN102" s="320" t="s">
        <v>868</v>
      </c>
      <c r="BO102" s="128"/>
      <c r="BP102" s="254" t="s">
        <v>870</v>
      </c>
    </row>
    <row r="103" spans="1:68" ht="30">
      <c r="A103" s="196" t="s">
        <v>1036</v>
      </c>
      <c r="B103" s="196" t="s">
        <v>899</v>
      </c>
      <c r="C103" s="196" t="s">
        <v>1064</v>
      </c>
      <c r="D103" s="196" t="s">
        <v>1067</v>
      </c>
      <c r="E103" s="196"/>
      <c r="F103" s="198" t="s">
        <v>1068</v>
      </c>
      <c r="G103" s="282">
        <f>VLOOKUP(D103,'2025 NPI'!D:L,3,0)</f>
        <v>45517</v>
      </c>
      <c r="H103" s="282">
        <f>VLOOKUP(D103,'2025 NPI'!D:L,4,0)</f>
        <v>45656</v>
      </c>
      <c r="I103" s="235"/>
      <c r="K103" s="253" t="s">
        <v>868</v>
      </c>
      <c r="L103" s="253" t="s">
        <v>868</v>
      </c>
      <c r="M103" s="253" t="s">
        <v>868</v>
      </c>
      <c r="N103" s="253" t="s">
        <v>868</v>
      </c>
      <c r="O103" s="253" t="s">
        <v>868</v>
      </c>
      <c r="P103" s="253" t="s">
        <v>868</v>
      </c>
      <c r="Q103" s="253" t="s">
        <v>868</v>
      </c>
      <c r="R103" s="253" t="s">
        <v>868</v>
      </c>
      <c r="S103" s="253" t="s">
        <v>978</v>
      </c>
      <c r="T103" s="253" t="s">
        <v>978</v>
      </c>
      <c r="U103" s="253" t="s">
        <v>978</v>
      </c>
      <c r="V103" s="253" t="s">
        <v>978</v>
      </c>
      <c r="W103" s="253" t="s">
        <v>978</v>
      </c>
      <c r="X103" s="253" t="s">
        <v>870</v>
      </c>
      <c r="Y103" s="253" t="s">
        <v>868</v>
      </c>
      <c r="Z103" s="253" t="s">
        <v>870</v>
      </c>
      <c r="AA103" s="253" t="s">
        <v>868</v>
      </c>
      <c r="AB103" s="254" t="s">
        <v>870</v>
      </c>
      <c r="AC103" s="254" t="s">
        <v>870</v>
      </c>
      <c r="AD103" s="254" t="s">
        <v>870</v>
      </c>
      <c r="AE103" s="254" t="s">
        <v>870</v>
      </c>
      <c r="AF103" s="254" t="s">
        <v>870</v>
      </c>
      <c r="AG103" s="254" t="s">
        <v>870</v>
      </c>
      <c r="AH103" s="254" t="s">
        <v>870</v>
      </c>
      <c r="AI103" s="254" t="s">
        <v>1040</v>
      </c>
      <c r="AJ103" s="253" t="s">
        <v>978</v>
      </c>
      <c r="AK103" s="253" t="s">
        <v>978</v>
      </c>
      <c r="AL103" s="253" t="s">
        <v>978</v>
      </c>
      <c r="AM103" s="253" t="s">
        <v>978</v>
      </c>
      <c r="AN103" s="253" t="s">
        <v>978</v>
      </c>
      <c r="AO103" s="253" t="s">
        <v>978</v>
      </c>
      <c r="AP103" s="253" t="s">
        <v>978</v>
      </c>
      <c r="AQ103" s="253" t="s">
        <v>978</v>
      </c>
      <c r="AR103" s="253" t="s">
        <v>978</v>
      </c>
      <c r="AS103" s="253" t="s">
        <v>978</v>
      </c>
      <c r="AT103" s="253" t="s">
        <v>978</v>
      </c>
      <c r="AU103" s="253" t="s">
        <v>978</v>
      </c>
      <c r="AV103" s="253" t="s">
        <v>978</v>
      </c>
      <c r="AW103" s="253" t="s">
        <v>978</v>
      </c>
      <c r="AX103" s="253" t="s">
        <v>978</v>
      </c>
      <c r="AY103" s="253" t="s">
        <v>978</v>
      </c>
      <c r="AZ103" s="253" t="s">
        <v>978</v>
      </c>
      <c r="BA103" s="253" t="s">
        <v>978</v>
      </c>
      <c r="BB103" s="253" t="s">
        <v>978</v>
      </c>
      <c r="BC103" s="254" t="s">
        <v>870</v>
      </c>
      <c r="BD103" s="254" t="s">
        <v>870</v>
      </c>
      <c r="BE103" s="254" t="s">
        <v>978</v>
      </c>
      <c r="BF103" s="254" t="s">
        <v>978</v>
      </c>
      <c r="BG103" s="255" t="s">
        <v>978</v>
      </c>
      <c r="BH103" s="255" t="s">
        <v>978</v>
      </c>
      <c r="BI103" s="254" t="s">
        <v>868</v>
      </c>
      <c r="BJ103" s="254" t="s">
        <v>870</v>
      </c>
      <c r="BK103" s="254" t="s">
        <v>1040</v>
      </c>
      <c r="BL103" s="320" t="s">
        <v>870</v>
      </c>
      <c r="BM103" s="320"/>
      <c r="BN103" s="320" t="s">
        <v>868</v>
      </c>
      <c r="BO103" s="128"/>
      <c r="BP103" s="254" t="s">
        <v>870</v>
      </c>
    </row>
    <row r="104" spans="1:68" ht="30">
      <c r="A104" s="196" t="s">
        <v>1036</v>
      </c>
      <c r="B104" s="196" t="s">
        <v>899</v>
      </c>
      <c r="C104" s="196" t="s">
        <v>1056</v>
      </c>
      <c r="D104" s="196" t="s">
        <v>1069</v>
      </c>
      <c r="E104" s="196"/>
      <c r="F104" s="198" t="s">
        <v>1070</v>
      </c>
      <c r="G104" s="282">
        <f>VLOOKUP(D104,'2025 NPI'!D:L,3,0)</f>
        <v>45517</v>
      </c>
      <c r="H104" s="282">
        <f>VLOOKUP(D104,'2025 NPI'!D:L,4,0)</f>
        <v>45656</v>
      </c>
      <c r="I104" s="235"/>
      <c r="K104" s="253" t="s">
        <v>868</v>
      </c>
      <c r="L104" s="253" t="s">
        <v>868</v>
      </c>
      <c r="M104" s="253" t="s">
        <v>868</v>
      </c>
      <c r="N104" s="253" t="s">
        <v>868</v>
      </c>
      <c r="O104" s="253" t="s">
        <v>868</v>
      </c>
      <c r="P104" s="253" t="s">
        <v>868</v>
      </c>
      <c r="Q104" s="253" t="s">
        <v>868</v>
      </c>
      <c r="R104" s="253" t="s">
        <v>868</v>
      </c>
      <c r="S104" s="253" t="s">
        <v>978</v>
      </c>
      <c r="T104" s="253" t="s">
        <v>978</v>
      </c>
      <c r="U104" s="253" t="s">
        <v>978</v>
      </c>
      <c r="V104" s="253" t="s">
        <v>978</v>
      </c>
      <c r="W104" s="253" t="s">
        <v>978</v>
      </c>
      <c r="X104" s="253" t="s">
        <v>870</v>
      </c>
      <c r="Y104" s="253" t="s">
        <v>868</v>
      </c>
      <c r="Z104" s="253" t="s">
        <v>870</v>
      </c>
      <c r="AA104" s="253" t="s">
        <v>868</v>
      </c>
      <c r="AB104" s="254" t="s">
        <v>870</v>
      </c>
      <c r="AC104" s="254" t="s">
        <v>870</v>
      </c>
      <c r="AD104" s="254" t="s">
        <v>870</v>
      </c>
      <c r="AE104" s="254" t="s">
        <v>870</v>
      </c>
      <c r="AF104" s="254" t="s">
        <v>870</v>
      </c>
      <c r="AG104" s="254" t="s">
        <v>870</v>
      </c>
      <c r="AH104" s="254" t="s">
        <v>870</v>
      </c>
      <c r="AI104" s="254" t="s">
        <v>1040</v>
      </c>
      <c r="AJ104" s="253" t="s">
        <v>978</v>
      </c>
      <c r="AK104" s="253" t="s">
        <v>978</v>
      </c>
      <c r="AL104" s="253" t="s">
        <v>978</v>
      </c>
      <c r="AM104" s="253" t="s">
        <v>978</v>
      </c>
      <c r="AN104" s="253" t="s">
        <v>978</v>
      </c>
      <c r="AO104" s="253" t="s">
        <v>978</v>
      </c>
      <c r="AP104" s="253" t="s">
        <v>978</v>
      </c>
      <c r="AQ104" s="253" t="s">
        <v>978</v>
      </c>
      <c r="AR104" s="253" t="s">
        <v>978</v>
      </c>
      <c r="AS104" s="253" t="s">
        <v>978</v>
      </c>
      <c r="AT104" s="253" t="s">
        <v>978</v>
      </c>
      <c r="AU104" s="253" t="s">
        <v>978</v>
      </c>
      <c r="AV104" s="253" t="s">
        <v>978</v>
      </c>
      <c r="AW104" s="253" t="s">
        <v>978</v>
      </c>
      <c r="AX104" s="253" t="s">
        <v>978</v>
      </c>
      <c r="AY104" s="253" t="s">
        <v>978</v>
      </c>
      <c r="AZ104" s="253" t="s">
        <v>978</v>
      </c>
      <c r="BA104" s="253" t="s">
        <v>978</v>
      </c>
      <c r="BB104" s="253" t="s">
        <v>978</v>
      </c>
      <c r="BC104" s="254" t="s">
        <v>870</v>
      </c>
      <c r="BD104" s="254" t="s">
        <v>870</v>
      </c>
      <c r="BE104" s="254" t="s">
        <v>978</v>
      </c>
      <c r="BF104" s="254" t="s">
        <v>978</v>
      </c>
      <c r="BG104" s="255" t="s">
        <v>978</v>
      </c>
      <c r="BH104" s="255" t="s">
        <v>978</v>
      </c>
      <c r="BI104" s="254" t="s">
        <v>868</v>
      </c>
      <c r="BJ104" s="254" t="s">
        <v>870</v>
      </c>
      <c r="BK104" s="254" t="s">
        <v>1040</v>
      </c>
      <c r="BL104" s="320" t="s">
        <v>870</v>
      </c>
      <c r="BM104" s="320"/>
      <c r="BN104" s="320" t="s">
        <v>868</v>
      </c>
      <c r="BO104" s="128"/>
      <c r="BP104" s="254" t="s">
        <v>870</v>
      </c>
    </row>
    <row r="105" spans="1:68" ht="30">
      <c r="A105" s="196" t="s">
        <v>1036</v>
      </c>
      <c r="B105" s="196" t="s">
        <v>864</v>
      </c>
      <c r="C105" s="196" t="s">
        <v>1071</v>
      </c>
      <c r="D105" s="196" t="s">
        <v>1072</v>
      </c>
      <c r="E105" s="196"/>
      <c r="F105" s="198" t="s">
        <v>1073</v>
      </c>
      <c r="G105" s="282">
        <f>VLOOKUP(D105,'2025 NPI'!D:L,3,0)</f>
        <v>45540</v>
      </c>
      <c r="H105" s="282">
        <f>VLOOKUP(D105,'2025 NPI'!D:L,4,0)</f>
        <v>45665</v>
      </c>
      <c r="I105" s="235"/>
      <c r="K105" s="253" t="s">
        <v>868</v>
      </c>
      <c r="L105" s="253" t="s">
        <v>868</v>
      </c>
      <c r="M105" s="253" t="s">
        <v>868</v>
      </c>
      <c r="N105" s="253" t="s">
        <v>868</v>
      </c>
      <c r="O105" s="253" t="s">
        <v>868</v>
      </c>
      <c r="P105" s="253" t="s">
        <v>868</v>
      </c>
      <c r="Q105" s="253" t="s">
        <v>868</v>
      </c>
      <c r="R105" s="253" t="s">
        <v>868</v>
      </c>
      <c r="S105" s="253" t="s">
        <v>978</v>
      </c>
      <c r="T105" s="253" t="s">
        <v>978</v>
      </c>
      <c r="U105" s="253" t="s">
        <v>978</v>
      </c>
      <c r="V105" s="253" t="s">
        <v>978</v>
      </c>
      <c r="W105" s="253" t="s">
        <v>978</v>
      </c>
      <c r="X105" s="253" t="s">
        <v>870</v>
      </c>
      <c r="Y105" s="253" t="s">
        <v>868</v>
      </c>
      <c r="Z105" s="253" t="s">
        <v>870</v>
      </c>
      <c r="AA105" s="253" t="s">
        <v>868</v>
      </c>
      <c r="AB105" s="254" t="s">
        <v>870</v>
      </c>
      <c r="AC105" s="254" t="s">
        <v>870</v>
      </c>
      <c r="AD105" s="254" t="s">
        <v>870</v>
      </c>
      <c r="AE105" s="254" t="s">
        <v>870</v>
      </c>
      <c r="AF105" s="254" t="s">
        <v>870</v>
      </c>
      <c r="AG105" s="254" t="s">
        <v>870</v>
      </c>
      <c r="AH105" s="254" t="s">
        <v>870</v>
      </c>
      <c r="AI105" s="253" t="s">
        <v>868</v>
      </c>
      <c r="AJ105" s="253" t="s">
        <v>978</v>
      </c>
      <c r="AK105" s="253" t="s">
        <v>978</v>
      </c>
      <c r="AL105" s="253" t="s">
        <v>978</v>
      </c>
      <c r="AM105" s="253" t="s">
        <v>978</v>
      </c>
      <c r="AN105" s="253" t="s">
        <v>978</v>
      </c>
      <c r="AO105" s="253" t="s">
        <v>978</v>
      </c>
      <c r="AP105" s="253" t="s">
        <v>978</v>
      </c>
      <c r="AQ105" s="253" t="s">
        <v>978</v>
      </c>
      <c r="AR105" s="253" t="s">
        <v>978</v>
      </c>
      <c r="AS105" s="253" t="s">
        <v>978</v>
      </c>
      <c r="AT105" s="253" t="s">
        <v>978</v>
      </c>
      <c r="AU105" s="253" t="s">
        <v>978</v>
      </c>
      <c r="AV105" s="253" t="s">
        <v>978</v>
      </c>
      <c r="AW105" s="253" t="s">
        <v>978</v>
      </c>
      <c r="AX105" s="253" t="s">
        <v>978</v>
      </c>
      <c r="AY105" s="253" t="s">
        <v>978</v>
      </c>
      <c r="AZ105" s="253" t="s">
        <v>978</v>
      </c>
      <c r="BA105" s="253" t="s">
        <v>978</v>
      </c>
      <c r="BB105" s="253" t="s">
        <v>978</v>
      </c>
      <c r="BC105" s="254" t="s">
        <v>870</v>
      </c>
      <c r="BD105" s="254" t="s">
        <v>870</v>
      </c>
      <c r="BE105" s="254" t="s">
        <v>868</v>
      </c>
      <c r="BF105" s="254" t="s">
        <v>868</v>
      </c>
      <c r="BG105" s="254" t="s">
        <v>868</v>
      </c>
      <c r="BH105" s="254" t="s">
        <v>868</v>
      </c>
      <c r="BI105" s="254" t="s">
        <v>868</v>
      </c>
      <c r="BJ105" s="254" t="s">
        <v>870</v>
      </c>
      <c r="BK105" s="254" t="s">
        <v>868</v>
      </c>
      <c r="BL105" s="320" t="s">
        <v>870</v>
      </c>
      <c r="BM105" s="320"/>
      <c r="BN105" s="320" t="s">
        <v>868</v>
      </c>
      <c r="BO105" s="320" t="s">
        <v>868</v>
      </c>
      <c r="BP105" s="254" t="s">
        <v>870</v>
      </c>
    </row>
    <row r="106" spans="1:68" ht="30">
      <c r="A106" s="196" t="s">
        <v>1036</v>
      </c>
      <c r="B106" s="196" t="s">
        <v>864</v>
      </c>
      <c r="C106" s="196" t="s">
        <v>1071</v>
      </c>
      <c r="D106" s="196" t="s">
        <v>1074</v>
      </c>
      <c r="E106" s="196"/>
      <c r="F106" s="198" t="s">
        <v>1075</v>
      </c>
      <c r="G106" s="282">
        <f>VLOOKUP(D106,'2025 NPI'!D:L,3,0)</f>
        <v>45540</v>
      </c>
      <c r="H106" s="282">
        <f>VLOOKUP(D106,'2025 NPI'!D:L,4,0)</f>
        <v>45665</v>
      </c>
      <c r="I106" s="235"/>
      <c r="K106" s="253" t="s">
        <v>868</v>
      </c>
      <c r="L106" s="253" t="s">
        <v>868</v>
      </c>
      <c r="M106" s="253" t="s">
        <v>868</v>
      </c>
      <c r="N106" s="253" t="s">
        <v>868</v>
      </c>
      <c r="O106" s="253" t="s">
        <v>868</v>
      </c>
      <c r="P106" s="253" t="s">
        <v>868</v>
      </c>
      <c r="Q106" s="253" t="s">
        <v>868</v>
      </c>
      <c r="R106" s="253" t="s">
        <v>868</v>
      </c>
      <c r="S106" s="253" t="s">
        <v>978</v>
      </c>
      <c r="T106" s="253" t="s">
        <v>978</v>
      </c>
      <c r="U106" s="253" t="s">
        <v>978</v>
      </c>
      <c r="V106" s="253" t="s">
        <v>978</v>
      </c>
      <c r="W106" s="253" t="s">
        <v>978</v>
      </c>
      <c r="X106" s="253" t="s">
        <v>870</v>
      </c>
      <c r="Y106" s="253" t="s">
        <v>868</v>
      </c>
      <c r="Z106" s="253" t="s">
        <v>870</v>
      </c>
      <c r="AA106" s="253" t="s">
        <v>868</v>
      </c>
      <c r="AB106" s="254" t="s">
        <v>870</v>
      </c>
      <c r="AC106" s="254" t="s">
        <v>870</v>
      </c>
      <c r="AD106" s="254" t="s">
        <v>870</v>
      </c>
      <c r="AE106" s="254" t="s">
        <v>870</v>
      </c>
      <c r="AF106" s="254" t="s">
        <v>870</v>
      </c>
      <c r="AG106" s="254" t="s">
        <v>870</v>
      </c>
      <c r="AH106" s="254" t="s">
        <v>870</v>
      </c>
      <c r="AI106" s="253" t="s">
        <v>868</v>
      </c>
      <c r="AJ106" s="253" t="s">
        <v>978</v>
      </c>
      <c r="AK106" s="253" t="s">
        <v>978</v>
      </c>
      <c r="AL106" s="253" t="s">
        <v>978</v>
      </c>
      <c r="AM106" s="253" t="s">
        <v>978</v>
      </c>
      <c r="AN106" s="253" t="s">
        <v>978</v>
      </c>
      <c r="AO106" s="253" t="s">
        <v>978</v>
      </c>
      <c r="AP106" s="253" t="s">
        <v>978</v>
      </c>
      <c r="AQ106" s="253" t="s">
        <v>978</v>
      </c>
      <c r="AR106" s="253" t="s">
        <v>978</v>
      </c>
      <c r="AS106" s="253" t="s">
        <v>978</v>
      </c>
      <c r="AT106" s="253" t="s">
        <v>978</v>
      </c>
      <c r="AU106" s="253" t="s">
        <v>978</v>
      </c>
      <c r="AV106" s="253" t="s">
        <v>978</v>
      </c>
      <c r="AW106" s="253" t="s">
        <v>978</v>
      </c>
      <c r="AX106" s="253" t="s">
        <v>978</v>
      </c>
      <c r="AY106" s="253" t="s">
        <v>978</v>
      </c>
      <c r="AZ106" s="253" t="s">
        <v>978</v>
      </c>
      <c r="BA106" s="253" t="s">
        <v>978</v>
      </c>
      <c r="BB106" s="253" t="s">
        <v>978</v>
      </c>
      <c r="BC106" s="254" t="s">
        <v>870</v>
      </c>
      <c r="BD106" s="254" t="s">
        <v>870</v>
      </c>
      <c r="BE106" s="254" t="s">
        <v>868</v>
      </c>
      <c r="BF106" s="254" t="s">
        <v>868</v>
      </c>
      <c r="BG106" s="254" t="s">
        <v>868</v>
      </c>
      <c r="BH106" s="254" t="s">
        <v>868</v>
      </c>
      <c r="BI106" s="254" t="s">
        <v>868</v>
      </c>
      <c r="BJ106" s="254" t="s">
        <v>870</v>
      </c>
      <c r="BK106" s="254" t="s">
        <v>868</v>
      </c>
      <c r="BL106" s="320" t="s">
        <v>870</v>
      </c>
      <c r="BM106" s="320"/>
      <c r="BN106" s="320" t="s">
        <v>868</v>
      </c>
      <c r="BO106" s="320" t="s">
        <v>868</v>
      </c>
      <c r="BP106" s="254" t="s">
        <v>870</v>
      </c>
    </row>
    <row r="107" spans="1:68" ht="30">
      <c r="A107" s="196" t="s">
        <v>1036</v>
      </c>
      <c r="B107" s="196" t="s">
        <v>864</v>
      </c>
      <c r="C107" s="196" t="s">
        <v>1064</v>
      </c>
      <c r="D107" s="196" t="s">
        <v>1076</v>
      </c>
      <c r="E107" s="196"/>
      <c r="F107" s="198" t="s">
        <v>1077</v>
      </c>
      <c r="G107" s="282">
        <f>VLOOKUP(D107,'2025 NPI'!D:L,3,0)</f>
        <v>45540</v>
      </c>
      <c r="H107" s="282">
        <f>VLOOKUP(D107,'2025 NPI'!D:L,4,0)</f>
        <v>45665</v>
      </c>
      <c r="I107" s="235"/>
      <c r="K107" s="254" t="s">
        <v>870</v>
      </c>
      <c r="L107" s="253" t="s">
        <v>868</v>
      </c>
      <c r="M107" s="253" t="s">
        <v>868</v>
      </c>
      <c r="N107" s="253" t="s">
        <v>868</v>
      </c>
      <c r="O107" s="253" t="s">
        <v>868</v>
      </c>
      <c r="P107" s="253" t="s">
        <v>868</v>
      </c>
      <c r="Q107" s="253" t="s">
        <v>868</v>
      </c>
      <c r="R107" s="253" t="s">
        <v>868</v>
      </c>
      <c r="S107" s="253" t="s">
        <v>978</v>
      </c>
      <c r="T107" s="253" t="s">
        <v>978</v>
      </c>
      <c r="U107" s="253" t="s">
        <v>978</v>
      </c>
      <c r="V107" s="253" t="s">
        <v>978</v>
      </c>
      <c r="W107" s="253" t="s">
        <v>978</v>
      </c>
      <c r="X107" s="253" t="s">
        <v>870</v>
      </c>
      <c r="Y107" s="253" t="s">
        <v>868</v>
      </c>
      <c r="Z107" s="253" t="s">
        <v>870</v>
      </c>
      <c r="AA107" s="253" t="s">
        <v>868</v>
      </c>
      <c r="AB107" s="254" t="s">
        <v>870</v>
      </c>
      <c r="AC107" s="254" t="s">
        <v>870</v>
      </c>
      <c r="AD107" s="254" t="s">
        <v>870</v>
      </c>
      <c r="AE107" s="254" t="s">
        <v>870</v>
      </c>
      <c r="AF107" s="254" t="s">
        <v>870</v>
      </c>
      <c r="AG107" s="254" t="s">
        <v>870</v>
      </c>
      <c r="AH107" s="254" t="s">
        <v>870</v>
      </c>
      <c r="AI107" s="253" t="s">
        <v>868</v>
      </c>
      <c r="AJ107" s="253" t="s">
        <v>978</v>
      </c>
      <c r="AK107" s="253" t="s">
        <v>978</v>
      </c>
      <c r="AL107" s="253" t="s">
        <v>978</v>
      </c>
      <c r="AM107" s="253" t="s">
        <v>978</v>
      </c>
      <c r="AN107" s="253" t="s">
        <v>978</v>
      </c>
      <c r="AO107" s="253" t="s">
        <v>978</v>
      </c>
      <c r="AP107" s="253" t="s">
        <v>978</v>
      </c>
      <c r="AQ107" s="253" t="s">
        <v>978</v>
      </c>
      <c r="AR107" s="253" t="s">
        <v>978</v>
      </c>
      <c r="AS107" s="253" t="s">
        <v>978</v>
      </c>
      <c r="AT107" s="253" t="s">
        <v>978</v>
      </c>
      <c r="AU107" s="253" t="s">
        <v>978</v>
      </c>
      <c r="AV107" s="253" t="s">
        <v>978</v>
      </c>
      <c r="AW107" s="253" t="s">
        <v>978</v>
      </c>
      <c r="AX107" s="253" t="s">
        <v>978</v>
      </c>
      <c r="AY107" s="253" t="s">
        <v>978</v>
      </c>
      <c r="AZ107" s="253" t="s">
        <v>978</v>
      </c>
      <c r="BA107" s="253" t="s">
        <v>978</v>
      </c>
      <c r="BB107" s="253" t="s">
        <v>978</v>
      </c>
      <c r="BC107" s="254" t="s">
        <v>870</v>
      </c>
      <c r="BD107" s="254" t="s">
        <v>870</v>
      </c>
      <c r="BE107" s="254" t="s">
        <v>868</v>
      </c>
      <c r="BF107" s="254" t="s">
        <v>868</v>
      </c>
      <c r="BG107" s="254" t="s">
        <v>868</v>
      </c>
      <c r="BH107" s="254" t="s">
        <v>868</v>
      </c>
      <c r="BI107" s="254" t="s">
        <v>868</v>
      </c>
      <c r="BJ107" s="254" t="s">
        <v>870</v>
      </c>
      <c r="BK107" s="254" t="s">
        <v>868</v>
      </c>
      <c r="BL107" s="320" t="s">
        <v>870</v>
      </c>
      <c r="BM107" s="320"/>
      <c r="BN107" s="320" t="s">
        <v>868</v>
      </c>
      <c r="BO107" s="320" t="s">
        <v>868</v>
      </c>
      <c r="BP107" s="254" t="s">
        <v>870</v>
      </c>
    </row>
    <row r="108" spans="1:68" ht="30">
      <c r="A108" s="196" t="s">
        <v>1036</v>
      </c>
      <c r="B108" s="196" t="s">
        <v>864</v>
      </c>
      <c r="C108" s="196" t="s">
        <v>1064</v>
      </c>
      <c r="D108" s="196" t="s">
        <v>1078</v>
      </c>
      <c r="E108" s="196"/>
      <c r="F108" s="198" t="s">
        <v>1079</v>
      </c>
      <c r="G108" s="282">
        <f>VLOOKUP(D108,'2025 NPI'!D:L,3,0)</f>
        <v>45540</v>
      </c>
      <c r="H108" s="282">
        <f>VLOOKUP(D108,'2025 NPI'!D:L,4,0)</f>
        <v>45665</v>
      </c>
      <c r="I108" s="235"/>
      <c r="K108" s="254" t="s">
        <v>870</v>
      </c>
      <c r="L108" s="253" t="s">
        <v>868</v>
      </c>
      <c r="M108" s="253" t="s">
        <v>868</v>
      </c>
      <c r="N108" s="253" t="s">
        <v>868</v>
      </c>
      <c r="O108" s="253" t="s">
        <v>868</v>
      </c>
      <c r="P108" s="253" t="s">
        <v>868</v>
      </c>
      <c r="Q108" s="253" t="s">
        <v>868</v>
      </c>
      <c r="R108" s="253" t="s">
        <v>868</v>
      </c>
      <c r="S108" s="253" t="s">
        <v>978</v>
      </c>
      <c r="T108" s="253" t="s">
        <v>978</v>
      </c>
      <c r="U108" s="253" t="s">
        <v>978</v>
      </c>
      <c r="V108" s="253" t="s">
        <v>978</v>
      </c>
      <c r="W108" s="253" t="s">
        <v>978</v>
      </c>
      <c r="X108" s="253" t="s">
        <v>870</v>
      </c>
      <c r="Y108" s="253" t="s">
        <v>868</v>
      </c>
      <c r="Z108" s="253" t="s">
        <v>870</v>
      </c>
      <c r="AA108" s="253" t="s">
        <v>868</v>
      </c>
      <c r="AB108" s="254" t="s">
        <v>870</v>
      </c>
      <c r="AC108" s="254" t="s">
        <v>870</v>
      </c>
      <c r="AD108" s="254" t="s">
        <v>870</v>
      </c>
      <c r="AE108" s="254" t="s">
        <v>870</v>
      </c>
      <c r="AF108" s="254" t="s">
        <v>870</v>
      </c>
      <c r="AG108" s="254" t="s">
        <v>870</v>
      </c>
      <c r="AH108" s="254" t="s">
        <v>870</v>
      </c>
      <c r="AI108" s="253" t="s">
        <v>868</v>
      </c>
      <c r="AJ108" s="253" t="s">
        <v>978</v>
      </c>
      <c r="AK108" s="253" t="s">
        <v>978</v>
      </c>
      <c r="AL108" s="253" t="s">
        <v>978</v>
      </c>
      <c r="AM108" s="253" t="s">
        <v>978</v>
      </c>
      <c r="AN108" s="253" t="s">
        <v>978</v>
      </c>
      <c r="AO108" s="253" t="s">
        <v>978</v>
      </c>
      <c r="AP108" s="253" t="s">
        <v>978</v>
      </c>
      <c r="AQ108" s="253" t="s">
        <v>978</v>
      </c>
      <c r="AR108" s="253" t="s">
        <v>978</v>
      </c>
      <c r="AS108" s="253" t="s">
        <v>978</v>
      </c>
      <c r="AT108" s="253" t="s">
        <v>978</v>
      </c>
      <c r="AU108" s="253" t="s">
        <v>978</v>
      </c>
      <c r="AV108" s="253" t="s">
        <v>978</v>
      </c>
      <c r="AW108" s="253" t="s">
        <v>978</v>
      </c>
      <c r="AX108" s="253" t="s">
        <v>978</v>
      </c>
      <c r="AY108" s="253" t="s">
        <v>978</v>
      </c>
      <c r="AZ108" s="253" t="s">
        <v>978</v>
      </c>
      <c r="BA108" s="253" t="s">
        <v>978</v>
      </c>
      <c r="BB108" s="253" t="s">
        <v>978</v>
      </c>
      <c r="BC108" s="254" t="s">
        <v>870</v>
      </c>
      <c r="BD108" s="254" t="s">
        <v>870</v>
      </c>
      <c r="BE108" s="254" t="s">
        <v>868</v>
      </c>
      <c r="BF108" s="254" t="s">
        <v>868</v>
      </c>
      <c r="BG108" s="254" t="s">
        <v>868</v>
      </c>
      <c r="BH108" s="254" t="s">
        <v>868</v>
      </c>
      <c r="BI108" s="254" t="s">
        <v>868</v>
      </c>
      <c r="BJ108" s="254" t="s">
        <v>868</v>
      </c>
      <c r="BK108" s="254" t="s">
        <v>868</v>
      </c>
      <c r="BL108" s="320" t="s">
        <v>870</v>
      </c>
      <c r="BM108" s="320"/>
      <c r="BN108" s="320" t="s">
        <v>868</v>
      </c>
      <c r="BO108" s="320" t="s">
        <v>868</v>
      </c>
      <c r="BP108" s="254" t="s">
        <v>870</v>
      </c>
    </row>
    <row r="109" spans="1:68" ht="30">
      <c r="A109" s="196" t="s">
        <v>1036</v>
      </c>
      <c r="B109" s="196" t="s">
        <v>864</v>
      </c>
      <c r="C109" s="196" t="s">
        <v>1064</v>
      </c>
      <c r="D109" s="196" t="s">
        <v>1080</v>
      </c>
      <c r="E109" s="196"/>
      <c r="F109" s="198" t="s">
        <v>1081</v>
      </c>
      <c r="G109" s="282">
        <f>VLOOKUP(D109,'2025 NPI'!D:L,3,0)</f>
        <v>45540</v>
      </c>
      <c r="H109" s="282">
        <f>VLOOKUP(D109,'2025 NPI'!D:L,4,0)</f>
        <v>45665</v>
      </c>
      <c r="I109" s="235"/>
      <c r="K109" s="254" t="s">
        <v>870</v>
      </c>
      <c r="L109" s="253" t="s">
        <v>868</v>
      </c>
      <c r="M109" s="253" t="s">
        <v>868</v>
      </c>
      <c r="N109" s="253" t="s">
        <v>868</v>
      </c>
      <c r="O109" s="253" t="s">
        <v>868</v>
      </c>
      <c r="P109" s="253" t="s">
        <v>868</v>
      </c>
      <c r="Q109" s="253" t="s">
        <v>868</v>
      </c>
      <c r="R109" s="253" t="s">
        <v>868</v>
      </c>
      <c r="S109" s="253" t="s">
        <v>978</v>
      </c>
      <c r="T109" s="253" t="s">
        <v>978</v>
      </c>
      <c r="U109" s="253" t="s">
        <v>978</v>
      </c>
      <c r="V109" s="253" t="s">
        <v>978</v>
      </c>
      <c r="W109" s="253" t="s">
        <v>978</v>
      </c>
      <c r="X109" s="253" t="s">
        <v>870</v>
      </c>
      <c r="Y109" s="253" t="s">
        <v>868</v>
      </c>
      <c r="Z109" s="253" t="s">
        <v>870</v>
      </c>
      <c r="AA109" s="253" t="s">
        <v>868</v>
      </c>
      <c r="AB109" s="254" t="s">
        <v>870</v>
      </c>
      <c r="AC109" s="254" t="s">
        <v>870</v>
      </c>
      <c r="AD109" s="254" t="s">
        <v>870</v>
      </c>
      <c r="AE109" s="254" t="s">
        <v>870</v>
      </c>
      <c r="AF109" s="254" t="s">
        <v>870</v>
      </c>
      <c r="AG109" s="254" t="s">
        <v>870</v>
      </c>
      <c r="AH109" s="254" t="s">
        <v>870</v>
      </c>
      <c r="AI109" s="253" t="s">
        <v>868</v>
      </c>
      <c r="AJ109" s="253" t="s">
        <v>978</v>
      </c>
      <c r="AK109" s="253" t="s">
        <v>978</v>
      </c>
      <c r="AL109" s="253" t="s">
        <v>978</v>
      </c>
      <c r="AM109" s="253" t="s">
        <v>978</v>
      </c>
      <c r="AN109" s="253" t="s">
        <v>978</v>
      </c>
      <c r="AO109" s="253" t="s">
        <v>978</v>
      </c>
      <c r="AP109" s="253" t="s">
        <v>978</v>
      </c>
      <c r="AQ109" s="253" t="s">
        <v>978</v>
      </c>
      <c r="AR109" s="253" t="s">
        <v>978</v>
      </c>
      <c r="AS109" s="253" t="s">
        <v>978</v>
      </c>
      <c r="AT109" s="253" t="s">
        <v>978</v>
      </c>
      <c r="AU109" s="253" t="s">
        <v>978</v>
      </c>
      <c r="AV109" s="253" t="s">
        <v>978</v>
      </c>
      <c r="AW109" s="253" t="s">
        <v>978</v>
      </c>
      <c r="AX109" s="253" t="s">
        <v>978</v>
      </c>
      <c r="AY109" s="253" t="s">
        <v>978</v>
      </c>
      <c r="AZ109" s="253" t="s">
        <v>978</v>
      </c>
      <c r="BA109" s="253" t="s">
        <v>978</v>
      </c>
      <c r="BB109" s="253" t="s">
        <v>978</v>
      </c>
      <c r="BC109" s="254" t="s">
        <v>870</v>
      </c>
      <c r="BD109" s="254" t="s">
        <v>870</v>
      </c>
      <c r="BE109" s="254" t="s">
        <v>868</v>
      </c>
      <c r="BF109" s="254" t="s">
        <v>868</v>
      </c>
      <c r="BG109" s="254" t="s">
        <v>868</v>
      </c>
      <c r="BH109" s="254" t="s">
        <v>868</v>
      </c>
      <c r="BI109" s="254" t="s">
        <v>868</v>
      </c>
      <c r="BJ109" s="254" t="s">
        <v>870</v>
      </c>
      <c r="BK109" s="254" t="s">
        <v>868</v>
      </c>
      <c r="BL109" s="320" t="s">
        <v>870</v>
      </c>
      <c r="BM109" s="320"/>
      <c r="BN109" s="320" t="s">
        <v>868</v>
      </c>
      <c r="BO109" s="320" t="s">
        <v>868</v>
      </c>
      <c r="BP109" s="254" t="s">
        <v>870</v>
      </c>
    </row>
    <row r="110" spans="1:68" ht="30">
      <c r="A110" s="196" t="s">
        <v>1036</v>
      </c>
      <c r="B110" s="196" t="s">
        <v>864</v>
      </c>
      <c r="C110" s="196" t="s">
        <v>1064</v>
      </c>
      <c r="D110" s="196" t="s">
        <v>1082</v>
      </c>
      <c r="E110" s="196"/>
      <c r="F110" s="198" t="s">
        <v>1083</v>
      </c>
      <c r="G110" s="282">
        <f>VLOOKUP(D110,'2025 NPI'!D:L,3,0)</f>
        <v>45540</v>
      </c>
      <c r="H110" s="282">
        <f>VLOOKUP(D110,'2025 NPI'!D:L,4,0)</f>
        <v>45665</v>
      </c>
      <c r="I110" s="235"/>
      <c r="K110" s="254" t="s">
        <v>870</v>
      </c>
      <c r="L110" s="253" t="s">
        <v>868</v>
      </c>
      <c r="M110" s="253" t="s">
        <v>868</v>
      </c>
      <c r="N110" s="253" t="s">
        <v>868</v>
      </c>
      <c r="O110" s="253" t="s">
        <v>868</v>
      </c>
      <c r="P110" s="253" t="s">
        <v>868</v>
      </c>
      <c r="Q110" s="253" t="s">
        <v>868</v>
      </c>
      <c r="R110" s="253" t="s">
        <v>868</v>
      </c>
      <c r="S110" s="253" t="s">
        <v>978</v>
      </c>
      <c r="T110" s="253" t="s">
        <v>978</v>
      </c>
      <c r="U110" s="253" t="s">
        <v>978</v>
      </c>
      <c r="V110" s="253" t="s">
        <v>978</v>
      </c>
      <c r="W110" s="253" t="s">
        <v>978</v>
      </c>
      <c r="X110" s="253" t="s">
        <v>870</v>
      </c>
      <c r="Y110" s="253" t="s">
        <v>868</v>
      </c>
      <c r="Z110" s="253" t="s">
        <v>870</v>
      </c>
      <c r="AA110" s="253" t="s">
        <v>868</v>
      </c>
      <c r="AB110" s="254" t="s">
        <v>870</v>
      </c>
      <c r="AC110" s="254" t="s">
        <v>870</v>
      </c>
      <c r="AD110" s="254" t="s">
        <v>870</v>
      </c>
      <c r="AE110" s="254" t="s">
        <v>870</v>
      </c>
      <c r="AF110" s="254" t="s">
        <v>870</v>
      </c>
      <c r="AG110" s="254" t="s">
        <v>870</v>
      </c>
      <c r="AH110" s="254" t="s">
        <v>870</v>
      </c>
      <c r="AI110" s="253" t="s">
        <v>868</v>
      </c>
      <c r="AJ110" s="253" t="s">
        <v>978</v>
      </c>
      <c r="AK110" s="253" t="s">
        <v>978</v>
      </c>
      <c r="AL110" s="253" t="s">
        <v>978</v>
      </c>
      <c r="AM110" s="253" t="s">
        <v>978</v>
      </c>
      <c r="AN110" s="253" t="s">
        <v>978</v>
      </c>
      <c r="AO110" s="253" t="s">
        <v>978</v>
      </c>
      <c r="AP110" s="253" t="s">
        <v>978</v>
      </c>
      <c r="AQ110" s="253" t="s">
        <v>978</v>
      </c>
      <c r="AR110" s="253" t="s">
        <v>978</v>
      </c>
      <c r="AS110" s="253" t="s">
        <v>978</v>
      </c>
      <c r="AT110" s="253" t="s">
        <v>978</v>
      </c>
      <c r="AU110" s="253" t="s">
        <v>978</v>
      </c>
      <c r="AV110" s="253" t="s">
        <v>978</v>
      </c>
      <c r="AW110" s="253" t="s">
        <v>978</v>
      </c>
      <c r="AX110" s="253" t="s">
        <v>978</v>
      </c>
      <c r="AY110" s="253" t="s">
        <v>978</v>
      </c>
      <c r="AZ110" s="253" t="s">
        <v>978</v>
      </c>
      <c r="BA110" s="253" t="s">
        <v>978</v>
      </c>
      <c r="BB110" s="253" t="s">
        <v>978</v>
      </c>
      <c r="BC110" s="254" t="s">
        <v>870</v>
      </c>
      <c r="BD110" s="254" t="s">
        <v>870</v>
      </c>
      <c r="BE110" s="254" t="s">
        <v>868</v>
      </c>
      <c r="BF110" s="254" t="s">
        <v>868</v>
      </c>
      <c r="BG110" s="254" t="s">
        <v>868</v>
      </c>
      <c r="BH110" s="254" t="s">
        <v>868</v>
      </c>
      <c r="BI110" s="254" t="s">
        <v>868</v>
      </c>
      <c r="BJ110" s="254" t="s">
        <v>870</v>
      </c>
      <c r="BK110" s="254" t="s">
        <v>868</v>
      </c>
      <c r="BL110" s="320" t="s">
        <v>870</v>
      </c>
      <c r="BM110" s="320"/>
      <c r="BN110" s="320" t="s">
        <v>868</v>
      </c>
      <c r="BO110" s="320" t="s">
        <v>868</v>
      </c>
      <c r="BP110" s="254" t="s">
        <v>870</v>
      </c>
    </row>
    <row r="111" spans="1:68" ht="30">
      <c r="A111" s="196" t="s">
        <v>1036</v>
      </c>
      <c r="B111" s="196" t="s">
        <v>864</v>
      </c>
      <c r="C111" s="196" t="s">
        <v>1084</v>
      </c>
      <c r="D111" s="196" t="s">
        <v>1085</v>
      </c>
      <c r="E111" s="196"/>
      <c r="F111" s="198" t="s">
        <v>1086</v>
      </c>
      <c r="G111" s="282">
        <f>VLOOKUP(D111,'2025 NPI'!D:L,3,0)</f>
        <v>45568</v>
      </c>
      <c r="H111" s="282">
        <f>VLOOKUP(D111,'2025 NPI'!D:L,4,0)</f>
        <v>45667</v>
      </c>
      <c r="I111" s="235"/>
      <c r="K111" s="254" t="s">
        <v>870</v>
      </c>
      <c r="L111" s="253" t="s">
        <v>868</v>
      </c>
      <c r="M111" s="253" t="s">
        <v>868</v>
      </c>
      <c r="N111" s="253" t="s">
        <v>868</v>
      </c>
      <c r="O111" s="253" t="s">
        <v>868</v>
      </c>
      <c r="P111" s="253" t="s">
        <v>868</v>
      </c>
      <c r="Q111" s="253" t="s">
        <v>868</v>
      </c>
      <c r="R111" s="253" t="s">
        <v>868</v>
      </c>
      <c r="S111" s="253" t="s">
        <v>978</v>
      </c>
      <c r="T111" s="253" t="s">
        <v>978</v>
      </c>
      <c r="U111" s="253" t="s">
        <v>978</v>
      </c>
      <c r="V111" s="253" t="s">
        <v>978</v>
      </c>
      <c r="W111" s="253" t="s">
        <v>978</v>
      </c>
      <c r="X111" s="253" t="s">
        <v>870</v>
      </c>
      <c r="Y111" s="253" t="s">
        <v>870</v>
      </c>
      <c r="Z111" s="253" t="s">
        <v>870</v>
      </c>
      <c r="AA111" s="253" t="s">
        <v>868</v>
      </c>
      <c r="AB111" s="254" t="s">
        <v>870</v>
      </c>
      <c r="AC111" s="254" t="s">
        <v>870</v>
      </c>
      <c r="AD111" s="254" t="s">
        <v>870</v>
      </c>
      <c r="AE111" s="254" t="s">
        <v>870</v>
      </c>
      <c r="AF111" s="254" t="s">
        <v>870</v>
      </c>
      <c r="AG111" s="254" t="s">
        <v>870</v>
      </c>
      <c r="AH111" s="254" t="s">
        <v>870</v>
      </c>
      <c r="AI111" s="253" t="s">
        <v>868</v>
      </c>
      <c r="AJ111" s="253" t="s">
        <v>978</v>
      </c>
      <c r="AK111" s="253" t="s">
        <v>978</v>
      </c>
      <c r="AL111" s="253" t="s">
        <v>978</v>
      </c>
      <c r="AM111" s="253" t="s">
        <v>978</v>
      </c>
      <c r="AN111" s="253" t="s">
        <v>978</v>
      </c>
      <c r="AO111" s="253" t="s">
        <v>978</v>
      </c>
      <c r="AP111" s="253" t="s">
        <v>978</v>
      </c>
      <c r="AQ111" s="253" t="s">
        <v>978</v>
      </c>
      <c r="AR111" s="253" t="s">
        <v>978</v>
      </c>
      <c r="AS111" s="253" t="s">
        <v>978</v>
      </c>
      <c r="AT111" s="253" t="s">
        <v>978</v>
      </c>
      <c r="AU111" s="253" t="s">
        <v>978</v>
      </c>
      <c r="AV111" s="253" t="s">
        <v>978</v>
      </c>
      <c r="AW111" s="253" t="s">
        <v>978</v>
      </c>
      <c r="AX111" s="253" t="s">
        <v>978</v>
      </c>
      <c r="AY111" s="253" t="s">
        <v>978</v>
      </c>
      <c r="AZ111" s="253" t="s">
        <v>978</v>
      </c>
      <c r="BA111" s="253" t="s">
        <v>978</v>
      </c>
      <c r="BB111" s="253" t="s">
        <v>978</v>
      </c>
      <c r="BC111" s="254" t="s">
        <v>870</v>
      </c>
      <c r="BD111" s="254" t="s">
        <v>870</v>
      </c>
      <c r="BE111" s="254" t="s">
        <v>868</v>
      </c>
      <c r="BF111" s="254" t="s">
        <v>868</v>
      </c>
      <c r="BG111" s="255" t="s">
        <v>978</v>
      </c>
      <c r="BH111" s="255" t="s">
        <v>978</v>
      </c>
      <c r="BI111" s="254" t="s">
        <v>868</v>
      </c>
      <c r="BJ111" s="254" t="s">
        <v>870</v>
      </c>
      <c r="BK111" s="254" t="s">
        <v>868</v>
      </c>
      <c r="BL111" s="320" t="s">
        <v>870</v>
      </c>
      <c r="BM111" s="320"/>
      <c r="BN111" s="320" t="s">
        <v>868</v>
      </c>
      <c r="BO111" s="254" t="s">
        <v>870</v>
      </c>
      <c r="BP111" s="254" t="s">
        <v>870</v>
      </c>
    </row>
    <row r="112" spans="1:68" ht="30">
      <c r="A112" s="196" t="s">
        <v>1036</v>
      </c>
      <c r="B112" s="196" t="s">
        <v>864</v>
      </c>
      <c r="C112" s="196" t="s">
        <v>1059</v>
      </c>
      <c r="D112" s="196" t="s">
        <v>1087</v>
      </c>
      <c r="E112" s="196"/>
      <c r="F112" s="198" t="s">
        <v>1088</v>
      </c>
      <c r="G112" s="282">
        <f>VLOOKUP(D112,'2025 NPI'!D:L,3,0)</f>
        <v>45568</v>
      </c>
      <c r="H112" s="282">
        <f>VLOOKUP(D112,'2025 NPI'!D:L,4,0)</f>
        <v>45667</v>
      </c>
      <c r="I112" s="235"/>
      <c r="K112" s="254" t="s">
        <v>870</v>
      </c>
      <c r="L112" s="253" t="s">
        <v>868</v>
      </c>
      <c r="M112" s="253" t="s">
        <v>868</v>
      </c>
      <c r="N112" s="253" t="s">
        <v>868</v>
      </c>
      <c r="O112" s="253" t="s">
        <v>868</v>
      </c>
      <c r="P112" s="253" t="s">
        <v>868</v>
      </c>
      <c r="Q112" s="253" t="s">
        <v>868</v>
      </c>
      <c r="R112" s="253" t="s">
        <v>868</v>
      </c>
      <c r="S112" s="253" t="s">
        <v>978</v>
      </c>
      <c r="T112" s="253" t="s">
        <v>978</v>
      </c>
      <c r="U112" s="253" t="s">
        <v>978</v>
      </c>
      <c r="V112" s="253" t="s">
        <v>978</v>
      </c>
      <c r="W112" s="253" t="s">
        <v>978</v>
      </c>
      <c r="X112" s="253" t="s">
        <v>870</v>
      </c>
      <c r="Y112" s="253" t="s">
        <v>870</v>
      </c>
      <c r="Z112" s="253" t="s">
        <v>870</v>
      </c>
      <c r="AA112" s="253" t="s">
        <v>868</v>
      </c>
      <c r="AB112" s="254" t="s">
        <v>870</v>
      </c>
      <c r="AC112" s="254" t="s">
        <v>870</v>
      </c>
      <c r="AD112" s="254" t="s">
        <v>870</v>
      </c>
      <c r="AE112" s="254" t="s">
        <v>870</v>
      </c>
      <c r="AF112" s="254" t="s">
        <v>870</v>
      </c>
      <c r="AG112" s="254" t="s">
        <v>870</v>
      </c>
      <c r="AH112" s="254" t="s">
        <v>870</v>
      </c>
      <c r="AI112" s="253" t="s">
        <v>868</v>
      </c>
      <c r="AJ112" s="253" t="s">
        <v>978</v>
      </c>
      <c r="AK112" s="253" t="s">
        <v>978</v>
      </c>
      <c r="AL112" s="253" t="s">
        <v>978</v>
      </c>
      <c r="AM112" s="253" t="s">
        <v>978</v>
      </c>
      <c r="AN112" s="253" t="s">
        <v>978</v>
      </c>
      <c r="AO112" s="253" t="s">
        <v>978</v>
      </c>
      <c r="AP112" s="253" t="s">
        <v>978</v>
      </c>
      <c r="AQ112" s="253" t="s">
        <v>978</v>
      </c>
      <c r="AR112" s="253" t="s">
        <v>978</v>
      </c>
      <c r="AS112" s="253" t="s">
        <v>978</v>
      </c>
      <c r="AT112" s="253" t="s">
        <v>978</v>
      </c>
      <c r="AU112" s="253" t="s">
        <v>978</v>
      </c>
      <c r="AV112" s="253" t="s">
        <v>978</v>
      </c>
      <c r="AW112" s="253" t="s">
        <v>978</v>
      </c>
      <c r="AX112" s="253" t="s">
        <v>978</v>
      </c>
      <c r="AY112" s="253" t="s">
        <v>978</v>
      </c>
      <c r="AZ112" s="253" t="s">
        <v>978</v>
      </c>
      <c r="BA112" s="253" t="s">
        <v>978</v>
      </c>
      <c r="BB112" s="253" t="s">
        <v>978</v>
      </c>
      <c r="BC112" s="254" t="s">
        <v>870</v>
      </c>
      <c r="BD112" s="254" t="s">
        <v>870</v>
      </c>
      <c r="BE112" s="254" t="s">
        <v>868</v>
      </c>
      <c r="BF112" s="254" t="s">
        <v>868</v>
      </c>
      <c r="BG112" s="255" t="s">
        <v>978</v>
      </c>
      <c r="BH112" s="255" t="s">
        <v>978</v>
      </c>
      <c r="BI112" s="254" t="s">
        <v>868</v>
      </c>
      <c r="BJ112" s="254" t="s">
        <v>870</v>
      </c>
      <c r="BK112" s="254" t="s">
        <v>868</v>
      </c>
      <c r="BL112" s="320" t="s">
        <v>870</v>
      </c>
      <c r="BM112" s="320"/>
      <c r="BN112" s="320" t="s">
        <v>868</v>
      </c>
      <c r="BO112" s="254" t="s">
        <v>870</v>
      </c>
      <c r="BP112" s="254" t="s">
        <v>870</v>
      </c>
    </row>
    <row r="113" spans="1:68" ht="30">
      <c r="A113" s="196" t="s">
        <v>1036</v>
      </c>
      <c r="B113" s="196" t="s">
        <v>864</v>
      </c>
      <c r="C113" s="196" t="s">
        <v>1059</v>
      </c>
      <c r="D113" s="196" t="s">
        <v>1089</v>
      </c>
      <c r="E113" s="196"/>
      <c r="F113" s="198" t="s">
        <v>1090</v>
      </c>
      <c r="G113" s="282">
        <f>VLOOKUP(D113,'2025 NPI'!D:L,3,0)</f>
        <v>45568</v>
      </c>
      <c r="H113" s="282">
        <f>VLOOKUP(D113,'2025 NPI'!D:L,4,0)</f>
        <v>45667</v>
      </c>
      <c r="I113" s="235"/>
      <c r="K113" s="254" t="s">
        <v>870</v>
      </c>
      <c r="L113" s="253" t="s">
        <v>868</v>
      </c>
      <c r="M113" s="253" t="s">
        <v>868</v>
      </c>
      <c r="N113" s="253" t="s">
        <v>868</v>
      </c>
      <c r="O113" s="253" t="s">
        <v>868</v>
      </c>
      <c r="P113" s="253" t="s">
        <v>868</v>
      </c>
      <c r="Q113" s="253" t="s">
        <v>868</v>
      </c>
      <c r="R113" s="253" t="s">
        <v>868</v>
      </c>
      <c r="S113" s="253" t="s">
        <v>978</v>
      </c>
      <c r="T113" s="253" t="s">
        <v>978</v>
      </c>
      <c r="U113" s="253" t="s">
        <v>978</v>
      </c>
      <c r="V113" s="253" t="s">
        <v>978</v>
      </c>
      <c r="W113" s="253" t="s">
        <v>978</v>
      </c>
      <c r="X113" s="253" t="s">
        <v>870</v>
      </c>
      <c r="Y113" s="253" t="s">
        <v>870</v>
      </c>
      <c r="Z113" s="253" t="s">
        <v>870</v>
      </c>
      <c r="AA113" s="253" t="s">
        <v>868</v>
      </c>
      <c r="AB113" s="254" t="s">
        <v>870</v>
      </c>
      <c r="AC113" s="254" t="s">
        <v>870</v>
      </c>
      <c r="AD113" s="254" t="s">
        <v>870</v>
      </c>
      <c r="AE113" s="254" t="s">
        <v>870</v>
      </c>
      <c r="AF113" s="254" t="s">
        <v>870</v>
      </c>
      <c r="AG113" s="254" t="s">
        <v>870</v>
      </c>
      <c r="AH113" s="254" t="s">
        <v>870</v>
      </c>
      <c r="AI113" s="253" t="s">
        <v>868</v>
      </c>
      <c r="AJ113" s="253" t="s">
        <v>978</v>
      </c>
      <c r="AK113" s="253" t="s">
        <v>978</v>
      </c>
      <c r="AL113" s="253" t="s">
        <v>978</v>
      </c>
      <c r="AM113" s="253" t="s">
        <v>978</v>
      </c>
      <c r="AN113" s="253" t="s">
        <v>978</v>
      </c>
      <c r="AO113" s="253" t="s">
        <v>978</v>
      </c>
      <c r="AP113" s="253" t="s">
        <v>978</v>
      </c>
      <c r="AQ113" s="253" t="s">
        <v>978</v>
      </c>
      <c r="AR113" s="253" t="s">
        <v>978</v>
      </c>
      <c r="AS113" s="253" t="s">
        <v>978</v>
      </c>
      <c r="AT113" s="253" t="s">
        <v>978</v>
      </c>
      <c r="AU113" s="253" t="s">
        <v>978</v>
      </c>
      <c r="AV113" s="253" t="s">
        <v>978</v>
      </c>
      <c r="AW113" s="253" t="s">
        <v>978</v>
      </c>
      <c r="AX113" s="253" t="s">
        <v>978</v>
      </c>
      <c r="AY113" s="253" t="s">
        <v>978</v>
      </c>
      <c r="AZ113" s="253" t="s">
        <v>978</v>
      </c>
      <c r="BA113" s="253" t="s">
        <v>978</v>
      </c>
      <c r="BB113" s="253" t="s">
        <v>978</v>
      </c>
      <c r="BC113" s="254" t="s">
        <v>870</v>
      </c>
      <c r="BD113" s="254" t="s">
        <v>870</v>
      </c>
      <c r="BE113" s="254" t="s">
        <v>868</v>
      </c>
      <c r="BF113" s="254" t="s">
        <v>868</v>
      </c>
      <c r="BG113" s="255" t="s">
        <v>978</v>
      </c>
      <c r="BH113" s="255" t="s">
        <v>978</v>
      </c>
      <c r="BI113" s="254" t="s">
        <v>868</v>
      </c>
      <c r="BJ113" s="254" t="s">
        <v>870</v>
      </c>
      <c r="BK113" s="254" t="s">
        <v>868</v>
      </c>
      <c r="BL113" s="320" t="s">
        <v>870</v>
      </c>
      <c r="BM113" s="320"/>
      <c r="BN113" s="320" t="s">
        <v>868</v>
      </c>
      <c r="BO113" s="254" t="s">
        <v>870</v>
      </c>
      <c r="BP113" s="254" t="s">
        <v>870</v>
      </c>
    </row>
    <row r="114" spans="1:68" ht="30">
      <c r="A114" s="196" t="s">
        <v>1036</v>
      </c>
      <c r="B114" s="196" t="s">
        <v>864</v>
      </c>
      <c r="C114" s="196" t="s">
        <v>1091</v>
      </c>
      <c r="D114" s="196" t="s">
        <v>1092</v>
      </c>
      <c r="E114" s="196"/>
      <c r="F114" s="198" t="s">
        <v>1093</v>
      </c>
      <c r="G114" s="282">
        <f>VLOOKUP(D114,'2025 NPI'!D:L,3,0)</f>
        <v>45568</v>
      </c>
      <c r="H114" s="282">
        <f>VLOOKUP(D114,'2025 NPI'!D:L,4,0)</f>
        <v>45667</v>
      </c>
      <c r="I114" s="235"/>
      <c r="K114" s="254" t="s">
        <v>870</v>
      </c>
      <c r="L114" s="253" t="s">
        <v>868</v>
      </c>
      <c r="M114" s="253" t="s">
        <v>868</v>
      </c>
      <c r="N114" s="253" t="s">
        <v>868</v>
      </c>
      <c r="O114" s="253" t="s">
        <v>868</v>
      </c>
      <c r="P114" s="253" t="s">
        <v>868</v>
      </c>
      <c r="Q114" s="253" t="s">
        <v>868</v>
      </c>
      <c r="R114" s="253" t="s">
        <v>868</v>
      </c>
      <c r="S114" s="253" t="s">
        <v>978</v>
      </c>
      <c r="T114" s="253" t="s">
        <v>978</v>
      </c>
      <c r="U114" s="253" t="s">
        <v>978</v>
      </c>
      <c r="V114" s="253" t="s">
        <v>978</v>
      </c>
      <c r="W114" s="253" t="s">
        <v>978</v>
      </c>
      <c r="X114" s="253" t="s">
        <v>870</v>
      </c>
      <c r="Y114" s="253" t="s">
        <v>870</v>
      </c>
      <c r="Z114" s="253" t="s">
        <v>870</v>
      </c>
      <c r="AA114" s="253" t="s">
        <v>868</v>
      </c>
      <c r="AB114" s="254" t="s">
        <v>870</v>
      </c>
      <c r="AC114" s="254" t="s">
        <v>870</v>
      </c>
      <c r="AD114" s="254" t="s">
        <v>870</v>
      </c>
      <c r="AE114" s="254" t="s">
        <v>870</v>
      </c>
      <c r="AF114" s="254" t="s">
        <v>870</v>
      </c>
      <c r="AG114" s="254" t="s">
        <v>870</v>
      </c>
      <c r="AH114" s="254" t="s">
        <v>870</v>
      </c>
      <c r="AI114" s="253" t="s">
        <v>868</v>
      </c>
      <c r="AJ114" s="253" t="s">
        <v>978</v>
      </c>
      <c r="AK114" s="253" t="s">
        <v>978</v>
      </c>
      <c r="AL114" s="253" t="s">
        <v>978</v>
      </c>
      <c r="AM114" s="253" t="s">
        <v>978</v>
      </c>
      <c r="AN114" s="253" t="s">
        <v>978</v>
      </c>
      <c r="AO114" s="253" t="s">
        <v>978</v>
      </c>
      <c r="AP114" s="253" t="s">
        <v>978</v>
      </c>
      <c r="AQ114" s="253" t="s">
        <v>978</v>
      </c>
      <c r="AR114" s="253" t="s">
        <v>978</v>
      </c>
      <c r="AS114" s="253" t="s">
        <v>978</v>
      </c>
      <c r="AT114" s="253" t="s">
        <v>978</v>
      </c>
      <c r="AU114" s="253" t="s">
        <v>978</v>
      </c>
      <c r="AV114" s="253" t="s">
        <v>978</v>
      </c>
      <c r="AW114" s="253" t="s">
        <v>978</v>
      </c>
      <c r="AX114" s="253" t="s">
        <v>978</v>
      </c>
      <c r="AY114" s="253" t="s">
        <v>978</v>
      </c>
      <c r="AZ114" s="253" t="s">
        <v>978</v>
      </c>
      <c r="BA114" s="253" t="s">
        <v>978</v>
      </c>
      <c r="BB114" s="253" t="s">
        <v>978</v>
      </c>
      <c r="BC114" s="254" t="s">
        <v>870</v>
      </c>
      <c r="BD114" s="254" t="s">
        <v>870</v>
      </c>
      <c r="BE114" s="254" t="s">
        <v>868</v>
      </c>
      <c r="BF114" s="254" t="s">
        <v>868</v>
      </c>
      <c r="BG114" s="255" t="s">
        <v>978</v>
      </c>
      <c r="BH114" s="255" t="s">
        <v>978</v>
      </c>
      <c r="BI114" s="254" t="s">
        <v>868</v>
      </c>
      <c r="BJ114" s="254" t="s">
        <v>870</v>
      </c>
      <c r="BK114" s="254" t="s">
        <v>868</v>
      </c>
      <c r="BL114" s="320" t="s">
        <v>870</v>
      </c>
      <c r="BM114" s="320"/>
      <c r="BN114" s="320" t="s">
        <v>868</v>
      </c>
      <c r="BO114" s="254" t="s">
        <v>870</v>
      </c>
      <c r="BP114" s="254" t="s">
        <v>870</v>
      </c>
    </row>
    <row r="115" spans="1:68" ht="30">
      <c r="A115" s="196" t="s">
        <v>1036</v>
      </c>
      <c r="B115" s="196" t="s">
        <v>864</v>
      </c>
      <c r="C115" s="196" t="s">
        <v>1091</v>
      </c>
      <c r="D115" s="196" t="s">
        <v>1094</v>
      </c>
      <c r="E115" s="196"/>
      <c r="F115" s="198" t="s">
        <v>1095</v>
      </c>
      <c r="G115" s="282">
        <f>VLOOKUP(D115,'2025 NPI'!D:L,3,0)</f>
        <v>45568</v>
      </c>
      <c r="H115" s="282">
        <f>VLOOKUP(D115,'2025 NPI'!D:L,4,0)</f>
        <v>45667</v>
      </c>
      <c r="I115" s="235"/>
      <c r="K115" s="254" t="s">
        <v>870</v>
      </c>
      <c r="L115" s="253" t="s">
        <v>868</v>
      </c>
      <c r="M115" s="253" t="s">
        <v>868</v>
      </c>
      <c r="N115" s="253" t="s">
        <v>868</v>
      </c>
      <c r="O115" s="253" t="s">
        <v>868</v>
      </c>
      <c r="P115" s="253" t="s">
        <v>868</v>
      </c>
      <c r="Q115" s="253" t="s">
        <v>868</v>
      </c>
      <c r="R115" s="253" t="s">
        <v>868</v>
      </c>
      <c r="S115" s="253" t="s">
        <v>978</v>
      </c>
      <c r="T115" s="253" t="s">
        <v>978</v>
      </c>
      <c r="U115" s="253" t="s">
        <v>978</v>
      </c>
      <c r="V115" s="253" t="s">
        <v>978</v>
      </c>
      <c r="W115" s="253" t="s">
        <v>978</v>
      </c>
      <c r="X115" s="253" t="s">
        <v>870</v>
      </c>
      <c r="Y115" s="253" t="s">
        <v>870</v>
      </c>
      <c r="Z115" s="253" t="s">
        <v>870</v>
      </c>
      <c r="AA115" s="253" t="s">
        <v>868</v>
      </c>
      <c r="AB115" s="254" t="s">
        <v>870</v>
      </c>
      <c r="AC115" s="254" t="s">
        <v>870</v>
      </c>
      <c r="AD115" s="254" t="s">
        <v>870</v>
      </c>
      <c r="AE115" s="254" t="s">
        <v>870</v>
      </c>
      <c r="AF115" s="254" t="s">
        <v>870</v>
      </c>
      <c r="AG115" s="254" t="s">
        <v>870</v>
      </c>
      <c r="AH115" s="254" t="s">
        <v>870</v>
      </c>
      <c r="AI115" s="253" t="s">
        <v>868</v>
      </c>
      <c r="AJ115" s="253" t="s">
        <v>978</v>
      </c>
      <c r="AK115" s="253" t="s">
        <v>978</v>
      </c>
      <c r="AL115" s="253" t="s">
        <v>978</v>
      </c>
      <c r="AM115" s="253" t="s">
        <v>978</v>
      </c>
      <c r="AN115" s="253" t="s">
        <v>978</v>
      </c>
      <c r="AO115" s="253" t="s">
        <v>978</v>
      </c>
      <c r="AP115" s="253" t="s">
        <v>978</v>
      </c>
      <c r="AQ115" s="253" t="s">
        <v>978</v>
      </c>
      <c r="AR115" s="253" t="s">
        <v>978</v>
      </c>
      <c r="AS115" s="253" t="s">
        <v>978</v>
      </c>
      <c r="AT115" s="253" t="s">
        <v>978</v>
      </c>
      <c r="AU115" s="253" t="s">
        <v>978</v>
      </c>
      <c r="AV115" s="253" t="s">
        <v>978</v>
      </c>
      <c r="AW115" s="253" t="s">
        <v>978</v>
      </c>
      <c r="AX115" s="253" t="s">
        <v>978</v>
      </c>
      <c r="AY115" s="253" t="s">
        <v>978</v>
      </c>
      <c r="AZ115" s="253" t="s">
        <v>978</v>
      </c>
      <c r="BA115" s="253" t="s">
        <v>978</v>
      </c>
      <c r="BB115" s="253" t="s">
        <v>978</v>
      </c>
      <c r="BC115" s="254" t="s">
        <v>870</v>
      </c>
      <c r="BD115" s="254" t="s">
        <v>870</v>
      </c>
      <c r="BE115" s="254" t="s">
        <v>868</v>
      </c>
      <c r="BF115" s="254" t="s">
        <v>868</v>
      </c>
      <c r="BG115" s="255" t="s">
        <v>978</v>
      </c>
      <c r="BH115" s="255" t="s">
        <v>978</v>
      </c>
      <c r="BI115" s="254" t="s">
        <v>868</v>
      </c>
      <c r="BJ115" s="254" t="s">
        <v>870</v>
      </c>
      <c r="BK115" s="254" t="s">
        <v>868</v>
      </c>
      <c r="BL115" s="320" t="s">
        <v>870</v>
      </c>
      <c r="BM115" s="320"/>
      <c r="BN115" s="320" t="s">
        <v>868</v>
      </c>
      <c r="BO115" s="254" t="s">
        <v>870</v>
      </c>
      <c r="BP115" s="254" t="s">
        <v>870</v>
      </c>
    </row>
    <row r="116" spans="1:68" ht="30">
      <c r="A116" s="196" t="s">
        <v>1036</v>
      </c>
      <c r="B116" s="196" t="s">
        <v>899</v>
      </c>
      <c r="C116" s="196" t="s">
        <v>1059</v>
      </c>
      <c r="D116" s="196" t="s">
        <v>1096</v>
      </c>
      <c r="E116" s="196"/>
      <c r="F116" s="198" t="s">
        <v>1097</v>
      </c>
      <c r="G116" s="282">
        <f>VLOOKUP(D116,'2025 NPI'!D:L,3,0)</f>
        <v>45586</v>
      </c>
      <c r="H116" s="282">
        <f>VLOOKUP(D116,'2025 NPI'!D:L,4,0)</f>
        <v>45672</v>
      </c>
      <c r="I116" s="235"/>
      <c r="K116" s="253" t="s">
        <v>868</v>
      </c>
      <c r="L116" s="253" t="s">
        <v>868</v>
      </c>
      <c r="M116" s="253" t="s">
        <v>868</v>
      </c>
      <c r="N116" s="253" t="s">
        <v>868</v>
      </c>
      <c r="O116" s="253" t="s">
        <v>868</v>
      </c>
      <c r="P116" s="253" t="s">
        <v>868</v>
      </c>
      <c r="Q116" s="253" t="s">
        <v>868</v>
      </c>
      <c r="R116" s="253" t="s">
        <v>868</v>
      </c>
      <c r="S116" s="253" t="s">
        <v>978</v>
      </c>
      <c r="T116" s="253" t="s">
        <v>978</v>
      </c>
      <c r="U116" s="253" t="s">
        <v>978</v>
      </c>
      <c r="V116" s="253" t="s">
        <v>978</v>
      </c>
      <c r="W116" s="253" t="s">
        <v>978</v>
      </c>
      <c r="X116" s="253" t="s">
        <v>870</v>
      </c>
      <c r="Y116" s="253" t="s">
        <v>868</v>
      </c>
      <c r="Z116" s="253" t="s">
        <v>870</v>
      </c>
      <c r="AA116" s="253" t="s">
        <v>868</v>
      </c>
      <c r="AB116" s="254" t="s">
        <v>870</v>
      </c>
      <c r="AC116" s="254" t="s">
        <v>870</v>
      </c>
      <c r="AD116" s="254" t="s">
        <v>870</v>
      </c>
      <c r="AE116" s="254" t="s">
        <v>870</v>
      </c>
      <c r="AF116" s="254" t="s">
        <v>870</v>
      </c>
      <c r="AG116" s="254" t="s">
        <v>870</v>
      </c>
      <c r="AH116" s="254" t="s">
        <v>870</v>
      </c>
      <c r="AI116" s="254" t="s">
        <v>870</v>
      </c>
      <c r="AJ116" s="253" t="s">
        <v>978</v>
      </c>
      <c r="AK116" s="253" t="s">
        <v>978</v>
      </c>
      <c r="AL116" s="253" t="s">
        <v>978</v>
      </c>
      <c r="AM116" s="253" t="s">
        <v>978</v>
      </c>
      <c r="AN116" s="253" t="s">
        <v>978</v>
      </c>
      <c r="AO116" s="253" t="s">
        <v>978</v>
      </c>
      <c r="AP116" s="253" t="s">
        <v>978</v>
      </c>
      <c r="AQ116" s="253" t="s">
        <v>978</v>
      </c>
      <c r="AR116" s="253" t="s">
        <v>978</v>
      </c>
      <c r="AS116" s="253" t="s">
        <v>978</v>
      </c>
      <c r="AT116" s="253" t="s">
        <v>978</v>
      </c>
      <c r="AU116" s="253" t="s">
        <v>978</v>
      </c>
      <c r="AV116" s="253" t="s">
        <v>978</v>
      </c>
      <c r="AW116" s="253" t="s">
        <v>978</v>
      </c>
      <c r="AX116" s="253" t="s">
        <v>978</v>
      </c>
      <c r="AY116" s="253" t="s">
        <v>978</v>
      </c>
      <c r="AZ116" s="253" t="s">
        <v>978</v>
      </c>
      <c r="BA116" s="253" t="s">
        <v>978</v>
      </c>
      <c r="BB116" s="253" t="s">
        <v>978</v>
      </c>
      <c r="BC116" s="254" t="s">
        <v>870</v>
      </c>
      <c r="BD116" s="254" t="s">
        <v>870</v>
      </c>
      <c r="BE116" s="254" t="s">
        <v>978</v>
      </c>
      <c r="BF116" s="254" t="s">
        <v>978</v>
      </c>
      <c r="BG116" s="255" t="s">
        <v>978</v>
      </c>
      <c r="BH116" s="255" t="s">
        <v>978</v>
      </c>
      <c r="BI116" s="254" t="s">
        <v>868</v>
      </c>
      <c r="BJ116" s="254" t="s">
        <v>870</v>
      </c>
      <c r="BK116" s="254" t="s">
        <v>1040</v>
      </c>
      <c r="BL116" s="320" t="s">
        <v>870</v>
      </c>
      <c r="BM116" s="320"/>
      <c r="BN116" s="320" t="s">
        <v>868</v>
      </c>
      <c r="BO116" s="254" t="s">
        <v>870</v>
      </c>
      <c r="BP116" s="254" t="s">
        <v>870</v>
      </c>
    </row>
    <row r="117" spans="1:68" ht="30">
      <c r="A117" s="196" t="s">
        <v>1036</v>
      </c>
      <c r="B117" s="196" t="s">
        <v>899</v>
      </c>
      <c r="C117" s="196" t="s">
        <v>1064</v>
      </c>
      <c r="D117" s="196" t="s">
        <v>1098</v>
      </c>
      <c r="E117" s="196"/>
      <c r="F117" s="198" t="s">
        <v>1099</v>
      </c>
      <c r="G117" s="282">
        <f>VLOOKUP(D117,'2025 NPI'!D:L,3,0)</f>
        <v>45586</v>
      </c>
      <c r="H117" s="282">
        <f>VLOOKUP(D117,'2025 NPI'!D:L,4,0)</f>
        <v>45672</v>
      </c>
      <c r="I117" s="235"/>
      <c r="K117" s="253" t="s">
        <v>868</v>
      </c>
      <c r="L117" s="253" t="s">
        <v>868</v>
      </c>
      <c r="M117" s="253" t="s">
        <v>868</v>
      </c>
      <c r="N117" s="253" t="s">
        <v>868</v>
      </c>
      <c r="O117" s="253" t="s">
        <v>868</v>
      </c>
      <c r="P117" s="253" t="s">
        <v>868</v>
      </c>
      <c r="Q117" s="253" t="s">
        <v>868</v>
      </c>
      <c r="R117" s="253" t="s">
        <v>868</v>
      </c>
      <c r="S117" s="253" t="s">
        <v>978</v>
      </c>
      <c r="T117" s="253" t="s">
        <v>978</v>
      </c>
      <c r="U117" s="253" t="s">
        <v>978</v>
      </c>
      <c r="V117" s="253" t="s">
        <v>978</v>
      </c>
      <c r="W117" s="253" t="s">
        <v>978</v>
      </c>
      <c r="X117" s="253" t="s">
        <v>870</v>
      </c>
      <c r="Y117" s="253" t="s">
        <v>868</v>
      </c>
      <c r="Z117" s="253" t="s">
        <v>870</v>
      </c>
      <c r="AA117" s="253" t="s">
        <v>868</v>
      </c>
      <c r="AB117" s="254" t="s">
        <v>870</v>
      </c>
      <c r="AC117" s="254" t="s">
        <v>870</v>
      </c>
      <c r="AD117" s="254" t="s">
        <v>870</v>
      </c>
      <c r="AE117" s="254" t="s">
        <v>870</v>
      </c>
      <c r="AF117" s="254" t="s">
        <v>870</v>
      </c>
      <c r="AG117" s="254" t="s">
        <v>870</v>
      </c>
      <c r="AH117" s="254" t="s">
        <v>870</v>
      </c>
      <c r="AI117" s="254" t="s">
        <v>870</v>
      </c>
      <c r="AJ117" s="253" t="s">
        <v>978</v>
      </c>
      <c r="AK117" s="253" t="s">
        <v>978</v>
      </c>
      <c r="AL117" s="253" t="s">
        <v>978</v>
      </c>
      <c r="AM117" s="253" t="s">
        <v>978</v>
      </c>
      <c r="AN117" s="253" t="s">
        <v>978</v>
      </c>
      <c r="AO117" s="253" t="s">
        <v>978</v>
      </c>
      <c r="AP117" s="253" t="s">
        <v>978</v>
      </c>
      <c r="AQ117" s="253" t="s">
        <v>978</v>
      </c>
      <c r="AR117" s="253" t="s">
        <v>978</v>
      </c>
      <c r="AS117" s="253" t="s">
        <v>978</v>
      </c>
      <c r="AT117" s="253" t="s">
        <v>978</v>
      </c>
      <c r="AU117" s="253" t="s">
        <v>978</v>
      </c>
      <c r="AV117" s="253" t="s">
        <v>978</v>
      </c>
      <c r="AW117" s="253" t="s">
        <v>978</v>
      </c>
      <c r="AX117" s="253" t="s">
        <v>978</v>
      </c>
      <c r="AY117" s="253" t="s">
        <v>978</v>
      </c>
      <c r="AZ117" s="253" t="s">
        <v>978</v>
      </c>
      <c r="BA117" s="253" t="s">
        <v>978</v>
      </c>
      <c r="BB117" s="253" t="s">
        <v>978</v>
      </c>
      <c r="BC117" s="254" t="s">
        <v>870</v>
      </c>
      <c r="BD117" s="254" t="s">
        <v>870</v>
      </c>
      <c r="BE117" s="254" t="s">
        <v>978</v>
      </c>
      <c r="BF117" s="254" t="s">
        <v>978</v>
      </c>
      <c r="BG117" s="255" t="s">
        <v>978</v>
      </c>
      <c r="BH117" s="255" t="s">
        <v>978</v>
      </c>
      <c r="BI117" s="254" t="s">
        <v>868</v>
      </c>
      <c r="BJ117" s="254" t="s">
        <v>870</v>
      </c>
      <c r="BK117" s="254" t="s">
        <v>1040</v>
      </c>
      <c r="BL117" s="320" t="s">
        <v>870</v>
      </c>
      <c r="BM117" s="320"/>
      <c r="BN117" s="320" t="s">
        <v>868</v>
      </c>
      <c r="BO117" s="254" t="s">
        <v>870</v>
      </c>
      <c r="BP117" s="254" t="s">
        <v>870</v>
      </c>
    </row>
    <row r="118" spans="1:68">
      <c r="A118" s="196" t="s">
        <v>1036</v>
      </c>
      <c r="B118" s="196" t="s">
        <v>899</v>
      </c>
      <c r="C118" s="196" t="s">
        <v>1047</v>
      </c>
      <c r="D118" s="196" t="s">
        <v>1100</v>
      </c>
      <c r="E118" s="196"/>
      <c r="F118" s="198" t="s">
        <v>1101</v>
      </c>
      <c r="G118" s="282">
        <f>VLOOKUP(D118,'2025 NPI'!D:L,3,0)</f>
        <v>45586</v>
      </c>
      <c r="H118" s="282">
        <f>VLOOKUP(D118,'2025 NPI'!D:L,4,0)</f>
        <v>45672</v>
      </c>
      <c r="I118" s="235"/>
      <c r="K118" s="253" t="s">
        <v>868</v>
      </c>
      <c r="L118" s="253" t="s">
        <v>868</v>
      </c>
      <c r="M118" s="253" t="s">
        <v>868</v>
      </c>
      <c r="N118" s="253" t="s">
        <v>868</v>
      </c>
      <c r="O118" s="253" t="s">
        <v>868</v>
      </c>
      <c r="P118" s="253" t="s">
        <v>868</v>
      </c>
      <c r="Q118" s="253" t="s">
        <v>868</v>
      </c>
      <c r="R118" s="253" t="s">
        <v>868</v>
      </c>
      <c r="S118" s="253" t="s">
        <v>978</v>
      </c>
      <c r="T118" s="253" t="s">
        <v>978</v>
      </c>
      <c r="U118" s="253" t="s">
        <v>978</v>
      </c>
      <c r="V118" s="253" t="s">
        <v>978</v>
      </c>
      <c r="W118" s="253" t="s">
        <v>978</v>
      </c>
      <c r="X118" s="253" t="s">
        <v>870</v>
      </c>
      <c r="Y118" s="253" t="s">
        <v>868</v>
      </c>
      <c r="Z118" s="253" t="s">
        <v>870</v>
      </c>
      <c r="AA118" s="253" t="s">
        <v>868</v>
      </c>
      <c r="AB118" s="254" t="s">
        <v>870</v>
      </c>
      <c r="AC118" s="254" t="s">
        <v>870</v>
      </c>
      <c r="AD118" s="254" t="s">
        <v>870</v>
      </c>
      <c r="AE118" s="254" t="s">
        <v>870</v>
      </c>
      <c r="AF118" s="254" t="s">
        <v>870</v>
      </c>
      <c r="AG118" s="254" t="s">
        <v>870</v>
      </c>
      <c r="AH118" s="254" t="s">
        <v>870</v>
      </c>
      <c r="AI118" s="254" t="s">
        <v>870</v>
      </c>
      <c r="AJ118" s="253" t="s">
        <v>978</v>
      </c>
      <c r="AK118" s="253" t="s">
        <v>978</v>
      </c>
      <c r="AL118" s="253" t="s">
        <v>978</v>
      </c>
      <c r="AM118" s="253" t="s">
        <v>978</v>
      </c>
      <c r="AN118" s="253" t="s">
        <v>978</v>
      </c>
      <c r="AO118" s="253" t="s">
        <v>978</v>
      </c>
      <c r="AP118" s="253" t="s">
        <v>978</v>
      </c>
      <c r="AQ118" s="253" t="s">
        <v>978</v>
      </c>
      <c r="AR118" s="253" t="s">
        <v>978</v>
      </c>
      <c r="AS118" s="253" t="s">
        <v>978</v>
      </c>
      <c r="AT118" s="253" t="s">
        <v>978</v>
      </c>
      <c r="AU118" s="253" t="s">
        <v>978</v>
      </c>
      <c r="AV118" s="253" t="s">
        <v>978</v>
      </c>
      <c r="AW118" s="253" t="s">
        <v>978</v>
      </c>
      <c r="AX118" s="253" t="s">
        <v>978</v>
      </c>
      <c r="AY118" s="253" t="s">
        <v>978</v>
      </c>
      <c r="AZ118" s="253" t="s">
        <v>978</v>
      </c>
      <c r="BA118" s="253" t="s">
        <v>978</v>
      </c>
      <c r="BB118" s="253" t="s">
        <v>978</v>
      </c>
      <c r="BC118" s="254" t="s">
        <v>870</v>
      </c>
      <c r="BD118" s="254" t="s">
        <v>870</v>
      </c>
      <c r="BE118" s="254" t="s">
        <v>978</v>
      </c>
      <c r="BF118" s="254" t="s">
        <v>978</v>
      </c>
      <c r="BG118" s="255" t="s">
        <v>978</v>
      </c>
      <c r="BH118" s="255" t="s">
        <v>978</v>
      </c>
      <c r="BI118" s="254" t="s">
        <v>868</v>
      </c>
      <c r="BJ118" s="254" t="s">
        <v>870</v>
      </c>
      <c r="BK118" s="254" t="s">
        <v>1040</v>
      </c>
      <c r="BL118" s="320" t="s">
        <v>870</v>
      </c>
      <c r="BM118" s="320"/>
      <c r="BN118" s="128"/>
      <c r="BO118" s="254" t="s">
        <v>870</v>
      </c>
      <c r="BP118" s="254" t="s">
        <v>870</v>
      </c>
    </row>
    <row r="119" spans="1:68" ht="30">
      <c r="A119" s="196" t="s">
        <v>1036</v>
      </c>
      <c r="B119" s="196" t="s">
        <v>864</v>
      </c>
      <c r="C119" s="196" t="s">
        <v>1102</v>
      </c>
      <c r="D119" s="196" t="s">
        <v>1103</v>
      </c>
      <c r="E119" s="196"/>
      <c r="F119" s="198" t="s">
        <v>1104</v>
      </c>
      <c r="G119" s="282">
        <f>VLOOKUP(D119,'2025 NPI'!D:L,3,0)</f>
        <v>45576</v>
      </c>
      <c r="H119" s="282">
        <f>VLOOKUP(D119,'2025 NPI'!D:L,4,0)</f>
        <v>45674</v>
      </c>
      <c r="I119" s="235"/>
      <c r="K119" s="254" t="s">
        <v>870</v>
      </c>
      <c r="L119" s="253" t="s">
        <v>868</v>
      </c>
      <c r="M119" s="253" t="s">
        <v>868</v>
      </c>
      <c r="N119" s="253" t="s">
        <v>868</v>
      </c>
      <c r="O119" s="253" t="s">
        <v>868</v>
      </c>
      <c r="P119" s="253" t="s">
        <v>870</v>
      </c>
      <c r="Q119" s="253" t="s">
        <v>868</v>
      </c>
      <c r="R119" s="253" t="s">
        <v>870</v>
      </c>
      <c r="S119" s="253" t="s">
        <v>978</v>
      </c>
      <c r="T119" s="253" t="s">
        <v>978</v>
      </c>
      <c r="U119" s="253" t="s">
        <v>978</v>
      </c>
      <c r="V119" s="253" t="s">
        <v>978</v>
      </c>
      <c r="W119" s="253" t="s">
        <v>978</v>
      </c>
      <c r="X119" s="253" t="s">
        <v>870</v>
      </c>
      <c r="Y119" s="253" t="s">
        <v>868</v>
      </c>
      <c r="Z119" s="253" t="s">
        <v>870</v>
      </c>
      <c r="AA119" s="253" t="s">
        <v>868</v>
      </c>
      <c r="AB119" s="254" t="s">
        <v>870</v>
      </c>
      <c r="AC119" s="254" t="s">
        <v>870</v>
      </c>
      <c r="AD119" s="254" t="s">
        <v>870</v>
      </c>
      <c r="AE119" s="254" t="s">
        <v>870</v>
      </c>
      <c r="AF119" s="254" t="s">
        <v>870</v>
      </c>
      <c r="AG119" s="254" t="s">
        <v>870</v>
      </c>
      <c r="AH119" s="254" t="s">
        <v>870</v>
      </c>
      <c r="AI119" s="253" t="s">
        <v>868</v>
      </c>
      <c r="AJ119" s="253" t="s">
        <v>978</v>
      </c>
      <c r="AK119" s="253" t="s">
        <v>978</v>
      </c>
      <c r="AL119" s="253" t="s">
        <v>978</v>
      </c>
      <c r="AM119" s="253" t="s">
        <v>978</v>
      </c>
      <c r="AN119" s="253" t="s">
        <v>978</v>
      </c>
      <c r="AO119" s="253" t="s">
        <v>978</v>
      </c>
      <c r="AP119" s="253" t="s">
        <v>978</v>
      </c>
      <c r="AQ119" s="253" t="s">
        <v>978</v>
      </c>
      <c r="AR119" s="253" t="s">
        <v>978</v>
      </c>
      <c r="AS119" s="253" t="s">
        <v>978</v>
      </c>
      <c r="AT119" s="253" t="s">
        <v>978</v>
      </c>
      <c r="AU119" s="253" t="s">
        <v>978</v>
      </c>
      <c r="AV119" s="253" t="s">
        <v>978</v>
      </c>
      <c r="AW119" s="253" t="s">
        <v>978</v>
      </c>
      <c r="AX119" s="253" t="s">
        <v>978</v>
      </c>
      <c r="AY119" s="253" t="s">
        <v>978</v>
      </c>
      <c r="AZ119" s="253" t="s">
        <v>978</v>
      </c>
      <c r="BA119" s="253" t="s">
        <v>978</v>
      </c>
      <c r="BB119" s="253" t="s">
        <v>978</v>
      </c>
      <c r="BC119" s="254" t="s">
        <v>870</v>
      </c>
      <c r="BD119" s="254" t="s">
        <v>870</v>
      </c>
      <c r="BE119" s="254" t="s">
        <v>868</v>
      </c>
      <c r="BF119" s="254" t="s">
        <v>868</v>
      </c>
      <c r="BG119" s="255" t="s">
        <v>978</v>
      </c>
      <c r="BH119" s="255" t="s">
        <v>978</v>
      </c>
      <c r="BI119" s="254" t="s">
        <v>868</v>
      </c>
      <c r="BJ119" s="254" t="s">
        <v>870</v>
      </c>
      <c r="BK119" s="254" t="s">
        <v>1040</v>
      </c>
      <c r="BL119" s="320" t="s">
        <v>870</v>
      </c>
      <c r="BM119" s="320" t="s">
        <v>868</v>
      </c>
      <c r="BN119" s="254" t="s">
        <v>870</v>
      </c>
      <c r="BO119" s="320" t="s">
        <v>868</v>
      </c>
      <c r="BP119" s="254" t="s">
        <v>868</v>
      </c>
    </row>
    <row r="120" spans="1:68" ht="30">
      <c r="A120" s="196" t="s">
        <v>1036</v>
      </c>
      <c r="B120" s="196" t="s">
        <v>864</v>
      </c>
      <c r="C120" s="196" t="s">
        <v>1084</v>
      </c>
      <c r="D120" s="196" t="s">
        <v>1105</v>
      </c>
      <c r="E120" s="196"/>
      <c r="F120" s="198" t="s">
        <v>1106</v>
      </c>
      <c r="G120" s="282">
        <f>VLOOKUP(D120,'2025 NPI'!D:L,3,0)</f>
        <v>45593</v>
      </c>
      <c r="H120" s="282">
        <f>VLOOKUP(D120,'2025 NPI'!D:L,4,0)</f>
        <v>45695</v>
      </c>
      <c r="I120" s="235"/>
      <c r="K120" s="254" t="s">
        <v>870</v>
      </c>
      <c r="L120" s="253" t="s">
        <v>868</v>
      </c>
      <c r="M120" s="253" t="s">
        <v>868</v>
      </c>
      <c r="N120" s="253" t="s">
        <v>868</v>
      </c>
      <c r="O120" s="253" t="s">
        <v>868</v>
      </c>
      <c r="P120" s="253" t="s">
        <v>868</v>
      </c>
      <c r="Q120" s="253" t="s">
        <v>868</v>
      </c>
      <c r="R120" s="253" t="s">
        <v>868</v>
      </c>
      <c r="S120" s="253" t="s">
        <v>978</v>
      </c>
      <c r="T120" s="253" t="s">
        <v>978</v>
      </c>
      <c r="U120" s="253" t="s">
        <v>978</v>
      </c>
      <c r="V120" s="253" t="s">
        <v>978</v>
      </c>
      <c r="W120" s="253" t="s">
        <v>978</v>
      </c>
      <c r="X120" s="253" t="s">
        <v>870</v>
      </c>
      <c r="Y120" s="253" t="s">
        <v>868</v>
      </c>
      <c r="Z120" s="253" t="s">
        <v>870</v>
      </c>
      <c r="AA120" s="253" t="s">
        <v>868</v>
      </c>
      <c r="AB120" s="254" t="s">
        <v>870</v>
      </c>
      <c r="AC120" s="254" t="s">
        <v>870</v>
      </c>
      <c r="AD120" s="254" t="s">
        <v>870</v>
      </c>
      <c r="AE120" s="254" t="s">
        <v>870</v>
      </c>
      <c r="AF120" s="254" t="s">
        <v>870</v>
      </c>
      <c r="AG120" s="254" t="s">
        <v>870</v>
      </c>
      <c r="AH120" s="254" t="s">
        <v>870</v>
      </c>
      <c r="AI120" s="253" t="s">
        <v>868</v>
      </c>
      <c r="AJ120" s="253" t="s">
        <v>978</v>
      </c>
      <c r="AK120" s="253" t="s">
        <v>978</v>
      </c>
      <c r="AL120" s="253" t="s">
        <v>978</v>
      </c>
      <c r="AM120" s="253" t="s">
        <v>978</v>
      </c>
      <c r="AN120" s="253" t="s">
        <v>978</v>
      </c>
      <c r="AO120" s="253" t="s">
        <v>978</v>
      </c>
      <c r="AP120" s="253" t="s">
        <v>978</v>
      </c>
      <c r="AQ120" s="253" t="s">
        <v>978</v>
      </c>
      <c r="AR120" s="253" t="s">
        <v>978</v>
      </c>
      <c r="AS120" s="253" t="s">
        <v>978</v>
      </c>
      <c r="AT120" s="253" t="s">
        <v>978</v>
      </c>
      <c r="AU120" s="253" t="s">
        <v>978</v>
      </c>
      <c r="AV120" s="253" t="s">
        <v>978</v>
      </c>
      <c r="AW120" s="253" t="s">
        <v>978</v>
      </c>
      <c r="AX120" s="253" t="s">
        <v>978</v>
      </c>
      <c r="AY120" s="253" t="s">
        <v>978</v>
      </c>
      <c r="AZ120" s="253" t="s">
        <v>978</v>
      </c>
      <c r="BA120" s="253" t="s">
        <v>978</v>
      </c>
      <c r="BB120" s="253" t="s">
        <v>978</v>
      </c>
      <c r="BC120" s="254" t="s">
        <v>870</v>
      </c>
      <c r="BD120" s="254" t="s">
        <v>870</v>
      </c>
      <c r="BE120" s="254" t="s">
        <v>868</v>
      </c>
      <c r="BF120" s="254" t="s">
        <v>868</v>
      </c>
      <c r="BG120" s="255" t="s">
        <v>978</v>
      </c>
      <c r="BH120" s="255" t="s">
        <v>978</v>
      </c>
      <c r="BI120" s="254" t="s">
        <v>868</v>
      </c>
      <c r="BJ120" s="254" t="s">
        <v>870</v>
      </c>
      <c r="BK120" s="254" t="s">
        <v>868</v>
      </c>
      <c r="BL120" s="320" t="s">
        <v>870</v>
      </c>
      <c r="BM120" s="320" t="s">
        <v>868</v>
      </c>
      <c r="BN120" s="320" t="s">
        <v>868</v>
      </c>
      <c r="BO120" s="254" t="s">
        <v>870</v>
      </c>
      <c r="BP120" s="254" t="s">
        <v>870</v>
      </c>
    </row>
    <row r="121" spans="1:68" ht="30">
      <c r="A121" s="196" t="s">
        <v>1036</v>
      </c>
      <c r="B121" s="196" t="s">
        <v>864</v>
      </c>
      <c r="C121" s="196" t="s">
        <v>1084</v>
      </c>
      <c r="D121" s="196" t="s">
        <v>1107</v>
      </c>
      <c r="E121" s="196"/>
      <c r="F121" s="198" t="s">
        <v>1108</v>
      </c>
      <c r="G121" s="282">
        <f>VLOOKUP(D121,'2025 NPI'!D:L,3,0)</f>
        <v>45593</v>
      </c>
      <c r="H121" s="282">
        <f>VLOOKUP(D121,'2025 NPI'!D:L,4,0)</f>
        <v>45695</v>
      </c>
      <c r="I121" s="235"/>
      <c r="K121" s="254" t="s">
        <v>870</v>
      </c>
      <c r="L121" s="253" t="s">
        <v>868</v>
      </c>
      <c r="M121" s="253" t="s">
        <v>868</v>
      </c>
      <c r="N121" s="253" t="s">
        <v>868</v>
      </c>
      <c r="O121" s="253" t="s">
        <v>868</v>
      </c>
      <c r="P121" s="253" t="s">
        <v>868</v>
      </c>
      <c r="Q121" s="253" t="s">
        <v>868</v>
      </c>
      <c r="R121" s="253" t="s">
        <v>868</v>
      </c>
      <c r="S121" s="253" t="s">
        <v>978</v>
      </c>
      <c r="T121" s="253" t="s">
        <v>978</v>
      </c>
      <c r="U121" s="253" t="s">
        <v>978</v>
      </c>
      <c r="V121" s="253" t="s">
        <v>978</v>
      </c>
      <c r="W121" s="253" t="s">
        <v>978</v>
      </c>
      <c r="X121" s="253" t="s">
        <v>870</v>
      </c>
      <c r="Y121" s="253" t="s">
        <v>868</v>
      </c>
      <c r="Z121" s="253" t="s">
        <v>870</v>
      </c>
      <c r="AA121" s="253" t="s">
        <v>868</v>
      </c>
      <c r="AB121" s="254" t="s">
        <v>870</v>
      </c>
      <c r="AC121" s="254" t="s">
        <v>870</v>
      </c>
      <c r="AD121" s="254" t="s">
        <v>870</v>
      </c>
      <c r="AE121" s="254" t="s">
        <v>870</v>
      </c>
      <c r="AF121" s="254" t="s">
        <v>870</v>
      </c>
      <c r="AG121" s="254" t="s">
        <v>870</v>
      </c>
      <c r="AH121" s="254" t="s">
        <v>870</v>
      </c>
      <c r="AI121" s="253" t="s">
        <v>868</v>
      </c>
      <c r="AJ121" s="253" t="s">
        <v>978</v>
      </c>
      <c r="AK121" s="253" t="s">
        <v>978</v>
      </c>
      <c r="AL121" s="253" t="s">
        <v>978</v>
      </c>
      <c r="AM121" s="253" t="s">
        <v>978</v>
      </c>
      <c r="AN121" s="253" t="s">
        <v>978</v>
      </c>
      <c r="AO121" s="253" t="s">
        <v>978</v>
      </c>
      <c r="AP121" s="253" t="s">
        <v>978</v>
      </c>
      <c r="AQ121" s="253" t="s">
        <v>978</v>
      </c>
      <c r="AR121" s="253" t="s">
        <v>978</v>
      </c>
      <c r="AS121" s="253" t="s">
        <v>978</v>
      </c>
      <c r="AT121" s="253" t="s">
        <v>978</v>
      </c>
      <c r="AU121" s="253" t="s">
        <v>978</v>
      </c>
      <c r="AV121" s="253" t="s">
        <v>978</v>
      </c>
      <c r="AW121" s="253" t="s">
        <v>978</v>
      </c>
      <c r="AX121" s="253" t="s">
        <v>978</v>
      </c>
      <c r="AY121" s="253" t="s">
        <v>978</v>
      </c>
      <c r="AZ121" s="253" t="s">
        <v>978</v>
      </c>
      <c r="BA121" s="253" t="s">
        <v>978</v>
      </c>
      <c r="BB121" s="253" t="s">
        <v>978</v>
      </c>
      <c r="BC121" s="254" t="s">
        <v>870</v>
      </c>
      <c r="BD121" s="254" t="s">
        <v>870</v>
      </c>
      <c r="BE121" s="254" t="s">
        <v>868</v>
      </c>
      <c r="BF121" s="254" t="s">
        <v>868</v>
      </c>
      <c r="BG121" s="255" t="s">
        <v>978</v>
      </c>
      <c r="BH121" s="255" t="s">
        <v>978</v>
      </c>
      <c r="BI121" s="254" t="s">
        <v>868</v>
      </c>
      <c r="BJ121" s="254" t="s">
        <v>870</v>
      </c>
      <c r="BK121" s="254" t="s">
        <v>868</v>
      </c>
      <c r="BL121" s="320" t="s">
        <v>870</v>
      </c>
      <c r="BM121" s="320" t="s">
        <v>868</v>
      </c>
      <c r="BN121" s="320" t="s">
        <v>868</v>
      </c>
      <c r="BO121" s="254" t="s">
        <v>870</v>
      </c>
      <c r="BP121" s="254" t="s">
        <v>870</v>
      </c>
    </row>
    <row r="122" spans="1:68" ht="30">
      <c r="A122" s="196" t="s">
        <v>1036</v>
      </c>
      <c r="B122" s="196" t="s">
        <v>864</v>
      </c>
      <c r="C122" s="196" t="s">
        <v>1059</v>
      </c>
      <c r="D122" s="196" t="s">
        <v>1109</v>
      </c>
      <c r="E122" s="196"/>
      <c r="F122" s="198" t="s">
        <v>1110</v>
      </c>
      <c r="G122" s="282">
        <f>VLOOKUP(D122,'2025 NPI'!D:L,3,0)</f>
        <v>45596</v>
      </c>
      <c r="H122" s="282">
        <f>VLOOKUP(D122,'2025 NPI'!D:L,4,0)</f>
        <v>45695</v>
      </c>
      <c r="I122" s="235"/>
      <c r="K122" s="254" t="s">
        <v>870</v>
      </c>
      <c r="L122" s="253" t="s">
        <v>868</v>
      </c>
      <c r="M122" s="253" t="s">
        <v>868</v>
      </c>
      <c r="N122" s="253" t="s">
        <v>868</v>
      </c>
      <c r="O122" s="253" t="s">
        <v>868</v>
      </c>
      <c r="P122" s="253" t="s">
        <v>868</v>
      </c>
      <c r="Q122" s="253" t="s">
        <v>868</v>
      </c>
      <c r="R122" s="253" t="s">
        <v>868</v>
      </c>
      <c r="S122" s="253" t="s">
        <v>978</v>
      </c>
      <c r="T122" s="253" t="s">
        <v>978</v>
      </c>
      <c r="U122" s="253" t="s">
        <v>978</v>
      </c>
      <c r="V122" s="253" t="s">
        <v>978</v>
      </c>
      <c r="W122" s="253" t="s">
        <v>978</v>
      </c>
      <c r="X122" s="253" t="s">
        <v>870</v>
      </c>
      <c r="Y122" s="253" t="s">
        <v>870</v>
      </c>
      <c r="Z122" s="253" t="s">
        <v>870</v>
      </c>
      <c r="AA122" s="253" t="s">
        <v>868</v>
      </c>
      <c r="AB122" s="254" t="s">
        <v>870</v>
      </c>
      <c r="AC122" s="254" t="s">
        <v>870</v>
      </c>
      <c r="AD122" s="254" t="s">
        <v>870</v>
      </c>
      <c r="AE122" s="254" t="s">
        <v>870</v>
      </c>
      <c r="AF122" s="254" t="s">
        <v>870</v>
      </c>
      <c r="AG122" s="254" t="s">
        <v>870</v>
      </c>
      <c r="AH122" s="254" t="s">
        <v>870</v>
      </c>
      <c r="AI122" s="253" t="s">
        <v>868</v>
      </c>
      <c r="AJ122" s="253" t="s">
        <v>978</v>
      </c>
      <c r="AK122" s="253" t="s">
        <v>978</v>
      </c>
      <c r="AL122" s="253" t="s">
        <v>978</v>
      </c>
      <c r="AM122" s="253" t="s">
        <v>978</v>
      </c>
      <c r="AN122" s="253" t="s">
        <v>978</v>
      </c>
      <c r="AO122" s="253" t="s">
        <v>978</v>
      </c>
      <c r="AP122" s="253" t="s">
        <v>978</v>
      </c>
      <c r="AQ122" s="253" t="s">
        <v>978</v>
      </c>
      <c r="AR122" s="253" t="s">
        <v>978</v>
      </c>
      <c r="AS122" s="253" t="s">
        <v>978</v>
      </c>
      <c r="AT122" s="253" t="s">
        <v>978</v>
      </c>
      <c r="AU122" s="253" t="s">
        <v>978</v>
      </c>
      <c r="AV122" s="253" t="s">
        <v>978</v>
      </c>
      <c r="AW122" s="253" t="s">
        <v>978</v>
      </c>
      <c r="AX122" s="253" t="s">
        <v>978</v>
      </c>
      <c r="AY122" s="253" t="s">
        <v>978</v>
      </c>
      <c r="AZ122" s="253" t="s">
        <v>978</v>
      </c>
      <c r="BA122" s="253" t="s">
        <v>978</v>
      </c>
      <c r="BB122" s="253" t="s">
        <v>978</v>
      </c>
      <c r="BC122" s="254" t="s">
        <v>870</v>
      </c>
      <c r="BD122" s="254" t="s">
        <v>870</v>
      </c>
      <c r="BE122" s="254" t="s">
        <v>868</v>
      </c>
      <c r="BF122" s="254" t="s">
        <v>868</v>
      </c>
      <c r="BG122" s="255" t="s">
        <v>978</v>
      </c>
      <c r="BH122" s="255" t="s">
        <v>978</v>
      </c>
      <c r="BI122" s="254" t="s">
        <v>868</v>
      </c>
      <c r="BJ122" s="254" t="s">
        <v>870</v>
      </c>
      <c r="BK122" s="254" t="s">
        <v>868</v>
      </c>
      <c r="BL122" s="320" t="s">
        <v>870</v>
      </c>
      <c r="BM122" s="320" t="s">
        <v>868</v>
      </c>
      <c r="BN122" s="320" t="s">
        <v>868</v>
      </c>
      <c r="BO122" s="254" t="s">
        <v>870</v>
      </c>
      <c r="BP122" s="254" t="s">
        <v>870</v>
      </c>
    </row>
    <row r="123" spans="1:68" ht="30">
      <c r="A123" s="196" t="s">
        <v>1036</v>
      </c>
      <c r="B123" s="196" t="s">
        <v>864</v>
      </c>
      <c r="C123" s="196" t="s">
        <v>1059</v>
      </c>
      <c r="D123" s="196" t="s">
        <v>1111</v>
      </c>
      <c r="E123" s="196"/>
      <c r="F123" s="198" t="s">
        <v>1112</v>
      </c>
      <c r="G123" s="282">
        <f>VLOOKUP(D123,'2025 NPI'!D:L,3,0)</f>
        <v>45596</v>
      </c>
      <c r="H123" s="282">
        <f>VLOOKUP(D123,'2025 NPI'!D:L,4,0)</f>
        <v>45695</v>
      </c>
      <c r="I123" s="235"/>
      <c r="K123" s="254" t="s">
        <v>870</v>
      </c>
      <c r="L123" s="253" t="s">
        <v>868</v>
      </c>
      <c r="M123" s="253" t="s">
        <v>868</v>
      </c>
      <c r="N123" s="253" t="s">
        <v>868</v>
      </c>
      <c r="O123" s="253" t="s">
        <v>868</v>
      </c>
      <c r="P123" s="253" t="s">
        <v>868</v>
      </c>
      <c r="Q123" s="253" t="s">
        <v>868</v>
      </c>
      <c r="R123" s="253" t="s">
        <v>868</v>
      </c>
      <c r="S123" s="253" t="s">
        <v>978</v>
      </c>
      <c r="T123" s="253" t="s">
        <v>978</v>
      </c>
      <c r="U123" s="253" t="s">
        <v>978</v>
      </c>
      <c r="V123" s="253" t="s">
        <v>978</v>
      </c>
      <c r="W123" s="253" t="s">
        <v>978</v>
      </c>
      <c r="X123" s="253" t="s">
        <v>870</v>
      </c>
      <c r="Y123" s="253" t="s">
        <v>870</v>
      </c>
      <c r="Z123" s="253" t="s">
        <v>870</v>
      </c>
      <c r="AA123" s="253" t="s">
        <v>868</v>
      </c>
      <c r="AB123" s="254" t="s">
        <v>870</v>
      </c>
      <c r="AC123" s="254" t="s">
        <v>870</v>
      </c>
      <c r="AD123" s="254" t="s">
        <v>870</v>
      </c>
      <c r="AE123" s="254" t="s">
        <v>870</v>
      </c>
      <c r="AF123" s="254" t="s">
        <v>870</v>
      </c>
      <c r="AG123" s="254" t="s">
        <v>870</v>
      </c>
      <c r="AH123" s="254" t="s">
        <v>870</v>
      </c>
      <c r="AI123" s="253" t="s">
        <v>868</v>
      </c>
      <c r="AJ123" s="253" t="s">
        <v>978</v>
      </c>
      <c r="AK123" s="253" t="s">
        <v>978</v>
      </c>
      <c r="AL123" s="253" t="s">
        <v>978</v>
      </c>
      <c r="AM123" s="253" t="s">
        <v>978</v>
      </c>
      <c r="AN123" s="253" t="s">
        <v>978</v>
      </c>
      <c r="AO123" s="253" t="s">
        <v>978</v>
      </c>
      <c r="AP123" s="253" t="s">
        <v>978</v>
      </c>
      <c r="AQ123" s="253" t="s">
        <v>978</v>
      </c>
      <c r="AR123" s="253" t="s">
        <v>978</v>
      </c>
      <c r="AS123" s="253" t="s">
        <v>978</v>
      </c>
      <c r="AT123" s="253" t="s">
        <v>978</v>
      </c>
      <c r="AU123" s="253" t="s">
        <v>978</v>
      </c>
      <c r="AV123" s="253" t="s">
        <v>978</v>
      </c>
      <c r="AW123" s="253" t="s">
        <v>978</v>
      </c>
      <c r="AX123" s="253" t="s">
        <v>978</v>
      </c>
      <c r="AY123" s="253" t="s">
        <v>978</v>
      </c>
      <c r="AZ123" s="253" t="s">
        <v>978</v>
      </c>
      <c r="BA123" s="253" t="s">
        <v>978</v>
      </c>
      <c r="BB123" s="253" t="s">
        <v>978</v>
      </c>
      <c r="BC123" s="254" t="s">
        <v>870</v>
      </c>
      <c r="BD123" s="254" t="s">
        <v>870</v>
      </c>
      <c r="BE123" s="254" t="s">
        <v>868</v>
      </c>
      <c r="BF123" s="254" t="s">
        <v>868</v>
      </c>
      <c r="BG123" s="255" t="s">
        <v>978</v>
      </c>
      <c r="BH123" s="255" t="s">
        <v>978</v>
      </c>
      <c r="BI123" s="254" t="s">
        <v>868</v>
      </c>
      <c r="BJ123" s="254" t="s">
        <v>870</v>
      </c>
      <c r="BK123" s="254" t="s">
        <v>868</v>
      </c>
      <c r="BL123" s="320" t="s">
        <v>870</v>
      </c>
      <c r="BM123" s="320" t="s">
        <v>868</v>
      </c>
      <c r="BN123" s="320" t="s">
        <v>868</v>
      </c>
      <c r="BO123" s="254" t="s">
        <v>870</v>
      </c>
      <c r="BP123" s="254" t="s">
        <v>870</v>
      </c>
    </row>
    <row r="124" spans="1:68" ht="30">
      <c r="A124" s="196" t="s">
        <v>1036</v>
      </c>
      <c r="B124" s="196" t="s">
        <v>899</v>
      </c>
      <c r="C124" s="196" t="s">
        <v>1059</v>
      </c>
      <c r="D124" s="196" t="s">
        <v>1113</v>
      </c>
      <c r="E124" s="196"/>
      <c r="F124" s="198" t="s">
        <v>1114</v>
      </c>
      <c r="G124" s="282">
        <f>VLOOKUP(D124,'2025 NPI'!D:L,3,0)</f>
        <v>45588</v>
      </c>
      <c r="H124" s="282">
        <f>VLOOKUP(D124,'2025 NPI'!D:L,4,0)</f>
        <v>45699</v>
      </c>
      <c r="I124" s="235"/>
      <c r="K124" s="253" t="s">
        <v>868</v>
      </c>
      <c r="L124" s="253" t="s">
        <v>868</v>
      </c>
      <c r="M124" s="253" t="s">
        <v>868</v>
      </c>
      <c r="N124" s="253" t="s">
        <v>868</v>
      </c>
      <c r="O124" s="253" t="s">
        <v>868</v>
      </c>
      <c r="P124" s="253" t="s">
        <v>868</v>
      </c>
      <c r="Q124" s="253" t="s">
        <v>868</v>
      </c>
      <c r="R124" s="253" t="s">
        <v>868</v>
      </c>
      <c r="S124" s="253" t="s">
        <v>978</v>
      </c>
      <c r="T124" s="253" t="s">
        <v>978</v>
      </c>
      <c r="U124" s="253" t="s">
        <v>978</v>
      </c>
      <c r="V124" s="253" t="s">
        <v>978</v>
      </c>
      <c r="W124" s="253" t="s">
        <v>978</v>
      </c>
      <c r="X124" s="253" t="s">
        <v>870</v>
      </c>
      <c r="Y124" s="253" t="s">
        <v>868</v>
      </c>
      <c r="Z124" s="253" t="s">
        <v>870</v>
      </c>
      <c r="AA124" s="253" t="s">
        <v>868</v>
      </c>
      <c r="AB124" s="254" t="s">
        <v>870</v>
      </c>
      <c r="AC124" s="254" t="s">
        <v>870</v>
      </c>
      <c r="AD124" s="254" t="s">
        <v>870</v>
      </c>
      <c r="AE124" s="254" t="s">
        <v>870</v>
      </c>
      <c r="AF124" s="254" t="s">
        <v>870</v>
      </c>
      <c r="AG124" s="254" t="s">
        <v>870</v>
      </c>
      <c r="AH124" s="254" t="s">
        <v>870</v>
      </c>
      <c r="AI124" s="253" t="s">
        <v>868</v>
      </c>
      <c r="AJ124" s="253" t="s">
        <v>978</v>
      </c>
      <c r="AK124" s="253" t="s">
        <v>978</v>
      </c>
      <c r="AL124" s="253" t="s">
        <v>978</v>
      </c>
      <c r="AM124" s="253" t="s">
        <v>978</v>
      </c>
      <c r="AN124" s="253" t="s">
        <v>978</v>
      </c>
      <c r="AO124" s="253" t="s">
        <v>978</v>
      </c>
      <c r="AP124" s="253" t="s">
        <v>978</v>
      </c>
      <c r="AQ124" s="253" t="s">
        <v>978</v>
      </c>
      <c r="AR124" s="253" t="s">
        <v>978</v>
      </c>
      <c r="AS124" s="253" t="s">
        <v>978</v>
      </c>
      <c r="AT124" s="253" t="s">
        <v>978</v>
      </c>
      <c r="AU124" s="253" t="s">
        <v>978</v>
      </c>
      <c r="AV124" s="253" t="s">
        <v>978</v>
      </c>
      <c r="AW124" s="253" t="s">
        <v>978</v>
      </c>
      <c r="AX124" s="253" t="s">
        <v>978</v>
      </c>
      <c r="AY124" s="253" t="s">
        <v>978</v>
      </c>
      <c r="AZ124" s="253" t="s">
        <v>978</v>
      </c>
      <c r="BA124" s="253" t="s">
        <v>978</v>
      </c>
      <c r="BB124" s="253" t="s">
        <v>978</v>
      </c>
      <c r="BC124" s="254" t="s">
        <v>870</v>
      </c>
      <c r="BD124" s="254" t="s">
        <v>870</v>
      </c>
      <c r="BE124" s="254" t="s">
        <v>978</v>
      </c>
      <c r="BF124" s="254" t="s">
        <v>978</v>
      </c>
      <c r="BG124" s="255" t="s">
        <v>978</v>
      </c>
      <c r="BH124" s="255" t="s">
        <v>978</v>
      </c>
      <c r="BI124" s="254" t="s">
        <v>868</v>
      </c>
      <c r="BJ124" s="254" t="s">
        <v>870</v>
      </c>
      <c r="BK124" s="254" t="s">
        <v>1040</v>
      </c>
      <c r="BL124" s="320" t="s">
        <v>870</v>
      </c>
      <c r="BM124" s="320" t="s">
        <v>868</v>
      </c>
      <c r="BN124" s="320" t="s">
        <v>868</v>
      </c>
      <c r="BO124" s="254" t="s">
        <v>870</v>
      </c>
      <c r="BP124" s="254" t="s">
        <v>870</v>
      </c>
    </row>
    <row r="125" spans="1:68" ht="30">
      <c r="A125" s="196" t="s">
        <v>1036</v>
      </c>
      <c r="B125" s="196" t="s">
        <v>899</v>
      </c>
      <c r="C125" s="196" t="s">
        <v>1064</v>
      </c>
      <c r="D125" s="196" t="s">
        <v>1115</v>
      </c>
      <c r="E125" s="196"/>
      <c r="F125" s="198" t="s">
        <v>1116</v>
      </c>
      <c r="G125" s="282">
        <f>VLOOKUP(D125,'2025 NPI'!D:L,3,0)</f>
        <v>45588</v>
      </c>
      <c r="H125" s="282">
        <f>VLOOKUP(D125,'2025 NPI'!D:L,4,0)</f>
        <v>45699</v>
      </c>
      <c r="I125" s="235"/>
      <c r="K125" s="253" t="s">
        <v>868</v>
      </c>
      <c r="L125" s="253" t="s">
        <v>868</v>
      </c>
      <c r="M125" s="253" t="s">
        <v>868</v>
      </c>
      <c r="N125" s="253" t="s">
        <v>868</v>
      </c>
      <c r="O125" s="253" t="s">
        <v>868</v>
      </c>
      <c r="P125" s="253" t="s">
        <v>868</v>
      </c>
      <c r="Q125" s="253" t="s">
        <v>868</v>
      </c>
      <c r="R125" s="253" t="s">
        <v>868</v>
      </c>
      <c r="S125" s="253" t="s">
        <v>978</v>
      </c>
      <c r="T125" s="253" t="s">
        <v>978</v>
      </c>
      <c r="U125" s="253" t="s">
        <v>978</v>
      </c>
      <c r="V125" s="253" t="s">
        <v>978</v>
      </c>
      <c r="W125" s="253" t="s">
        <v>978</v>
      </c>
      <c r="X125" s="253" t="s">
        <v>870</v>
      </c>
      <c r="Y125" s="253" t="s">
        <v>868</v>
      </c>
      <c r="Z125" s="253" t="s">
        <v>870</v>
      </c>
      <c r="AA125" s="253" t="s">
        <v>868</v>
      </c>
      <c r="AB125" s="254" t="s">
        <v>870</v>
      </c>
      <c r="AC125" s="254" t="s">
        <v>870</v>
      </c>
      <c r="AD125" s="254" t="s">
        <v>870</v>
      </c>
      <c r="AE125" s="254" t="s">
        <v>870</v>
      </c>
      <c r="AF125" s="254" t="s">
        <v>870</v>
      </c>
      <c r="AG125" s="254" t="s">
        <v>870</v>
      </c>
      <c r="AH125" s="254" t="s">
        <v>870</v>
      </c>
      <c r="AI125" s="253" t="s">
        <v>868</v>
      </c>
      <c r="AJ125" s="253" t="s">
        <v>978</v>
      </c>
      <c r="AK125" s="253" t="s">
        <v>978</v>
      </c>
      <c r="AL125" s="253" t="s">
        <v>978</v>
      </c>
      <c r="AM125" s="253" t="s">
        <v>978</v>
      </c>
      <c r="AN125" s="253" t="s">
        <v>978</v>
      </c>
      <c r="AO125" s="253" t="s">
        <v>978</v>
      </c>
      <c r="AP125" s="253" t="s">
        <v>978</v>
      </c>
      <c r="AQ125" s="253" t="s">
        <v>978</v>
      </c>
      <c r="AR125" s="253" t="s">
        <v>978</v>
      </c>
      <c r="AS125" s="253" t="s">
        <v>978</v>
      </c>
      <c r="AT125" s="253" t="s">
        <v>978</v>
      </c>
      <c r="AU125" s="253" t="s">
        <v>978</v>
      </c>
      <c r="AV125" s="253" t="s">
        <v>978</v>
      </c>
      <c r="AW125" s="253" t="s">
        <v>978</v>
      </c>
      <c r="AX125" s="253" t="s">
        <v>978</v>
      </c>
      <c r="AY125" s="253" t="s">
        <v>978</v>
      </c>
      <c r="AZ125" s="253" t="s">
        <v>978</v>
      </c>
      <c r="BA125" s="253" t="s">
        <v>978</v>
      </c>
      <c r="BB125" s="253" t="s">
        <v>978</v>
      </c>
      <c r="BC125" s="254" t="s">
        <v>870</v>
      </c>
      <c r="BD125" s="254" t="s">
        <v>870</v>
      </c>
      <c r="BE125" s="254" t="s">
        <v>978</v>
      </c>
      <c r="BF125" s="254" t="s">
        <v>978</v>
      </c>
      <c r="BG125" s="255" t="s">
        <v>978</v>
      </c>
      <c r="BH125" s="255" t="s">
        <v>978</v>
      </c>
      <c r="BI125" s="254" t="s">
        <v>868</v>
      </c>
      <c r="BJ125" s="254" t="s">
        <v>870</v>
      </c>
      <c r="BK125" s="254" t="s">
        <v>1040</v>
      </c>
      <c r="BL125" s="320" t="s">
        <v>870</v>
      </c>
      <c r="BM125" s="320" t="s">
        <v>868</v>
      </c>
      <c r="BN125" s="320" t="s">
        <v>868</v>
      </c>
      <c r="BO125" s="254" t="s">
        <v>870</v>
      </c>
      <c r="BP125" s="254" t="s">
        <v>870</v>
      </c>
    </row>
    <row r="126" spans="1:68" ht="30">
      <c r="A126" s="196" t="s">
        <v>1036</v>
      </c>
      <c r="B126" s="196" t="s">
        <v>899</v>
      </c>
      <c r="C126" s="196" t="s">
        <v>1064</v>
      </c>
      <c r="D126" s="196" t="s">
        <v>1117</v>
      </c>
      <c r="E126" s="196"/>
      <c r="F126" s="198" t="s">
        <v>1118</v>
      </c>
      <c r="G126" s="282">
        <f>VLOOKUP(D126,'2025 NPI'!D:L,3,0)</f>
        <v>45588</v>
      </c>
      <c r="H126" s="282">
        <f>VLOOKUP(D126,'2025 NPI'!D:L,4,0)</f>
        <v>45699</v>
      </c>
      <c r="I126" s="235"/>
      <c r="K126" s="253" t="s">
        <v>868</v>
      </c>
      <c r="L126" s="253" t="s">
        <v>868</v>
      </c>
      <c r="M126" s="253" t="s">
        <v>868</v>
      </c>
      <c r="N126" s="253" t="s">
        <v>868</v>
      </c>
      <c r="O126" s="253" t="s">
        <v>868</v>
      </c>
      <c r="P126" s="253" t="s">
        <v>868</v>
      </c>
      <c r="Q126" s="253" t="s">
        <v>868</v>
      </c>
      <c r="R126" s="253" t="s">
        <v>868</v>
      </c>
      <c r="S126" s="253" t="s">
        <v>978</v>
      </c>
      <c r="T126" s="253" t="s">
        <v>978</v>
      </c>
      <c r="U126" s="253" t="s">
        <v>978</v>
      </c>
      <c r="V126" s="253" t="s">
        <v>978</v>
      </c>
      <c r="W126" s="253" t="s">
        <v>978</v>
      </c>
      <c r="X126" s="253" t="s">
        <v>870</v>
      </c>
      <c r="Y126" s="253" t="s">
        <v>868</v>
      </c>
      <c r="Z126" s="253" t="s">
        <v>870</v>
      </c>
      <c r="AA126" s="253" t="s">
        <v>868</v>
      </c>
      <c r="AB126" s="254" t="s">
        <v>870</v>
      </c>
      <c r="AC126" s="254" t="s">
        <v>870</v>
      </c>
      <c r="AD126" s="254" t="s">
        <v>870</v>
      </c>
      <c r="AE126" s="254" t="s">
        <v>870</v>
      </c>
      <c r="AF126" s="254" t="s">
        <v>870</v>
      </c>
      <c r="AG126" s="254" t="s">
        <v>870</v>
      </c>
      <c r="AH126" s="254" t="s">
        <v>870</v>
      </c>
      <c r="AI126" s="253" t="s">
        <v>868</v>
      </c>
      <c r="AJ126" s="253" t="s">
        <v>978</v>
      </c>
      <c r="AK126" s="253" t="s">
        <v>978</v>
      </c>
      <c r="AL126" s="253" t="s">
        <v>978</v>
      </c>
      <c r="AM126" s="253" t="s">
        <v>978</v>
      </c>
      <c r="AN126" s="253" t="s">
        <v>978</v>
      </c>
      <c r="AO126" s="253" t="s">
        <v>978</v>
      </c>
      <c r="AP126" s="253" t="s">
        <v>978</v>
      </c>
      <c r="AQ126" s="253" t="s">
        <v>978</v>
      </c>
      <c r="AR126" s="253" t="s">
        <v>978</v>
      </c>
      <c r="AS126" s="253" t="s">
        <v>978</v>
      </c>
      <c r="AT126" s="253" t="s">
        <v>978</v>
      </c>
      <c r="AU126" s="253" t="s">
        <v>978</v>
      </c>
      <c r="AV126" s="253" t="s">
        <v>978</v>
      </c>
      <c r="AW126" s="253" t="s">
        <v>978</v>
      </c>
      <c r="AX126" s="253" t="s">
        <v>978</v>
      </c>
      <c r="AY126" s="253" t="s">
        <v>978</v>
      </c>
      <c r="AZ126" s="253" t="s">
        <v>978</v>
      </c>
      <c r="BA126" s="253" t="s">
        <v>978</v>
      </c>
      <c r="BB126" s="253" t="s">
        <v>978</v>
      </c>
      <c r="BC126" s="254" t="s">
        <v>870</v>
      </c>
      <c r="BD126" s="254" t="s">
        <v>870</v>
      </c>
      <c r="BE126" s="254" t="s">
        <v>978</v>
      </c>
      <c r="BF126" s="254" t="s">
        <v>978</v>
      </c>
      <c r="BG126" s="255" t="s">
        <v>978</v>
      </c>
      <c r="BH126" s="255" t="s">
        <v>978</v>
      </c>
      <c r="BI126" s="254" t="s">
        <v>868</v>
      </c>
      <c r="BJ126" s="254" t="s">
        <v>870</v>
      </c>
      <c r="BK126" s="254" t="s">
        <v>1040</v>
      </c>
      <c r="BL126" s="320" t="s">
        <v>870</v>
      </c>
      <c r="BM126" s="320" t="s">
        <v>868</v>
      </c>
      <c r="BN126" s="320" t="s">
        <v>868</v>
      </c>
      <c r="BO126" s="254" t="s">
        <v>870</v>
      </c>
      <c r="BP126" s="254" t="s">
        <v>870</v>
      </c>
    </row>
    <row r="127" spans="1:68" ht="30">
      <c r="A127" s="196" t="s">
        <v>1036</v>
      </c>
      <c r="B127" s="196" t="s">
        <v>864</v>
      </c>
      <c r="C127" s="196" t="s">
        <v>1056</v>
      </c>
      <c r="D127" s="196" t="s">
        <v>1119</v>
      </c>
      <c r="E127" s="196"/>
      <c r="F127" s="198" t="s">
        <v>1120</v>
      </c>
      <c r="G127" s="282">
        <f>VLOOKUP(D127,'2025 NPI'!D:L,3,0)</f>
        <v>45541</v>
      </c>
      <c r="H127" s="282">
        <f>VLOOKUP(D127,'2025 NPI'!D:L,4,0)</f>
        <v>45722</v>
      </c>
      <c r="I127" s="235"/>
      <c r="K127" s="253" t="s">
        <v>868</v>
      </c>
      <c r="L127" s="253" t="s">
        <v>868</v>
      </c>
      <c r="M127" s="253" t="s">
        <v>868</v>
      </c>
      <c r="N127" s="253" t="s">
        <v>868</v>
      </c>
      <c r="O127" s="253" t="s">
        <v>868</v>
      </c>
      <c r="P127" s="253" t="s">
        <v>868</v>
      </c>
      <c r="Q127" s="253" t="s">
        <v>868</v>
      </c>
      <c r="R127" s="253" t="s">
        <v>868</v>
      </c>
      <c r="S127" s="253" t="s">
        <v>978</v>
      </c>
      <c r="T127" s="253" t="s">
        <v>978</v>
      </c>
      <c r="U127" s="253" t="s">
        <v>978</v>
      </c>
      <c r="V127" s="253" t="s">
        <v>978</v>
      </c>
      <c r="W127" s="253" t="s">
        <v>978</v>
      </c>
      <c r="X127" s="253" t="s">
        <v>870</v>
      </c>
      <c r="Y127" s="253" t="s">
        <v>868</v>
      </c>
      <c r="Z127" s="253" t="s">
        <v>870</v>
      </c>
      <c r="AA127" s="253" t="s">
        <v>868</v>
      </c>
      <c r="AB127" s="254" t="s">
        <v>870</v>
      </c>
      <c r="AC127" s="254" t="s">
        <v>870</v>
      </c>
      <c r="AD127" s="254" t="s">
        <v>870</v>
      </c>
      <c r="AE127" s="254" t="s">
        <v>870</v>
      </c>
      <c r="AF127" s="254" t="s">
        <v>870</v>
      </c>
      <c r="AG127" s="254" t="s">
        <v>870</v>
      </c>
      <c r="AH127" s="254" t="s">
        <v>870</v>
      </c>
      <c r="AI127" s="253" t="s">
        <v>868</v>
      </c>
      <c r="AJ127" s="253" t="s">
        <v>978</v>
      </c>
      <c r="AK127" s="253" t="s">
        <v>978</v>
      </c>
      <c r="AL127" s="253" t="s">
        <v>978</v>
      </c>
      <c r="AM127" s="253" t="s">
        <v>978</v>
      </c>
      <c r="AN127" s="253" t="s">
        <v>978</v>
      </c>
      <c r="AO127" s="253" t="s">
        <v>978</v>
      </c>
      <c r="AP127" s="253" t="s">
        <v>978</v>
      </c>
      <c r="AQ127" s="253" t="s">
        <v>978</v>
      </c>
      <c r="AR127" s="253" t="s">
        <v>978</v>
      </c>
      <c r="AS127" s="253" t="s">
        <v>978</v>
      </c>
      <c r="AT127" s="253" t="s">
        <v>978</v>
      </c>
      <c r="AU127" s="253" t="s">
        <v>978</v>
      </c>
      <c r="AV127" s="253" t="s">
        <v>978</v>
      </c>
      <c r="AW127" s="253" t="s">
        <v>978</v>
      </c>
      <c r="AX127" s="253" t="s">
        <v>978</v>
      </c>
      <c r="AY127" s="253" t="s">
        <v>978</v>
      </c>
      <c r="AZ127" s="253" t="s">
        <v>978</v>
      </c>
      <c r="BA127" s="253" t="s">
        <v>978</v>
      </c>
      <c r="BB127" s="253" t="s">
        <v>978</v>
      </c>
      <c r="BC127" s="254" t="s">
        <v>870</v>
      </c>
      <c r="BD127" s="254" t="s">
        <v>870</v>
      </c>
      <c r="BE127" s="254" t="s">
        <v>868</v>
      </c>
      <c r="BF127" s="254" t="s">
        <v>868</v>
      </c>
      <c r="BG127" s="254" t="s">
        <v>868</v>
      </c>
      <c r="BH127" s="254" t="s">
        <v>868</v>
      </c>
      <c r="BI127" s="254" t="s">
        <v>868</v>
      </c>
      <c r="BJ127" s="254" t="s">
        <v>870</v>
      </c>
      <c r="BK127" s="254" t="s">
        <v>868</v>
      </c>
      <c r="BL127" s="320" t="s">
        <v>870</v>
      </c>
      <c r="BM127" s="320" t="s">
        <v>868</v>
      </c>
      <c r="BN127" s="320" t="s">
        <v>868</v>
      </c>
      <c r="BO127" s="320" t="s">
        <v>868</v>
      </c>
      <c r="BP127" s="254" t="s">
        <v>870</v>
      </c>
    </row>
    <row r="128" spans="1:68" ht="30">
      <c r="A128" s="196" t="s">
        <v>1036</v>
      </c>
      <c r="B128" s="196" t="s">
        <v>864</v>
      </c>
      <c r="C128" s="196" t="s">
        <v>1064</v>
      </c>
      <c r="D128" s="196" t="s">
        <v>1121</v>
      </c>
      <c r="E128" s="196"/>
      <c r="F128" s="198" t="s">
        <v>1122</v>
      </c>
      <c r="G128" s="282">
        <f>VLOOKUP(D128,'2025 NPI'!D:L,3,0)</f>
        <v>45589</v>
      </c>
      <c r="H128" s="282">
        <f>VLOOKUP(D128,'2025 NPI'!D:L,4,0)</f>
        <v>45702</v>
      </c>
      <c r="I128" s="235"/>
      <c r="K128" s="254" t="s">
        <v>870</v>
      </c>
      <c r="L128" s="253" t="s">
        <v>868</v>
      </c>
      <c r="M128" s="253" t="s">
        <v>868</v>
      </c>
      <c r="N128" s="253" t="s">
        <v>868</v>
      </c>
      <c r="O128" s="253" t="s">
        <v>868</v>
      </c>
      <c r="P128" s="253" t="s">
        <v>868</v>
      </c>
      <c r="Q128" s="253" t="s">
        <v>868</v>
      </c>
      <c r="R128" s="253" t="s">
        <v>868</v>
      </c>
      <c r="S128" s="253" t="s">
        <v>978</v>
      </c>
      <c r="T128" s="253" t="s">
        <v>978</v>
      </c>
      <c r="U128" s="253" t="s">
        <v>978</v>
      </c>
      <c r="V128" s="253" t="s">
        <v>978</v>
      </c>
      <c r="W128" s="253" t="s">
        <v>978</v>
      </c>
      <c r="X128" s="253" t="s">
        <v>870</v>
      </c>
      <c r="Y128" s="253" t="s">
        <v>868</v>
      </c>
      <c r="Z128" s="253" t="s">
        <v>870</v>
      </c>
      <c r="AA128" s="253" t="s">
        <v>868</v>
      </c>
      <c r="AB128" s="254" t="s">
        <v>870</v>
      </c>
      <c r="AC128" s="254" t="s">
        <v>870</v>
      </c>
      <c r="AD128" s="254" t="s">
        <v>870</v>
      </c>
      <c r="AE128" s="254" t="s">
        <v>870</v>
      </c>
      <c r="AF128" s="254" t="s">
        <v>870</v>
      </c>
      <c r="AG128" s="254" t="s">
        <v>870</v>
      </c>
      <c r="AH128" s="254" t="s">
        <v>870</v>
      </c>
      <c r="AI128" s="253" t="s">
        <v>868</v>
      </c>
      <c r="AJ128" s="253" t="s">
        <v>978</v>
      </c>
      <c r="AK128" s="253" t="s">
        <v>978</v>
      </c>
      <c r="AL128" s="253" t="s">
        <v>978</v>
      </c>
      <c r="AM128" s="253" t="s">
        <v>978</v>
      </c>
      <c r="AN128" s="253" t="s">
        <v>978</v>
      </c>
      <c r="AO128" s="253" t="s">
        <v>978</v>
      </c>
      <c r="AP128" s="253" t="s">
        <v>978</v>
      </c>
      <c r="AQ128" s="253" t="s">
        <v>978</v>
      </c>
      <c r="AR128" s="253" t="s">
        <v>978</v>
      </c>
      <c r="AS128" s="253" t="s">
        <v>978</v>
      </c>
      <c r="AT128" s="253" t="s">
        <v>978</v>
      </c>
      <c r="AU128" s="253" t="s">
        <v>978</v>
      </c>
      <c r="AV128" s="253" t="s">
        <v>978</v>
      </c>
      <c r="AW128" s="253" t="s">
        <v>978</v>
      </c>
      <c r="AX128" s="253" t="s">
        <v>978</v>
      </c>
      <c r="AY128" s="253" t="s">
        <v>978</v>
      </c>
      <c r="AZ128" s="253" t="s">
        <v>978</v>
      </c>
      <c r="BA128" s="253" t="s">
        <v>978</v>
      </c>
      <c r="BB128" s="253" t="s">
        <v>978</v>
      </c>
      <c r="BC128" s="254" t="s">
        <v>870</v>
      </c>
      <c r="BD128" s="254" t="s">
        <v>870</v>
      </c>
      <c r="BE128" s="254" t="s">
        <v>868</v>
      </c>
      <c r="BF128" s="254" t="s">
        <v>868</v>
      </c>
      <c r="BG128" s="254" t="s">
        <v>868</v>
      </c>
      <c r="BH128" s="254" t="s">
        <v>868</v>
      </c>
      <c r="BI128" s="254" t="s">
        <v>868</v>
      </c>
      <c r="BJ128" s="254" t="s">
        <v>870</v>
      </c>
      <c r="BK128" s="254" t="s">
        <v>868</v>
      </c>
      <c r="BL128" s="320" t="s">
        <v>870</v>
      </c>
      <c r="BM128" s="320" t="s">
        <v>868</v>
      </c>
      <c r="BN128" s="320" t="s">
        <v>868</v>
      </c>
      <c r="BO128" s="320" t="s">
        <v>868</v>
      </c>
      <c r="BP128" s="254" t="s">
        <v>870</v>
      </c>
    </row>
    <row r="129" spans="1:68" ht="30">
      <c r="A129" s="196" t="s">
        <v>1036</v>
      </c>
      <c r="B129" s="196" t="s">
        <v>864</v>
      </c>
      <c r="C129" s="196" t="s">
        <v>1064</v>
      </c>
      <c r="D129" s="196" t="s">
        <v>1123</v>
      </c>
      <c r="E129" s="196"/>
      <c r="F129" s="198" t="s">
        <v>1124</v>
      </c>
      <c r="G129" s="282">
        <f>VLOOKUP(D129,'2025 NPI'!D:L,3,0)</f>
        <v>45589</v>
      </c>
      <c r="H129" s="282">
        <f>VLOOKUP(D129,'2025 NPI'!D:L,4,0)</f>
        <v>45702</v>
      </c>
      <c r="I129" s="235"/>
      <c r="K129" s="254" t="s">
        <v>870</v>
      </c>
      <c r="L129" s="253" t="s">
        <v>868</v>
      </c>
      <c r="M129" s="253" t="s">
        <v>868</v>
      </c>
      <c r="N129" s="253" t="s">
        <v>868</v>
      </c>
      <c r="O129" s="253" t="s">
        <v>868</v>
      </c>
      <c r="P129" s="253" t="s">
        <v>868</v>
      </c>
      <c r="Q129" s="253" t="s">
        <v>868</v>
      </c>
      <c r="R129" s="253" t="s">
        <v>868</v>
      </c>
      <c r="S129" s="253" t="s">
        <v>978</v>
      </c>
      <c r="T129" s="253" t="s">
        <v>978</v>
      </c>
      <c r="U129" s="253" t="s">
        <v>978</v>
      </c>
      <c r="V129" s="253" t="s">
        <v>978</v>
      </c>
      <c r="W129" s="253" t="s">
        <v>978</v>
      </c>
      <c r="X129" s="253" t="s">
        <v>870</v>
      </c>
      <c r="Y129" s="253" t="s">
        <v>868</v>
      </c>
      <c r="Z129" s="253" t="s">
        <v>870</v>
      </c>
      <c r="AA129" s="253" t="s">
        <v>868</v>
      </c>
      <c r="AB129" s="254" t="s">
        <v>870</v>
      </c>
      <c r="AC129" s="254" t="s">
        <v>870</v>
      </c>
      <c r="AD129" s="254" t="s">
        <v>870</v>
      </c>
      <c r="AE129" s="254" t="s">
        <v>870</v>
      </c>
      <c r="AF129" s="254" t="s">
        <v>870</v>
      </c>
      <c r="AG129" s="254" t="s">
        <v>870</v>
      </c>
      <c r="AH129" s="254" t="s">
        <v>870</v>
      </c>
      <c r="AI129" s="253" t="s">
        <v>868</v>
      </c>
      <c r="AJ129" s="253" t="s">
        <v>978</v>
      </c>
      <c r="AK129" s="253" t="s">
        <v>978</v>
      </c>
      <c r="AL129" s="253" t="s">
        <v>978</v>
      </c>
      <c r="AM129" s="253" t="s">
        <v>978</v>
      </c>
      <c r="AN129" s="253" t="s">
        <v>978</v>
      </c>
      <c r="AO129" s="253" t="s">
        <v>978</v>
      </c>
      <c r="AP129" s="253" t="s">
        <v>978</v>
      </c>
      <c r="AQ129" s="253" t="s">
        <v>978</v>
      </c>
      <c r="AR129" s="253" t="s">
        <v>978</v>
      </c>
      <c r="AS129" s="253" t="s">
        <v>978</v>
      </c>
      <c r="AT129" s="253" t="s">
        <v>978</v>
      </c>
      <c r="AU129" s="253" t="s">
        <v>978</v>
      </c>
      <c r="AV129" s="253" t="s">
        <v>978</v>
      </c>
      <c r="AW129" s="253" t="s">
        <v>978</v>
      </c>
      <c r="AX129" s="253" t="s">
        <v>978</v>
      </c>
      <c r="AY129" s="253" t="s">
        <v>978</v>
      </c>
      <c r="AZ129" s="253" t="s">
        <v>978</v>
      </c>
      <c r="BA129" s="253" t="s">
        <v>978</v>
      </c>
      <c r="BB129" s="253" t="s">
        <v>978</v>
      </c>
      <c r="BC129" s="254" t="s">
        <v>870</v>
      </c>
      <c r="BD129" s="254" t="s">
        <v>870</v>
      </c>
      <c r="BE129" s="254" t="s">
        <v>868</v>
      </c>
      <c r="BF129" s="254" t="s">
        <v>868</v>
      </c>
      <c r="BG129" s="254" t="s">
        <v>868</v>
      </c>
      <c r="BH129" s="254" t="s">
        <v>868</v>
      </c>
      <c r="BI129" s="254" t="s">
        <v>868</v>
      </c>
      <c r="BJ129" s="254" t="s">
        <v>870</v>
      </c>
      <c r="BK129" s="254" t="s">
        <v>868</v>
      </c>
      <c r="BL129" s="320" t="s">
        <v>870</v>
      </c>
      <c r="BM129" s="320" t="s">
        <v>868</v>
      </c>
      <c r="BN129" s="320" t="s">
        <v>868</v>
      </c>
      <c r="BO129" s="320" t="s">
        <v>868</v>
      </c>
      <c r="BP129" s="254" t="s">
        <v>870</v>
      </c>
    </row>
    <row r="130" spans="1:68" ht="30">
      <c r="A130" s="196" t="s">
        <v>1036</v>
      </c>
      <c r="B130" s="196" t="s">
        <v>864</v>
      </c>
      <c r="C130" s="196" t="s">
        <v>1064</v>
      </c>
      <c r="D130" s="196" t="s">
        <v>1125</v>
      </c>
      <c r="E130" s="196"/>
      <c r="F130" s="198" t="s">
        <v>1126</v>
      </c>
      <c r="G130" s="282">
        <f>VLOOKUP(D130,'2025 NPI'!D:L,3,0)</f>
        <v>45589</v>
      </c>
      <c r="H130" s="282">
        <f>VLOOKUP(D130,'2025 NPI'!D:L,4,0)</f>
        <v>45702</v>
      </c>
      <c r="I130" s="235"/>
      <c r="K130" s="254" t="s">
        <v>870</v>
      </c>
      <c r="L130" s="253" t="s">
        <v>868</v>
      </c>
      <c r="M130" s="253" t="s">
        <v>868</v>
      </c>
      <c r="N130" s="253" t="s">
        <v>868</v>
      </c>
      <c r="O130" s="253" t="s">
        <v>868</v>
      </c>
      <c r="P130" s="253" t="s">
        <v>868</v>
      </c>
      <c r="Q130" s="253" t="s">
        <v>868</v>
      </c>
      <c r="R130" s="253" t="s">
        <v>868</v>
      </c>
      <c r="S130" s="253" t="s">
        <v>978</v>
      </c>
      <c r="T130" s="253" t="s">
        <v>978</v>
      </c>
      <c r="U130" s="253" t="s">
        <v>978</v>
      </c>
      <c r="V130" s="253" t="s">
        <v>978</v>
      </c>
      <c r="W130" s="253" t="s">
        <v>978</v>
      </c>
      <c r="X130" s="253" t="s">
        <v>870</v>
      </c>
      <c r="Y130" s="253" t="s">
        <v>868</v>
      </c>
      <c r="Z130" s="253" t="s">
        <v>870</v>
      </c>
      <c r="AA130" s="253" t="s">
        <v>868</v>
      </c>
      <c r="AB130" s="254" t="s">
        <v>870</v>
      </c>
      <c r="AC130" s="254" t="s">
        <v>870</v>
      </c>
      <c r="AD130" s="254" t="s">
        <v>870</v>
      </c>
      <c r="AE130" s="254" t="s">
        <v>870</v>
      </c>
      <c r="AF130" s="254" t="s">
        <v>870</v>
      </c>
      <c r="AG130" s="254" t="s">
        <v>870</v>
      </c>
      <c r="AH130" s="254" t="s">
        <v>870</v>
      </c>
      <c r="AI130" s="253" t="s">
        <v>868</v>
      </c>
      <c r="AJ130" s="253" t="s">
        <v>978</v>
      </c>
      <c r="AK130" s="253" t="s">
        <v>978</v>
      </c>
      <c r="AL130" s="253" t="s">
        <v>978</v>
      </c>
      <c r="AM130" s="253" t="s">
        <v>978</v>
      </c>
      <c r="AN130" s="253" t="s">
        <v>978</v>
      </c>
      <c r="AO130" s="253" t="s">
        <v>978</v>
      </c>
      <c r="AP130" s="253" t="s">
        <v>978</v>
      </c>
      <c r="AQ130" s="253" t="s">
        <v>978</v>
      </c>
      <c r="AR130" s="253" t="s">
        <v>978</v>
      </c>
      <c r="AS130" s="253" t="s">
        <v>978</v>
      </c>
      <c r="AT130" s="253" t="s">
        <v>978</v>
      </c>
      <c r="AU130" s="253" t="s">
        <v>978</v>
      </c>
      <c r="AV130" s="253" t="s">
        <v>978</v>
      </c>
      <c r="AW130" s="253" t="s">
        <v>978</v>
      </c>
      <c r="AX130" s="253" t="s">
        <v>978</v>
      </c>
      <c r="AY130" s="253" t="s">
        <v>978</v>
      </c>
      <c r="AZ130" s="253" t="s">
        <v>978</v>
      </c>
      <c r="BA130" s="253" t="s">
        <v>978</v>
      </c>
      <c r="BB130" s="253" t="s">
        <v>978</v>
      </c>
      <c r="BC130" s="254" t="s">
        <v>870</v>
      </c>
      <c r="BD130" s="254" t="s">
        <v>870</v>
      </c>
      <c r="BE130" s="254" t="s">
        <v>868</v>
      </c>
      <c r="BF130" s="254" t="s">
        <v>868</v>
      </c>
      <c r="BG130" s="254" t="s">
        <v>868</v>
      </c>
      <c r="BH130" s="254" t="s">
        <v>868</v>
      </c>
      <c r="BI130" s="254" t="s">
        <v>868</v>
      </c>
      <c r="BJ130" s="254" t="s">
        <v>870</v>
      </c>
      <c r="BK130" s="254" t="s">
        <v>868</v>
      </c>
      <c r="BL130" s="320" t="s">
        <v>870</v>
      </c>
      <c r="BM130" s="320" t="s">
        <v>868</v>
      </c>
      <c r="BN130" s="320" t="s">
        <v>868</v>
      </c>
      <c r="BO130" s="320" t="s">
        <v>868</v>
      </c>
      <c r="BP130" s="254" t="s">
        <v>870</v>
      </c>
    </row>
    <row r="131" spans="1:68" ht="30">
      <c r="A131" s="196" t="s">
        <v>1036</v>
      </c>
      <c r="B131" s="196" t="s">
        <v>864</v>
      </c>
      <c r="C131" s="196" t="s">
        <v>1064</v>
      </c>
      <c r="D131" s="196" t="s">
        <v>1127</v>
      </c>
      <c r="E131" s="196"/>
      <c r="F131" s="198" t="s">
        <v>1128</v>
      </c>
      <c r="G131" s="282">
        <f>VLOOKUP(D131,'2025 NPI'!D:L,3,0)</f>
        <v>45589</v>
      </c>
      <c r="H131" s="282">
        <f>VLOOKUP(D131,'2025 NPI'!D:L,4,0)</f>
        <v>45702</v>
      </c>
      <c r="I131" s="235"/>
      <c r="K131" s="254" t="s">
        <v>870</v>
      </c>
      <c r="L131" s="253" t="s">
        <v>868</v>
      </c>
      <c r="M131" s="253" t="s">
        <v>868</v>
      </c>
      <c r="N131" s="253" t="s">
        <v>868</v>
      </c>
      <c r="O131" s="253" t="s">
        <v>868</v>
      </c>
      <c r="P131" s="253" t="s">
        <v>868</v>
      </c>
      <c r="Q131" s="253" t="s">
        <v>868</v>
      </c>
      <c r="R131" s="253" t="s">
        <v>868</v>
      </c>
      <c r="S131" s="253" t="s">
        <v>978</v>
      </c>
      <c r="T131" s="253" t="s">
        <v>978</v>
      </c>
      <c r="U131" s="253" t="s">
        <v>978</v>
      </c>
      <c r="V131" s="253" t="s">
        <v>978</v>
      </c>
      <c r="W131" s="253" t="s">
        <v>978</v>
      </c>
      <c r="X131" s="253" t="s">
        <v>870</v>
      </c>
      <c r="Y131" s="253" t="s">
        <v>868</v>
      </c>
      <c r="Z131" s="253" t="s">
        <v>870</v>
      </c>
      <c r="AA131" s="253" t="s">
        <v>868</v>
      </c>
      <c r="AB131" s="254" t="s">
        <v>870</v>
      </c>
      <c r="AC131" s="254" t="s">
        <v>870</v>
      </c>
      <c r="AD131" s="254" t="s">
        <v>870</v>
      </c>
      <c r="AE131" s="254" t="s">
        <v>870</v>
      </c>
      <c r="AF131" s="254" t="s">
        <v>870</v>
      </c>
      <c r="AG131" s="254" t="s">
        <v>870</v>
      </c>
      <c r="AH131" s="254" t="s">
        <v>870</v>
      </c>
      <c r="AI131" s="253" t="s">
        <v>868</v>
      </c>
      <c r="AJ131" s="253" t="s">
        <v>978</v>
      </c>
      <c r="AK131" s="253" t="s">
        <v>978</v>
      </c>
      <c r="AL131" s="253" t="s">
        <v>978</v>
      </c>
      <c r="AM131" s="253" t="s">
        <v>978</v>
      </c>
      <c r="AN131" s="253" t="s">
        <v>978</v>
      </c>
      <c r="AO131" s="253" t="s">
        <v>978</v>
      </c>
      <c r="AP131" s="253" t="s">
        <v>978</v>
      </c>
      <c r="AQ131" s="253" t="s">
        <v>978</v>
      </c>
      <c r="AR131" s="253" t="s">
        <v>978</v>
      </c>
      <c r="AS131" s="253" t="s">
        <v>978</v>
      </c>
      <c r="AT131" s="253" t="s">
        <v>978</v>
      </c>
      <c r="AU131" s="253" t="s">
        <v>978</v>
      </c>
      <c r="AV131" s="253" t="s">
        <v>978</v>
      </c>
      <c r="AW131" s="253" t="s">
        <v>978</v>
      </c>
      <c r="AX131" s="253" t="s">
        <v>978</v>
      </c>
      <c r="AY131" s="253" t="s">
        <v>978</v>
      </c>
      <c r="AZ131" s="253" t="s">
        <v>978</v>
      </c>
      <c r="BA131" s="253" t="s">
        <v>978</v>
      </c>
      <c r="BB131" s="253" t="s">
        <v>978</v>
      </c>
      <c r="BC131" s="254" t="s">
        <v>870</v>
      </c>
      <c r="BD131" s="254" t="s">
        <v>870</v>
      </c>
      <c r="BE131" s="254" t="s">
        <v>868</v>
      </c>
      <c r="BF131" s="254" t="s">
        <v>868</v>
      </c>
      <c r="BG131" s="254" t="s">
        <v>868</v>
      </c>
      <c r="BH131" s="254" t="s">
        <v>868</v>
      </c>
      <c r="BI131" s="254" t="s">
        <v>868</v>
      </c>
      <c r="BJ131" s="254" t="s">
        <v>870</v>
      </c>
      <c r="BK131" s="254" t="s">
        <v>868</v>
      </c>
      <c r="BL131" s="320" t="s">
        <v>870</v>
      </c>
      <c r="BM131" s="320" t="s">
        <v>868</v>
      </c>
      <c r="BN131" s="320" t="s">
        <v>868</v>
      </c>
      <c r="BO131" s="320" t="s">
        <v>868</v>
      </c>
      <c r="BP131" s="254" t="s">
        <v>870</v>
      </c>
    </row>
    <row r="132" spans="1:68" ht="30">
      <c r="A132" s="196" t="s">
        <v>1036</v>
      </c>
      <c r="B132" s="196" t="s">
        <v>864</v>
      </c>
      <c r="C132" s="196" t="s">
        <v>1064</v>
      </c>
      <c r="D132" s="196" t="s">
        <v>1129</v>
      </c>
      <c r="E132" s="196"/>
      <c r="F132" s="198" t="s">
        <v>1130</v>
      </c>
      <c r="G132" s="282">
        <f>VLOOKUP(D132,'2025 NPI'!D:L,3,0)</f>
        <v>45589</v>
      </c>
      <c r="H132" s="282">
        <f>VLOOKUP(D132,'2025 NPI'!D:L,4,0)</f>
        <v>45702</v>
      </c>
      <c r="I132" s="235"/>
      <c r="K132" s="254" t="s">
        <v>870</v>
      </c>
      <c r="L132" s="253" t="s">
        <v>868</v>
      </c>
      <c r="M132" s="253" t="s">
        <v>868</v>
      </c>
      <c r="N132" s="253" t="s">
        <v>868</v>
      </c>
      <c r="O132" s="253" t="s">
        <v>868</v>
      </c>
      <c r="P132" s="253" t="s">
        <v>868</v>
      </c>
      <c r="Q132" s="253" t="s">
        <v>868</v>
      </c>
      <c r="R132" s="253" t="s">
        <v>868</v>
      </c>
      <c r="S132" s="253" t="s">
        <v>978</v>
      </c>
      <c r="T132" s="253" t="s">
        <v>978</v>
      </c>
      <c r="U132" s="253" t="s">
        <v>978</v>
      </c>
      <c r="V132" s="253" t="s">
        <v>978</v>
      </c>
      <c r="W132" s="253" t="s">
        <v>978</v>
      </c>
      <c r="X132" s="253" t="s">
        <v>870</v>
      </c>
      <c r="Y132" s="253" t="s">
        <v>868</v>
      </c>
      <c r="Z132" s="253" t="s">
        <v>870</v>
      </c>
      <c r="AA132" s="253" t="s">
        <v>868</v>
      </c>
      <c r="AB132" s="254" t="s">
        <v>870</v>
      </c>
      <c r="AC132" s="254" t="s">
        <v>870</v>
      </c>
      <c r="AD132" s="254" t="s">
        <v>870</v>
      </c>
      <c r="AE132" s="254" t="s">
        <v>870</v>
      </c>
      <c r="AF132" s="254" t="s">
        <v>870</v>
      </c>
      <c r="AG132" s="254" t="s">
        <v>870</v>
      </c>
      <c r="AH132" s="254" t="s">
        <v>870</v>
      </c>
      <c r="AI132" s="253" t="s">
        <v>868</v>
      </c>
      <c r="AJ132" s="253" t="s">
        <v>978</v>
      </c>
      <c r="AK132" s="253" t="s">
        <v>978</v>
      </c>
      <c r="AL132" s="253" t="s">
        <v>978</v>
      </c>
      <c r="AM132" s="253" t="s">
        <v>978</v>
      </c>
      <c r="AN132" s="253" t="s">
        <v>978</v>
      </c>
      <c r="AO132" s="253" t="s">
        <v>978</v>
      </c>
      <c r="AP132" s="253" t="s">
        <v>978</v>
      </c>
      <c r="AQ132" s="253" t="s">
        <v>978</v>
      </c>
      <c r="AR132" s="253" t="s">
        <v>978</v>
      </c>
      <c r="AS132" s="253" t="s">
        <v>978</v>
      </c>
      <c r="AT132" s="253" t="s">
        <v>978</v>
      </c>
      <c r="AU132" s="253" t="s">
        <v>978</v>
      </c>
      <c r="AV132" s="253" t="s">
        <v>978</v>
      </c>
      <c r="AW132" s="253" t="s">
        <v>978</v>
      </c>
      <c r="AX132" s="253" t="s">
        <v>978</v>
      </c>
      <c r="AY132" s="253" t="s">
        <v>978</v>
      </c>
      <c r="AZ132" s="253" t="s">
        <v>978</v>
      </c>
      <c r="BA132" s="253" t="s">
        <v>978</v>
      </c>
      <c r="BB132" s="253" t="s">
        <v>978</v>
      </c>
      <c r="BC132" s="254" t="s">
        <v>870</v>
      </c>
      <c r="BD132" s="254" t="s">
        <v>870</v>
      </c>
      <c r="BE132" s="254" t="s">
        <v>868</v>
      </c>
      <c r="BF132" s="254" t="s">
        <v>868</v>
      </c>
      <c r="BG132" s="254" t="s">
        <v>868</v>
      </c>
      <c r="BH132" s="254" t="s">
        <v>868</v>
      </c>
      <c r="BI132" s="254" t="s">
        <v>868</v>
      </c>
      <c r="BJ132" s="254" t="s">
        <v>870</v>
      </c>
      <c r="BK132" s="254" t="s">
        <v>868</v>
      </c>
      <c r="BL132" s="320" t="s">
        <v>870</v>
      </c>
      <c r="BM132" s="320" t="s">
        <v>868</v>
      </c>
      <c r="BN132" s="320" t="s">
        <v>868</v>
      </c>
      <c r="BO132" s="320" t="s">
        <v>868</v>
      </c>
      <c r="BP132" s="254" t="s">
        <v>870</v>
      </c>
    </row>
    <row r="133" spans="1:68" ht="30">
      <c r="A133" s="196" t="s">
        <v>1036</v>
      </c>
      <c r="B133" s="196" t="s">
        <v>864</v>
      </c>
      <c r="C133" s="196" t="s">
        <v>1064</v>
      </c>
      <c r="D133" s="196" t="s">
        <v>1131</v>
      </c>
      <c r="E133" s="196"/>
      <c r="F133" s="198" t="s">
        <v>1132</v>
      </c>
      <c r="G133" s="282">
        <f>VLOOKUP(D133,'2025 NPI'!D:L,3,0)</f>
        <v>45589</v>
      </c>
      <c r="H133" s="282">
        <f>VLOOKUP(D133,'2025 NPI'!D:L,4,0)</f>
        <v>45702</v>
      </c>
      <c r="I133" s="235"/>
      <c r="K133" s="254" t="s">
        <v>870</v>
      </c>
      <c r="L133" s="253" t="s">
        <v>868</v>
      </c>
      <c r="M133" s="253" t="s">
        <v>868</v>
      </c>
      <c r="N133" s="253" t="s">
        <v>868</v>
      </c>
      <c r="O133" s="253" t="s">
        <v>868</v>
      </c>
      <c r="P133" s="253" t="s">
        <v>868</v>
      </c>
      <c r="Q133" s="253" t="s">
        <v>868</v>
      </c>
      <c r="R133" s="253" t="s">
        <v>868</v>
      </c>
      <c r="S133" s="253" t="s">
        <v>978</v>
      </c>
      <c r="T133" s="253" t="s">
        <v>978</v>
      </c>
      <c r="U133" s="253" t="s">
        <v>978</v>
      </c>
      <c r="V133" s="253" t="s">
        <v>978</v>
      </c>
      <c r="W133" s="253" t="s">
        <v>978</v>
      </c>
      <c r="X133" s="253" t="s">
        <v>870</v>
      </c>
      <c r="Y133" s="253" t="s">
        <v>868</v>
      </c>
      <c r="Z133" s="253" t="s">
        <v>870</v>
      </c>
      <c r="AA133" s="253" t="s">
        <v>868</v>
      </c>
      <c r="AB133" s="254" t="s">
        <v>870</v>
      </c>
      <c r="AC133" s="254" t="s">
        <v>870</v>
      </c>
      <c r="AD133" s="254" t="s">
        <v>870</v>
      </c>
      <c r="AE133" s="254" t="s">
        <v>870</v>
      </c>
      <c r="AF133" s="254" t="s">
        <v>870</v>
      </c>
      <c r="AG133" s="254" t="s">
        <v>870</v>
      </c>
      <c r="AH133" s="254" t="s">
        <v>870</v>
      </c>
      <c r="AI133" s="253" t="s">
        <v>868</v>
      </c>
      <c r="AJ133" s="253" t="s">
        <v>978</v>
      </c>
      <c r="AK133" s="253" t="s">
        <v>978</v>
      </c>
      <c r="AL133" s="253" t="s">
        <v>978</v>
      </c>
      <c r="AM133" s="253" t="s">
        <v>978</v>
      </c>
      <c r="AN133" s="253" t="s">
        <v>978</v>
      </c>
      <c r="AO133" s="253" t="s">
        <v>978</v>
      </c>
      <c r="AP133" s="253" t="s">
        <v>978</v>
      </c>
      <c r="AQ133" s="253" t="s">
        <v>978</v>
      </c>
      <c r="AR133" s="253" t="s">
        <v>978</v>
      </c>
      <c r="AS133" s="253" t="s">
        <v>978</v>
      </c>
      <c r="AT133" s="253" t="s">
        <v>978</v>
      </c>
      <c r="AU133" s="253" t="s">
        <v>978</v>
      </c>
      <c r="AV133" s="253" t="s">
        <v>978</v>
      </c>
      <c r="AW133" s="253" t="s">
        <v>978</v>
      </c>
      <c r="AX133" s="253" t="s">
        <v>978</v>
      </c>
      <c r="AY133" s="253" t="s">
        <v>978</v>
      </c>
      <c r="AZ133" s="253" t="s">
        <v>978</v>
      </c>
      <c r="BA133" s="253" t="s">
        <v>978</v>
      </c>
      <c r="BB133" s="253" t="s">
        <v>978</v>
      </c>
      <c r="BC133" s="254" t="s">
        <v>870</v>
      </c>
      <c r="BD133" s="254" t="s">
        <v>870</v>
      </c>
      <c r="BE133" s="254" t="s">
        <v>868</v>
      </c>
      <c r="BF133" s="254" t="s">
        <v>868</v>
      </c>
      <c r="BG133" s="254" t="s">
        <v>868</v>
      </c>
      <c r="BH133" s="254" t="s">
        <v>868</v>
      </c>
      <c r="BI133" s="254" t="s">
        <v>868</v>
      </c>
      <c r="BJ133" s="254" t="s">
        <v>870</v>
      </c>
      <c r="BK133" s="254" t="s">
        <v>868</v>
      </c>
      <c r="BL133" s="320" t="s">
        <v>870</v>
      </c>
      <c r="BM133" s="320" t="s">
        <v>868</v>
      </c>
      <c r="BN133" s="320" t="s">
        <v>868</v>
      </c>
      <c r="BO133" s="320" t="s">
        <v>868</v>
      </c>
      <c r="BP133" s="254" t="s">
        <v>870</v>
      </c>
    </row>
    <row r="134" spans="1:68" ht="45">
      <c r="A134" s="196" t="s">
        <v>1036</v>
      </c>
      <c r="B134" s="196" t="s">
        <v>864</v>
      </c>
      <c r="C134" s="196" t="s">
        <v>1064</v>
      </c>
      <c r="D134" s="196" t="s">
        <v>1133</v>
      </c>
      <c r="E134" s="196"/>
      <c r="F134" s="198" t="s">
        <v>1134</v>
      </c>
      <c r="G134" s="282">
        <f>VLOOKUP(D134,'2025 NPI'!D:L,3,0)</f>
        <v>45589</v>
      </c>
      <c r="H134" s="282">
        <f>VLOOKUP(D134,'2025 NPI'!D:L,4,0)</f>
        <v>45702</v>
      </c>
      <c r="I134" s="235"/>
      <c r="K134" s="253" t="s">
        <v>868</v>
      </c>
      <c r="L134" s="253" t="s">
        <v>868</v>
      </c>
      <c r="M134" s="253" t="s">
        <v>868</v>
      </c>
      <c r="N134" s="253" t="s">
        <v>868</v>
      </c>
      <c r="O134" s="253" t="s">
        <v>868</v>
      </c>
      <c r="P134" s="253" t="s">
        <v>868</v>
      </c>
      <c r="Q134" s="253" t="s">
        <v>868</v>
      </c>
      <c r="R134" s="253" t="s">
        <v>868</v>
      </c>
      <c r="S134" s="253" t="s">
        <v>978</v>
      </c>
      <c r="T134" s="253" t="s">
        <v>978</v>
      </c>
      <c r="U134" s="253" t="s">
        <v>978</v>
      </c>
      <c r="V134" s="253" t="s">
        <v>978</v>
      </c>
      <c r="W134" s="253" t="s">
        <v>978</v>
      </c>
      <c r="X134" s="253" t="s">
        <v>870</v>
      </c>
      <c r="Y134" s="253" t="s">
        <v>868</v>
      </c>
      <c r="Z134" s="253" t="s">
        <v>870</v>
      </c>
      <c r="AA134" s="253" t="s">
        <v>868</v>
      </c>
      <c r="AB134" s="254" t="s">
        <v>870</v>
      </c>
      <c r="AC134" s="254" t="s">
        <v>870</v>
      </c>
      <c r="AD134" s="254" t="s">
        <v>870</v>
      </c>
      <c r="AE134" s="254" t="s">
        <v>870</v>
      </c>
      <c r="AF134" s="254" t="s">
        <v>870</v>
      </c>
      <c r="AG134" s="254" t="s">
        <v>870</v>
      </c>
      <c r="AH134" s="254" t="s">
        <v>870</v>
      </c>
      <c r="AI134" s="253" t="s">
        <v>868</v>
      </c>
      <c r="AJ134" s="253" t="s">
        <v>978</v>
      </c>
      <c r="AK134" s="253" t="s">
        <v>978</v>
      </c>
      <c r="AL134" s="253" t="s">
        <v>978</v>
      </c>
      <c r="AM134" s="253" t="s">
        <v>978</v>
      </c>
      <c r="AN134" s="253" t="s">
        <v>978</v>
      </c>
      <c r="AO134" s="253" t="s">
        <v>978</v>
      </c>
      <c r="AP134" s="253" t="s">
        <v>978</v>
      </c>
      <c r="AQ134" s="253" t="s">
        <v>978</v>
      </c>
      <c r="AR134" s="253" t="s">
        <v>978</v>
      </c>
      <c r="AS134" s="253" t="s">
        <v>978</v>
      </c>
      <c r="AT134" s="253" t="s">
        <v>978</v>
      </c>
      <c r="AU134" s="253" t="s">
        <v>978</v>
      </c>
      <c r="AV134" s="253" t="s">
        <v>978</v>
      </c>
      <c r="AW134" s="253" t="s">
        <v>978</v>
      </c>
      <c r="AX134" s="253" t="s">
        <v>978</v>
      </c>
      <c r="AY134" s="253" t="s">
        <v>978</v>
      </c>
      <c r="AZ134" s="253" t="s">
        <v>978</v>
      </c>
      <c r="BA134" s="253" t="s">
        <v>978</v>
      </c>
      <c r="BB134" s="253" t="s">
        <v>978</v>
      </c>
      <c r="BC134" s="254" t="s">
        <v>870</v>
      </c>
      <c r="BD134" s="254" t="s">
        <v>870</v>
      </c>
      <c r="BE134" s="254" t="s">
        <v>868</v>
      </c>
      <c r="BF134" s="254" t="s">
        <v>868</v>
      </c>
      <c r="BG134" s="254" t="s">
        <v>868</v>
      </c>
      <c r="BH134" s="254" t="s">
        <v>868</v>
      </c>
      <c r="BI134" s="254" t="s">
        <v>868</v>
      </c>
      <c r="BJ134" s="254" t="s">
        <v>870</v>
      </c>
      <c r="BK134" s="254" t="s">
        <v>868</v>
      </c>
      <c r="BL134" s="320" t="s">
        <v>870</v>
      </c>
      <c r="BM134" s="320" t="s">
        <v>868</v>
      </c>
      <c r="BN134" s="320" t="s">
        <v>868</v>
      </c>
      <c r="BO134" s="320" t="s">
        <v>868</v>
      </c>
      <c r="BP134" s="254" t="s">
        <v>870</v>
      </c>
    </row>
    <row r="135" spans="1:68" ht="30">
      <c r="A135" s="196" t="s">
        <v>1036</v>
      </c>
      <c r="B135" s="196" t="s">
        <v>864</v>
      </c>
      <c r="C135" s="196" t="s">
        <v>1064</v>
      </c>
      <c r="D135" s="196" t="s">
        <v>1135</v>
      </c>
      <c r="E135" s="196"/>
      <c r="F135" s="198" t="s">
        <v>1136</v>
      </c>
      <c r="G135" s="282">
        <f>VLOOKUP(D135,'2025 NPI'!D:L,3,0)</f>
        <v>45589</v>
      </c>
      <c r="H135" s="282">
        <f>VLOOKUP(D135,'2025 NPI'!D:L,4,0)</f>
        <v>45695</v>
      </c>
      <c r="I135" s="235"/>
      <c r="K135" s="254" t="s">
        <v>870</v>
      </c>
      <c r="L135" s="253" t="s">
        <v>868</v>
      </c>
      <c r="M135" s="253" t="s">
        <v>868</v>
      </c>
      <c r="N135" s="253" t="s">
        <v>868</v>
      </c>
      <c r="O135" s="253" t="s">
        <v>868</v>
      </c>
      <c r="P135" s="253" t="s">
        <v>868</v>
      </c>
      <c r="Q135" s="253" t="s">
        <v>868</v>
      </c>
      <c r="R135" s="253" t="s">
        <v>868</v>
      </c>
      <c r="S135" s="253" t="s">
        <v>978</v>
      </c>
      <c r="T135" s="253" t="s">
        <v>978</v>
      </c>
      <c r="U135" s="253" t="s">
        <v>978</v>
      </c>
      <c r="V135" s="253" t="s">
        <v>978</v>
      </c>
      <c r="W135" s="253" t="s">
        <v>978</v>
      </c>
      <c r="X135" s="253" t="s">
        <v>870</v>
      </c>
      <c r="Y135" s="253" t="s">
        <v>868</v>
      </c>
      <c r="Z135" s="253" t="s">
        <v>870</v>
      </c>
      <c r="AA135" s="253" t="s">
        <v>868</v>
      </c>
      <c r="AB135" s="254" t="s">
        <v>870</v>
      </c>
      <c r="AC135" s="254" t="s">
        <v>870</v>
      </c>
      <c r="AD135" s="254" t="s">
        <v>870</v>
      </c>
      <c r="AE135" s="254" t="s">
        <v>870</v>
      </c>
      <c r="AF135" s="254" t="s">
        <v>870</v>
      </c>
      <c r="AG135" s="254" t="s">
        <v>870</v>
      </c>
      <c r="AH135" s="254" t="s">
        <v>870</v>
      </c>
      <c r="AI135" s="253" t="s">
        <v>868</v>
      </c>
      <c r="AJ135" s="253" t="s">
        <v>978</v>
      </c>
      <c r="AK135" s="253" t="s">
        <v>978</v>
      </c>
      <c r="AL135" s="253" t="s">
        <v>978</v>
      </c>
      <c r="AM135" s="253" t="s">
        <v>978</v>
      </c>
      <c r="AN135" s="253" t="s">
        <v>978</v>
      </c>
      <c r="AO135" s="253" t="s">
        <v>978</v>
      </c>
      <c r="AP135" s="253" t="s">
        <v>978</v>
      </c>
      <c r="AQ135" s="253" t="s">
        <v>978</v>
      </c>
      <c r="AR135" s="253" t="s">
        <v>978</v>
      </c>
      <c r="AS135" s="253" t="s">
        <v>978</v>
      </c>
      <c r="AT135" s="253" t="s">
        <v>978</v>
      </c>
      <c r="AU135" s="253" t="s">
        <v>978</v>
      </c>
      <c r="AV135" s="253" t="s">
        <v>978</v>
      </c>
      <c r="AW135" s="253" t="s">
        <v>978</v>
      </c>
      <c r="AX135" s="253" t="s">
        <v>978</v>
      </c>
      <c r="AY135" s="253" t="s">
        <v>978</v>
      </c>
      <c r="AZ135" s="253" t="s">
        <v>978</v>
      </c>
      <c r="BA135" s="253" t="s">
        <v>978</v>
      </c>
      <c r="BB135" s="253" t="s">
        <v>978</v>
      </c>
      <c r="BC135" s="254" t="s">
        <v>870</v>
      </c>
      <c r="BD135" s="254" t="s">
        <v>870</v>
      </c>
      <c r="BE135" s="254" t="s">
        <v>868</v>
      </c>
      <c r="BF135" s="254" t="s">
        <v>868</v>
      </c>
      <c r="BG135" s="254" t="s">
        <v>868</v>
      </c>
      <c r="BH135" s="254" t="s">
        <v>868</v>
      </c>
      <c r="BI135" s="254" t="s">
        <v>868</v>
      </c>
      <c r="BJ135" s="254" t="s">
        <v>870</v>
      </c>
      <c r="BK135" s="254" t="s">
        <v>868</v>
      </c>
      <c r="BL135" s="320" t="s">
        <v>870</v>
      </c>
      <c r="BM135" s="320" t="s">
        <v>868</v>
      </c>
      <c r="BN135" s="320" t="s">
        <v>868</v>
      </c>
      <c r="BO135" s="320" t="s">
        <v>868</v>
      </c>
      <c r="BP135" s="254" t="s">
        <v>870</v>
      </c>
    </row>
    <row r="136" spans="1:68" ht="30">
      <c r="A136" s="196" t="s">
        <v>1036</v>
      </c>
      <c r="B136" s="196" t="s">
        <v>899</v>
      </c>
      <c r="C136" s="196" t="s">
        <v>1064</v>
      </c>
      <c r="D136" s="196" t="s">
        <v>1137</v>
      </c>
      <c r="E136" s="196"/>
      <c r="F136" s="198" t="s">
        <v>1138</v>
      </c>
      <c r="G136" s="282">
        <f>VLOOKUP(D136,'2025 NPI'!D:L,3,0)</f>
        <v>45608</v>
      </c>
      <c r="H136" s="282">
        <f>VLOOKUP(D136,'2025 NPI'!D:L,4,0)</f>
        <v>45730</v>
      </c>
      <c r="I136" s="235"/>
      <c r="K136" s="254" t="s">
        <v>870</v>
      </c>
      <c r="L136" s="253" t="s">
        <v>868</v>
      </c>
      <c r="M136" s="253" t="s">
        <v>868</v>
      </c>
      <c r="N136" s="253" t="s">
        <v>868</v>
      </c>
      <c r="O136" s="253" t="s">
        <v>868</v>
      </c>
      <c r="P136" s="253" t="s">
        <v>868</v>
      </c>
      <c r="Q136" s="253" t="s">
        <v>868</v>
      </c>
      <c r="R136" s="253" t="s">
        <v>868</v>
      </c>
      <c r="S136" s="253" t="s">
        <v>978</v>
      </c>
      <c r="T136" s="253" t="s">
        <v>978</v>
      </c>
      <c r="U136" s="253" t="s">
        <v>978</v>
      </c>
      <c r="V136" s="253" t="s">
        <v>978</v>
      </c>
      <c r="W136" s="253" t="s">
        <v>978</v>
      </c>
      <c r="X136" s="253" t="s">
        <v>870</v>
      </c>
      <c r="Y136" s="253" t="s">
        <v>868</v>
      </c>
      <c r="Z136" s="253" t="s">
        <v>870</v>
      </c>
      <c r="AA136" s="253" t="s">
        <v>868</v>
      </c>
      <c r="AB136" s="254" t="s">
        <v>870</v>
      </c>
      <c r="AC136" s="254" t="s">
        <v>870</v>
      </c>
      <c r="AD136" s="254" t="s">
        <v>870</v>
      </c>
      <c r="AE136" s="254" t="s">
        <v>870</v>
      </c>
      <c r="AF136" s="254" t="s">
        <v>870</v>
      </c>
      <c r="AG136" s="254" t="s">
        <v>870</v>
      </c>
      <c r="AH136" s="254" t="s">
        <v>870</v>
      </c>
      <c r="AI136" s="254" t="s">
        <v>1040</v>
      </c>
      <c r="AJ136" s="253" t="s">
        <v>978</v>
      </c>
      <c r="AK136" s="253" t="s">
        <v>978</v>
      </c>
      <c r="AL136" s="253" t="s">
        <v>978</v>
      </c>
      <c r="AM136" s="253" t="s">
        <v>978</v>
      </c>
      <c r="AN136" s="253" t="s">
        <v>978</v>
      </c>
      <c r="AO136" s="253" t="s">
        <v>978</v>
      </c>
      <c r="AP136" s="253" t="s">
        <v>978</v>
      </c>
      <c r="AQ136" s="253" t="s">
        <v>978</v>
      </c>
      <c r="AR136" s="253" t="s">
        <v>978</v>
      </c>
      <c r="AS136" s="253" t="s">
        <v>978</v>
      </c>
      <c r="AT136" s="253" t="s">
        <v>978</v>
      </c>
      <c r="AU136" s="253" t="s">
        <v>978</v>
      </c>
      <c r="AV136" s="253" t="s">
        <v>978</v>
      </c>
      <c r="AW136" s="253" t="s">
        <v>978</v>
      </c>
      <c r="AX136" s="253" t="s">
        <v>978</v>
      </c>
      <c r="AY136" s="253" t="s">
        <v>978</v>
      </c>
      <c r="AZ136" s="253" t="s">
        <v>978</v>
      </c>
      <c r="BA136" s="253" t="s">
        <v>978</v>
      </c>
      <c r="BB136" s="253" t="s">
        <v>978</v>
      </c>
      <c r="BC136" s="254" t="s">
        <v>870</v>
      </c>
      <c r="BD136" s="254" t="s">
        <v>870</v>
      </c>
      <c r="BE136" s="254" t="s">
        <v>868</v>
      </c>
      <c r="BF136" s="254" t="s">
        <v>868</v>
      </c>
      <c r="BG136" s="255" t="s">
        <v>978</v>
      </c>
      <c r="BH136" s="255" t="s">
        <v>978</v>
      </c>
      <c r="BI136" s="254" t="s">
        <v>868</v>
      </c>
      <c r="BJ136" s="254" t="s">
        <v>870</v>
      </c>
      <c r="BK136" s="254" t="s">
        <v>1040</v>
      </c>
      <c r="BL136" s="320" t="s">
        <v>870</v>
      </c>
      <c r="BM136" s="320" t="s">
        <v>868</v>
      </c>
      <c r="BN136" s="320" t="s">
        <v>868</v>
      </c>
      <c r="BO136" s="254" t="s">
        <v>870</v>
      </c>
      <c r="BP136" s="254" t="s">
        <v>870</v>
      </c>
    </row>
    <row r="137" spans="1:68" ht="30">
      <c r="A137" s="196" t="s">
        <v>1036</v>
      </c>
      <c r="B137" s="196" t="s">
        <v>864</v>
      </c>
      <c r="C137" s="196" t="s">
        <v>1064</v>
      </c>
      <c r="D137" s="196" t="s">
        <v>1139</v>
      </c>
      <c r="E137" s="116"/>
      <c r="F137" s="70" t="s">
        <v>1140</v>
      </c>
      <c r="G137" s="282">
        <f>VLOOKUP(D137,'2025 NPI'!D:L,3,0)</f>
        <v>45589</v>
      </c>
      <c r="H137" s="282">
        <f>VLOOKUP(D137,'2025 NPI'!D:L,4,0)</f>
        <v>45702</v>
      </c>
      <c r="I137" s="235"/>
      <c r="K137" s="253" t="s">
        <v>868</v>
      </c>
      <c r="L137" s="253" t="s">
        <v>868</v>
      </c>
      <c r="M137" s="253" t="s">
        <v>868</v>
      </c>
      <c r="N137" s="253" t="s">
        <v>868</v>
      </c>
      <c r="O137" s="253" t="s">
        <v>868</v>
      </c>
      <c r="P137" s="253" t="s">
        <v>868</v>
      </c>
      <c r="Q137" s="253" t="s">
        <v>868</v>
      </c>
      <c r="R137" s="253" t="s">
        <v>868</v>
      </c>
      <c r="S137" s="253" t="s">
        <v>978</v>
      </c>
      <c r="T137" s="253" t="s">
        <v>978</v>
      </c>
      <c r="U137" s="253" t="s">
        <v>978</v>
      </c>
      <c r="V137" s="253" t="s">
        <v>978</v>
      </c>
      <c r="W137" s="253" t="s">
        <v>978</v>
      </c>
      <c r="X137" s="253" t="s">
        <v>870</v>
      </c>
      <c r="Y137" s="253" t="s">
        <v>868</v>
      </c>
      <c r="Z137" s="253" t="s">
        <v>870</v>
      </c>
      <c r="AA137" s="253" t="s">
        <v>868</v>
      </c>
      <c r="AB137" s="254" t="s">
        <v>870</v>
      </c>
      <c r="AC137" s="254" t="s">
        <v>870</v>
      </c>
      <c r="AD137" s="254" t="s">
        <v>870</v>
      </c>
      <c r="AE137" s="254" t="s">
        <v>870</v>
      </c>
      <c r="AF137" s="254" t="s">
        <v>870</v>
      </c>
      <c r="AG137" s="254" t="s">
        <v>870</v>
      </c>
      <c r="AH137" s="254" t="s">
        <v>870</v>
      </c>
      <c r="AI137" s="253" t="s">
        <v>868</v>
      </c>
      <c r="AJ137" s="253" t="s">
        <v>978</v>
      </c>
      <c r="AK137" s="253" t="s">
        <v>978</v>
      </c>
      <c r="AL137" s="253" t="s">
        <v>978</v>
      </c>
      <c r="AM137" s="253" t="s">
        <v>978</v>
      </c>
      <c r="AN137" s="253" t="s">
        <v>978</v>
      </c>
      <c r="AO137" s="253" t="s">
        <v>978</v>
      </c>
      <c r="AP137" s="253" t="s">
        <v>978</v>
      </c>
      <c r="AQ137" s="253" t="s">
        <v>978</v>
      </c>
      <c r="AR137" s="253" t="s">
        <v>978</v>
      </c>
      <c r="AS137" s="253" t="s">
        <v>978</v>
      </c>
      <c r="AT137" s="253" t="s">
        <v>978</v>
      </c>
      <c r="AU137" s="253" t="s">
        <v>978</v>
      </c>
      <c r="AV137" s="253" t="s">
        <v>978</v>
      </c>
      <c r="AW137" s="253" t="s">
        <v>978</v>
      </c>
      <c r="AX137" s="253" t="s">
        <v>978</v>
      </c>
      <c r="AY137" s="253" t="s">
        <v>978</v>
      </c>
      <c r="AZ137" s="253" t="s">
        <v>978</v>
      </c>
      <c r="BA137" s="253" t="s">
        <v>978</v>
      </c>
      <c r="BB137" s="253" t="s">
        <v>978</v>
      </c>
      <c r="BC137" s="254" t="s">
        <v>870</v>
      </c>
      <c r="BD137" s="254" t="s">
        <v>870</v>
      </c>
      <c r="BE137" s="254" t="s">
        <v>868</v>
      </c>
      <c r="BF137" s="254" t="s">
        <v>868</v>
      </c>
      <c r="BG137" s="254" t="s">
        <v>868</v>
      </c>
      <c r="BH137" s="254" t="s">
        <v>868</v>
      </c>
      <c r="BI137" s="254" t="s">
        <v>868</v>
      </c>
      <c r="BJ137" s="254" t="s">
        <v>870</v>
      </c>
      <c r="BK137" s="254" t="s">
        <v>868</v>
      </c>
      <c r="BL137" s="320" t="s">
        <v>870</v>
      </c>
      <c r="BM137" s="320" t="s">
        <v>868</v>
      </c>
      <c r="BN137" s="320" t="s">
        <v>868</v>
      </c>
      <c r="BO137" s="320" t="s">
        <v>868</v>
      </c>
      <c r="BP137" s="254" t="s">
        <v>870</v>
      </c>
    </row>
    <row r="138" spans="1:68" ht="30">
      <c r="A138" s="196" t="s">
        <v>1036</v>
      </c>
      <c r="B138" s="196" t="s">
        <v>864</v>
      </c>
      <c r="C138" s="196" t="s">
        <v>1056</v>
      </c>
      <c r="D138" s="196" t="s">
        <v>1141</v>
      </c>
      <c r="E138" s="196"/>
      <c r="F138" s="198" t="s">
        <v>1142</v>
      </c>
      <c r="G138" s="282">
        <f>VLOOKUP(D138,'2025 NPI'!D:L,3,0)</f>
        <v>45611</v>
      </c>
      <c r="H138" s="282">
        <f>VLOOKUP(D138,'2025 NPI'!D:L,4,0)</f>
        <v>45733</v>
      </c>
      <c r="I138" s="235"/>
      <c r="K138" s="253" t="s">
        <v>868</v>
      </c>
      <c r="L138" s="253" t="s">
        <v>868</v>
      </c>
      <c r="M138" s="253" t="s">
        <v>868</v>
      </c>
      <c r="N138" s="253" t="s">
        <v>868</v>
      </c>
      <c r="O138" s="253" t="s">
        <v>868</v>
      </c>
      <c r="P138" s="253" t="s">
        <v>868</v>
      </c>
      <c r="Q138" s="253" t="s">
        <v>868</v>
      </c>
      <c r="R138" s="253" t="s">
        <v>868</v>
      </c>
      <c r="S138" s="253" t="s">
        <v>978</v>
      </c>
      <c r="T138" s="253" t="s">
        <v>978</v>
      </c>
      <c r="U138" s="253" t="s">
        <v>978</v>
      </c>
      <c r="V138" s="253" t="s">
        <v>978</v>
      </c>
      <c r="W138" s="253" t="s">
        <v>978</v>
      </c>
      <c r="X138" s="253" t="s">
        <v>870</v>
      </c>
      <c r="Y138" s="253" t="s">
        <v>868</v>
      </c>
      <c r="Z138" s="253" t="s">
        <v>870</v>
      </c>
      <c r="AA138" s="253" t="s">
        <v>868</v>
      </c>
      <c r="AB138" s="254" t="s">
        <v>870</v>
      </c>
      <c r="AC138" s="254" t="s">
        <v>870</v>
      </c>
      <c r="AD138" s="254" t="s">
        <v>870</v>
      </c>
      <c r="AE138" s="254" t="s">
        <v>870</v>
      </c>
      <c r="AF138" s="254" t="s">
        <v>870</v>
      </c>
      <c r="AG138" s="254" t="s">
        <v>870</v>
      </c>
      <c r="AH138" s="254" t="s">
        <v>870</v>
      </c>
      <c r="AI138" s="253" t="s">
        <v>868</v>
      </c>
      <c r="AJ138" s="253" t="s">
        <v>978</v>
      </c>
      <c r="AK138" s="253" t="s">
        <v>978</v>
      </c>
      <c r="AL138" s="253" t="s">
        <v>978</v>
      </c>
      <c r="AM138" s="253" t="s">
        <v>978</v>
      </c>
      <c r="AN138" s="253" t="s">
        <v>978</v>
      </c>
      <c r="AO138" s="253" t="s">
        <v>978</v>
      </c>
      <c r="AP138" s="253" t="s">
        <v>978</v>
      </c>
      <c r="AQ138" s="253" t="s">
        <v>978</v>
      </c>
      <c r="AR138" s="253" t="s">
        <v>978</v>
      </c>
      <c r="AS138" s="253" t="s">
        <v>978</v>
      </c>
      <c r="AT138" s="253" t="s">
        <v>978</v>
      </c>
      <c r="AU138" s="253" t="s">
        <v>978</v>
      </c>
      <c r="AV138" s="253" t="s">
        <v>978</v>
      </c>
      <c r="AW138" s="253" t="s">
        <v>978</v>
      </c>
      <c r="AX138" s="253" t="s">
        <v>978</v>
      </c>
      <c r="AY138" s="253" t="s">
        <v>978</v>
      </c>
      <c r="AZ138" s="253" t="s">
        <v>978</v>
      </c>
      <c r="BA138" s="253" t="s">
        <v>978</v>
      </c>
      <c r="BB138" s="253" t="s">
        <v>978</v>
      </c>
      <c r="BC138" s="254" t="s">
        <v>870</v>
      </c>
      <c r="BD138" s="254" t="s">
        <v>870</v>
      </c>
      <c r="BE138" s="254" t="s">
        <v>868</v>
      </c>
      <c r="BF138" s="254" t="s">
        <v>868</v>
      </c>
      <c r="BG138" s="254" t="s">
        <v>868</v>
      </c>
      <c r="BH138" s="254" t="s">
        <v>868</v>
      </c>
      <c r="BI138" s="254" t="s">
        <v>868</v>
      </c>
      <c r="BJ138" s="254" t="s">
        <v>870</v>
      </c>
      <c r="BK138" s="254" t="s">
        <v>868</v>
      </c>
      <c r="BL138" s="320" t="s">
        <v>870</v>
      </c>
      <c r="BM138" s="320" t="s">
        <v>868</v>
      </c>
      <c r="BN138" s="320" t="s">
        <v>868</v>
      </c>
      <c r="BO138" s="320" t="s">
        <v>868</v>
      </c>
      <c r="BP138" s="254" t="s">
        <v>870</v>
      </c>
    </row>
    <row r="139" spans="1:68" ht="30">
      <c r="A139" s="196" t="s">
        <v>1036</v>
      </c>
      <c r="B139" s="196" t="s">
        <v>864</v>
      </c>
      <c r="C139" s="196" t="s">
        <v>1056</v>
      </c>
      <c r="D139" s="196" t="s">
        <v>1143</v>
      </c>
      <c r="E139" s="196"/>
      <c r="F139" s="198" t="s">
        <v>1142</v>
      </c>
      <c r="G139" s="282">
        <f>VLOOKUP(D139,'2025 NPI'!D:L,3,0)</f>
        <v>45611</v>
      </c>
      <c r="H139" s="282">
        <f>VLOOKUP(D139,'2025 NPI'!D:L,4,0)</f>
        <v>45758</v>
      </c>
      <c r="I139" s="235"/>
      <c r="K139" s="253" t="s">
        <v>868</v>
      </c>
      <c r="L139" s="253" t="s">
        <v>868</v>
      </c>
      <c r="M139" s="253" t="s">
        <v>868</v>
      </c>
      <c r="N139" s="253" t="s">
        <v>868</v>
      </c>
      <c r="O139" s="253" t="s">
        <v>868</v>
      </c>
      <c r="P139" s="253" t="s">
        <v>868</v>
      </c>
      <c r="Q139" s="253" t="s">
        <v>868</v>
      </c>
      <c r="R139" s="253" t="s">
        <v>868</v>
      </c>
      <c r="S139" s="253" t="s">
        <v>978</v>
      </c>
      <c r="T139" s="253" t="s">
        <v>978</v>
      </c>
      <c r="U139" s="253" t="s">
        <v>978</v>
      </c>
      <c r="V139" s="253" t="s">
        <v>978</v>
      </c>
      <c r="W139" s="253" t="s">
        <v>978</v>
      </c>
      <c r="X139" s="253" t="s">
        <v>870</v>
      </c>
      <c r="Y139" s="253" t="s">
        <v>868</v>
      </c>
      <c r="Z139" s="253" t="s">
        <v>870</v>
      </c>
      <c r="AA139" s="253" t="s">
        <v>868</v>
      </c>
      <c r="AB139" s="254" t="s">
        <v>870</v>
      </c>
      <c r="AC139" s="254" t="s">
        <v>870</v>
      </c>
      <c r="AD139" s="254" t="s">
        <v>870</v>
      </c>
      <c r="AE139" s="254" t="s">
        <v>870</v>
      </c>
      <c r="AF139" s="254" t="s">
        <v>870</v>
      </c>
      <c r="AG139" s="254" t="s">
        <v>870</v>
      </c>
      <c r="AH139" s="254" t="s">
        <v>870</v>
      </c>
      <c r="AI139" s="253" t="s">
        <v>868</v>
      </c>
      <c r="AJ139" s="253" t="s">
        <v>978</v>
      </c>
      <c r="AK139" s="253" t="s">
        <v>978</v>
      </c>
      <c r="AL139" s="253" t="s">
        <v>978</v>
      </c>
      <c r="AM139" s="253" t="s">
        <v>978</v>
      </c>
      <c r="AN139" s="253" t="s">
        <v>978</v>
      </c>
      <c r="AO139" s="253" t="s">
        <v>978</v>
      </c>
      <c r="AP139" s="253" t="s">
        <v>978</v>
      </c>
      <c r="AQ139" s="253" t="s">
        <v>978</v>
      </c>
      <c r="AR139" s="253" t="s">
        <v>978</v>
      </c>
      <c r="AS139" s="253" t="s">
        <v>978</v>
      </c>
      <c r="AT139" s="253" t="s">
        <v>978</v>
      </c>
      <c r="AU139" s="253" t="s">
        <v>978</v>
      </c>
      <c r="AV139" s="253" t="s">
        <v>978</v>
      </c>
      <c r="AW139" s="253" t="s">
        <v>978</v>
      </c>
      <c r="AX139" s="253" t="s">
        <v>978</v>
      </c>
      <c r="AY139" s="253" t="s">
        <v>978</v>
      </c>
      <c r="AZ139" s="253" t="s">
        <v>978</v>
      </c>
      <c r="BA139" s="253" t="s">
        <v>978</v>
      </c>
      <c r="BB139" s="253" t="s">
        <v>978</v>
      </c>
      <c r="BC139" s="254" t="s">
        <v>870</v>
      </c>
      <c r="BD139" s="254" t="s">
        <v>870</v>
      </c>
      <c r="BE139" s="254" t="s">
        <v>868</v>
      </c>
      <c r="BF139" s="254" t="s">
        <v>868</v>
      </c>
      <c r="BG139" s="254" t="s">
        <v>868</v>
      </c>
      <c r="BH139" s="254" t="s">
        <v>868</v>
      </c>
      <c r="BI139" s="254" t="s">
        <v>868</v>
      </c>
      <c r="BJ139" s="254" t="s">
        <v>870</v>
      </c>
      <c r="BK139" s="254" t="s">
        <v>868</v>
      </c>
      <c r="BL139" s="320" t="s">
        <v>870</v>
      </c>
      <c r="BM139" s="320" t="s">
        <v>868</v>
      </c>
      <c r="BN139" s="320" t="s">
        <v>868</v>
      </c>
      <c r="BO139" s="320" t="s">
        <v>868</v>
      </c>
      <c r="BP139" s="254" t="s">
        <v>870</v>
      </c>
    </row>
    <row r="140" spans="1:68" ht="30">
      <c r="A140" s="196" t="s">
        <v>1036</v>
      </c>
      <c r="B140" s="196" t="s">
        <v>864</v>
      </c>
      <c r="C140" s="196" t="s">
        <v>1084</v>
      </c>
      <c r="D140" s="196" t="s">
        <v>1144</v>
      </c>
      <c r="E140" s="196"/>
      <c r="F140" s="198" t="s">
        <v>1145</v>
      </c>
      <c r="G140" s="282">
        <f>VLOOKUP(D140,'2025 NPI'!D:L,3,0)</f>
        <v>45593</v>
      </c>
      <c r="H140" s="282">
        <f>VLOOKUP(D140,'2025 NPI'!D:L,4,0)</f>
        <v>45695</v>
      </c>
      <c r="I140" s="235"/>
      <c r="K140" s="254" t="s">
        <v>870</v>
      </c>
      <c r="L140" s="253" t="s">
        <v>868</v>
      </c>
      <c r="M140" s="253" t="s">
        <v>868</v>
      </c>
      <c r="N140" s="253" t="s">
        <v>868</v>
      </c>
      <c r="O140" s="253" t="s">
        <v>868</v>
      </c>
      <c r="P140" s="253" t="s">
        <v>868</v>
      </c>
      <c r="Q140" s="253" t="s">
        <v>868</v>
      </c>
      <c r="R140" s="253" t="s">
        <v>868</v>
      </c>
      <c r="S140" s="253" t="s">
        <v>978</v>
      </c>
      <c r="T140" s="253" t="s">
        <v>978</v>
      </c>
      <c r="U140" s="253" t="s">
        <v>978</v>
      </c>
      <c r="V140" s="253" t="s">
        <v>978</v>
      </c>
      <c r="W140" s="253" t="s">
        <v>978</v>
      </c>
      <c r="X140" s="253" t="s">
        <v>870</v>
      </c>
      <c r="Y140" s="253" t="s">
        <v>868</v>
      </c>
      <c r="Z140" s="253" t="s">
        <v>870</v>
      </c>
      <c r="AA140" s="253" t="s">
        <v>868</v>
      </c>
      <c r="AB140" s="254" t="s">
        <v>870</v>
      </c>
      <c r="AC140" s="254" t="s">
        <v>870</v>
      </c>
      <c r="AD140" s="254" t="s">
        <v>870</v>
      </c>
      <c r="AE140" s="254" t="s">
        <v>870</v>
      </c>
      <c r="AF140" s="254" t="s">
        <v>870</v>
      </c>
      <c r="AG140" s="254" t="s">
        <v>870</v>
      </c>
      <c r="AH140" s="254" t="s">
        <v>870</v>
      </c>
      <c r="AI140" s="253" t="s">
        <v>868</v>
      </c>
      <c r="AJ140" s="253" t="s">
        <v>978</v>
      </c>
      <c r="AK140" s="253" t="s">
        <v>978</v>
      </c>
      <c r="AL140" s="253" t="s">
        <v>978</v>
      </c>
      <c r="AM140" s="253" t="s">
        <v>978</v>
      </c>
      <c r="AN140" s="253" t="s">
        <v>978</v>
      </c>
      <c r="AO140" s="253" t="s">
        <v>978</v>
      </c>
      <c r="AP140" s="253" t="s">
        <v>978</v>
      </c>
      <c r="AQ140" s="253" t="s">
        <v>978</v>
      </c>
      <c r="AR140" s="253" t="s">
        <v>978</v>
      </c>
      <c r="AS140" s="253" t="s">
        <v>978</v>
      </c>
      <c r="AT140" s="253" t="s">
        <v>978</v>
      </c>
      <c r="AU140" s="253" t="s">
        <v>978</v>
      </c>
      <c r="AV140" s="253" t="s">
        <v>978</v>
      </c>
      <c r="AW140" s="253" t="s">
        <v>978</v>
      </c>
      <c r="AX140" s="253" t="s">
        <v>978</v>
      </c>
      <c r="AY140" s="253" t="s">
        <v>978</v>
      </c>
      <c r="AZ140" s="253" t="s">
        <v>978</v>
      </c>
      <c r="BA140" s="253" t="s">
        <v>978</v>
      </c>
      <c r="BB140" s="253" t="s">
        <v>978</v>
      </c>
      <c r="BC140" s="128"/>
      <c r="BD140" s="128"/>
      <c r="BE140" s="254" t="s">
        <v>868</v>
      </c>
      <c r="BF140" s="254" t="s">
        <v>868</v>
      </c>
      <c r="BG140" s="255" t="s">
        <v>978</v>
      </c>
      <c r="BH140" s="255" t="s">
        <v>978</v>
      </c>
      <c r="BI140" s="254" t="s">
        <v>868</v>
      </c>
      <c r="BJ140" s="254" t="s">
        <v>870</v>
      </c>
      <c r="BK140" s="254" t="s">
        <v>868</v>
      </c>
      <c r="BL140" s="320" t="s">
        <v>870</v>
      </c>
      <c r="BM140" s="320" t="s">
        <v>868</v>
      </c>
      <c r="BN140" s="320" t="s">
        <v>868</v>
      </c>
      <c r="BO140" s="254" t="s">
        <v>870</v>
      </c>
      <c r="BP140" s="254" t="s">
        <v>870</v>
      </c>
    </row>
    <row r="141" spans="1:68" ht="30">
      <c r="A141" s="196" t="s">
        <v>1036</v>
      </c>
      <c r="B141" s="196" t="s">
        <v>864</v>
      </c>
      <c r="C141" s="196" t="s">
        <v>1059</v>
      </c>
      <c r="D141" s="196" t="s">
        <v>1146</v>
      </c>
      <c r="E141" s="196"/>
      <c r="F141" s="198" t="s">
        <v>1147</v>
      </c>
      <c r="G141" s="282">
        <f>VLOOKUP(D141,'2025 NPI'!D:L,3,0)</f>
        <v>45653</v>
      </c>
      <c r="H141" s="282">
        <f>VLOOKUP(D141,'2025 NPI'!D:L,4,0)</f>
        <v>45695</v>
      </c>
      <c r="I141" s="235"/>
      <c r="K141" s="254" t="s">
        <v>870</v>
      </c>
      <c r="L141" s="253" t="s">
        <v>868</v>
      </c>
      <c r="M141" s="253" t="s">
        <v>868</v>
      </c>
      <c r="N141" s="253" t="s">
        <v>868</v>
      </c>
      <c r="O141" s="253" t="s">
        <v>868</v>
      </c>
      <c r="P141" s="253" t="s">
        <v>868</v>
      </c>
      <c r="Q141" s="253" t="s">
        <v>868</v>
      </c>
      <c r="R141" s="253" t="s">
        <v>868</v>
      </c>
      <c r="S141" s="253" t="s">
        <v>978</v>
      </c>
      <c r="T141" s="253" t="s">
        <v>978</v>
      </c>
      <c r="U141" s="253" t="s">
        <v>978</v>
      </c>
      <c r="V141" s="253" t="s">
        <v>978</v>
      </c>
      <c r="W141" s="253" t="s">
        <v>978</v>
      </c>
      <c r="X141" s="253" t="s">
        <v>870</v>
      </c>
      <c r="Y141" s="253" t="s">
        <v>870</v>
      </c>
      <c r="Z141" s="253" t="s">
        <v>870</v>
      </c>
      <c r="AA141" s="253" t="s">
        <v>868</v>
      </c>
      <c r="AB141" s="254" t="s">
        <v>870</v>
      </c>
      <c r="AC141" s="254" t="s">
        <v>870</v>
      </c>
      <c r="AD141" s="254" t="s">
        <v>870</v>
      </c>
      <c r="AE141" s="254" t="s">
        <v>870</v>
      </c>
      <c r="AF141" s="254" t="s">
        <v>870</v>
      </c>
      <c r="AG141" s="254" t="s">
        <v>870</v>
      </c>
      <c r="AH141" s="254" t="s">
        <v>870</v>
      </c>
      <c r="AI141" s="253" t="s">
        <v>868</v>
      </c>
      <c r="AJ141" s="253" t="s">
        <v>978</v>
      </c>
      <c r="AK141" s="253" t="s">
        <v>978</v>
      </c>
      <c r="AL141" s="253" t="s">
        <v>978</v>
      </c>
      <c r="AM141" s="253" t="s">
        <v>978</v>
      </c>
      <c r="AN141" s="253" t="s">
        <v>978</v>
      </c>
      <c r="AO141" s="253" t="s">
        <v>978</v>
      </c>
      <c r="AP141" s="253" t="s">
        <v>978</v>
      </c>
      <c r="AQ141" s="253" t="s">
        <v>978</v>
      </c>
      <c r="AR141" s="253" t="s">
        <v>978</v>
      </c>
      <c r="AS141" s="253" t="s">
        <v>978</v>
      </c>
      <c r="AT141" s="253" t="s">
        <v>978</v>
      </c>
      <c r="AU141" s="253" t="s">
        <v>978</v>
      </c>
      <c r="AV141" s="253" t="s">
        <v>978</v>
      </c>
      <c r="AW141" s="253" t="s">
        <v>978</v>
      </c>
      <c r="AX141" s="253" t="s">
        <v>978</v>
      </c>
      <c r="AY141" s="253" t="s">
        <v>978</v>
      </c>
      <c r="AZ141" s="253" t="s">
        <v>978</v>
      </c>
      <c r="BA141" s="253" t="s">
        <v>978</v>
      </c>
      <c r="BB141" s="253" t="s">
        <v>978</v>
      </c>
      <c r="BC141" s="128"/>
      <c r="BD141" s="128"/>
      <c r="BE141" s="254" t="s">
        <v>868</v>
      </c>
      <c r="BF141" s="254" t="s">
        <v>868</v>
      </c>
      <c r="BG141" s="255" t="s">
        <v>978</v>
      </c>
      <c r="BH141" s="255" t="s">
        <v>978</v>
      </c>
      <c r="BI141" s="254" t="s">
        <v>868</v>
      </c>
      <c r="BJ141" s="254" t="s">
        <v>870</v>
      </c>
      <c r="BK141" s="254" t="s">
        <v>868</v>
      </c>
      <c r="BL141" s="320" t="s">
        <v>870</v>
      </c>
      <c r="BM141" s="320" t="s">
        <v>868</v>
      </c>
      <c r="BN141" s="320" t="s">
        <v>868</v>
      </c>
      <c r="BO141" s="254" t="s">
        <v>870</v>
      </c>
      <c r="BP141" s="254" t="s">
        <v>870</v>
      </c>
    </row>
    <row r="142" spans="1:68" ht="30">
      <c r="A142" s="196" t="s">
        <v>1036</v>
      </c>
      <c r="B142" s="196" t="s">
        <v>864</v>
      </c>
      <c r="C142" s="196" t="s">
        <v>1059</v>
      </c>
      <c r="D142" s="196" t="s">
        <v>1148</v>
      </c>
      <c r="E142" s="196"/>
      <c r="F142" s="198" t="s">
        <v>1149</v>
      </c>
      <c r="G142" s="282">
        <f>VLOOKUP(D142,'2025 NPI'!D:L,3,0)</f>
        <v>45653</v>
      </c>
      <c r="H142" s="282">
        <f>VLOOKUP(D142,'2025 NPI'!D:L,4,0)</f>
        <v>45695</v>
      </c>
      <c r="I142" s="235"/>
      <c r="K142" s="254" t="s">
        <v>870</v>
      </c>
      <c r="L142" s="253" t="s">
        <v>868</v>
      </c>
      <c r="M142" s="253" t="s">
        <v>868</v>
      </c>
      <c r="N142" s="253" t="s">
        <v>868</v>
      </c>
      <c r="O142" s="253" t="s">
        <v>868</v>
      </c>
      <c r="P142" s="253" t="s">
        <v>868</v>
      </c>
      <c r="Q142" s="253" t="s">
        <v>868</v>
      </c>
      <c r="R142" s="253" t="s">
        <v>868</v>
      </c>
      <c r="S142" s="253" t="s">
        <v>978</v>
      </c>
      <c r="T142" s="253" t="s">
        <v>978</v>
      </c>
      <c r="U142" s="253" t="s">
        <v>978</v>
      </c>
      <c r="V142" s="253" t="s">
        <v>978</v>
      </c>
      <c r="W142" s="253" t="s">
        <v>978</v>
      </c>
      <c r="X142" s="253" t="s">
        <v>870</v>
      </c>
      <c r="Y142" s="253" t="s">
        <v>870</v>
      </c>
      <c r="Z142" s="253" t="s">
        <v>870</v>
      </c>
      <c r="AA142" s="253" t="s">
        <v>868</v>
      </c>
      <c r="AB142" s="254" t="s">
        <v>870</v>
      </c>
      <c r="AC142" s="254" t="s">
        <v>870</v>
      </c>
      <c r="AD142" s="254" t="s">
        <v>870</v>
      </c>
      <c r="AE142" s="254" t="s">
        <v>870</v>
      </c>
      <c r="AF142" s="254" t="s">
        <v>870</v>
      </c>
      <c r="AG142" s="254" t="s">
        <v>870</v>
      </c>
      <c r="AH142" s="254" t="s">
        <v>870</v>
      </c>
      <c r="AI142" s="253" t="s">
        <v>868</v>
      </c>
      <c r="AJ142" s="253" t="s">
        <v>978</v>
      </c>
      <c r="AK142" s="253" t="s">
        <v>978</v>
      </c>
      <c r="AL142" s="253" t="s">
        <v>978</v>
      </c>
      <c r="AM142" s="253" t="s">
        <v>978</v>
      </c>
      <c r="AN142" s="253" t="s">
        <v>978</v>
      </c>
      <c r="AO142" s="253" t="s">
        <v>978</v>
      </c>
      <c r="AP142" s="253" t="s">
        <v>978</v>
      </c>
      <c r="AQ142" s="253" t="s">
        <v>978</v>
      </c>
      <c r="AR142" s="253" t="s">
        <v>978</v>
      </c>
      <c r="AS142" s="253" t="s">
        <v>978</v>
      </c>
      <c r="AT142" s="253" t="s">
        <v>978</v>
      </c>
      <c r="AU142" s="253" t="s">
        <v>978</v>
      </c>
      <c r="AV142" s="253" t="s">
        <v>978</v>
      </c>
      <c r="AW142" s="253" t="s">
        <v>978</v>
      </c>
      <c r="AX142" s="253" t="s">
        <v>978</v>
      </c>
      <c r="AY142" s="253" t="s">
        <v>978</v>
      </c>
      <c r="AZ142" s="253" t="s">
        <v>978</v>
      </c>
      <c r="BA142" s="253" t="s">
        <v>978</v>
      </c>
      <c r="BB142" s="253" t="s">
        <v>978</v>
      </c>
      <c r="BC142" s="128"/>
      <c r="BD142" s="128"/>
      <c r="BE142" s="254" t="s">
        <v>868</v>
      </c>
      <c r="BF142" s="254" t="s">
        <v>868</v>
      </c>
      <c r="BG142" s="255" t="s">
        <v>978</v>
      </c>
      <c r="BH142" s="255" t="s">
        <v>978</v>
      </c>
      <c r="BI142" s="254" t="s">
        <v>868</v>
      </c>
      <c r="BJ142" s="254" t="s">
        <v>870</v>
      </c>
      <c r="BK142" s="254" t="s">
        <v>868</v>
      </c>
      <c r="BL142" s="320" t="s">
        <v>870</v>
      </c>
      <c r="BM142" s="320" t="s">
        <v>868</v>
      </c>
      <c r="BN142" s="320" t="s">
        <v>868</v>
      </c>
      <c r="BO142" s="254" t="s">
        <v>870</v>
      </c>
      <c r="BP142" s="254" t="s">
        <v>870</v>
      </c>
    </row>
    <row r="143" spans="1:68" ht="30">
      <c r="A143" s="196" t="s">
        <v>1036</v>
      </c>
      <c r="B143" s="196" t="s">
        <v>864</v>
      </c>
      <c r="C143" s="196" t="s">
        <v>1064</v>
      </c>
      <c r="D143" s="196" t="s">
        <v>1150</v>
      </c>
      <c r="E143" s="196"/>
      <c r="F143" s="198" t="s">
        <v>1151</v>
      </c>
      <c r="G143" s="282">
        <f>VLOOKUP(D143,'2025 NPI'!D:L,3,0)</f>
        <v>45589</v>
      </c>
      <c r="H143" s="282">
        <f>VLOOKUP(D143,'2025 NPI'!D:L,4,0)</f>
        <v>45695</v>
      </c>
      <c r="I143" s="235"/>
      <c r="K143" s="254" t="s">
        <v>870</v>
      </c>
      <c r="L143" s="253" t="s">
        <v>868</v>
      </c>
      <c r="M143" s="253" t="s">
        <v>868</v>
      </c>
      <c r="N143" s="253" t="s">
        <v>868</v>
      </c>
      <c r="O143" s="253" t="s">
        <v>868</v>
      </c>
      <c r="P143" s="253" t="s">
        <v>868</v>
      </c>
      <c r="Q143" s="253" t="s">
        <v>868</v>
      </c>
      <c r="R143" s="253" t="s">
        <v>868</v>
      </c>
      <c r="S143" s="253" t="s">
        <v>978</v>
      </c>
      <c r="T143" s="253" t="s">
        <v>978</v>
      </c>
      <c r="U143" s="253" t="s">
        <v>978</v>
      </c>
      <c r="V143" s="253" t="s">
        <v>978</v>
      </c>
      <c r="W143" s="253" t="s">
        <v>978</v>
      </c>
      <c r="X143" s="253" t="s">
        <v>870</v>
      </c>
      <c r="Y143" s="253" t="s">
        <v>868</v>
      </c>
      <c r="Z143" s="253" t="s">
        <v>870</v>
      </c>
      <c r="AA143" s="253" t="s">
        <v>868</v>
      </c>
      <c r="AB143" s="254" t="s">
        <v>870</v>
      </c>
      <c r="AC143" s="254" t="s">
        <v>870</v>
      </c>
      <c r="AD143" s="254" t="s">
        <v>870</v>
      </c>
      <c r="AE143" s="254" t="s">
        <v>870</v>
      </c>
      <c r="AF143" s="254" t="s">
        <v>870</v>
      </c>
      <c r="AG143" s="254" t="s">
        <v>870</v>
      </c>
      <c r="AH143" s="254" t="s">
        <v>870</v>
      </c>
      <c r="AI143" s="253" t="s">
        <v>868</v>
      </c>
      <c r="AJ143" s="253" t="s">
        <v>978</v>
      </c>
      <c r="AK143" s="253" t="s">
        <v>978</v>
      </c>
      <c r="AL143" s="253" t="s">
        <v>978</v>
      </c>
      <c r="AM143" s="253" t="s">
        <v>978</v>
      </c>
      <c r="AN143" s="253" t="s">
        <v>978</v>
      </c>
      <c r="AO143" s="253" t="s">
        <v>978</v>
      </c>
      <c r="AP143" s="253" t="s">
        <v>978</v>
      </c>
      <c r="AQ143" s="253" t="s">
        <v>978</v>
      </c>
      <c r="AR143" s="253" t="s">
        <v>978</v>
      </c>
      <c r="AS143" s="253" t="s">
        <v>978</v>
      </c>
      <c r="AT143" s="253" t="s">
        <v>978</v>
      </c>
      <c r="AU143" s="253" t="s">
        <v>978</v>
      </c>
      <c r="AV143" s="253" t="s">
        <v>978</v>
      </c>
      <c r="AW143" s="253" t="s">
        <v>978</v>
      </c>
      <c r="AX143" s="253" t="s">
        <v>978</v>
      </c>
      <c r="AY143" s="253" t="s">
        <v>978</v>
      </c>
      <c r="AZ143" s="253" t="s">
        <v>978</v>
      </c>
      <c r="BA143" s="253" t="s">
        <v>978</v>
      </c>
      <c r="BB143" s="253" t="s">
        <v>978</v>
      </c>
      <c r="BC143" s="128"/>
      <c r="BD143" s="128"/>
      <c r="BE143" s="254" t="s">
        <v>868</v>
      </c>
      <c r="BF143" s="254" t="s">
        <v>868</v>
      </c>
      <c r="BG143" s="255" t="s">
        <v>978</v>
      </c>
      <c r="BH143" s="255" t="s">
        <v>978</v>
      </c>
      <c r="BI143" s="254" t="s">
        <v>868</v>
      </c>
      <c r="BJ143" s="254" t="s">
        <v>870</v>
      </c>
      <c r="BK143" s="254" t="s">
        <v>868</v>
      </c>
      <c r="BL143" s="320" t="s">
        <v>870</v>
      </c>
      <c r="BM143" s="320" t="s">
        <v>868</v>
      </c>
      <c r="BN143" s="320" t="s">
        <v>868</v>
      </c>
      <c r="BO143" s="320" t="s">
        <v>868</v>
      </c>
      <c r="BP143" s="254" t="s">
        <v>870</v>
      </c>
    </row>
    <row r="144" spans="1:68" ht="30">
      <c r="A144" s="196" t="s">
        <v>1036</v>
      </c>
      <c r="B144" s="196" t="s">
        <v>864</v>
      </c>
      <c r="C144" s="196" t="s">
        <v>1056</v>
      </c>
      <c r="D144" s="196" t="s">
        <v>1152</v>
      </c>
      <c r="E144" s="196"/>
      <c r="F144" s="198" t="s">
        <v>1153</v>
      </c>
      <c r="G144" s="282">
        <f>VLOOKUP(D144,'2025 NPI'!D:L,3,0)</f>
        <v>45611</v>
      </c>
      <c r="H144" s="282">
        <f>VLOOKUP(D144,'2025 NPI'!D:L,4,0)</f>
        <v>45733</v>
      </c>
      <c r="I144" s="235"/>
      <c r="K144" s="128"/>
      <c r="L144" s="253" t="s">
        <v>868</v>
      </c>
      <c r="M144" s="253" t="s">
        <v>868</v>
      </c>
      <c r="N144" s="253" t="s">
        <v>868</v>
      </c>
      <c r="O144" s="253" t="s">
        <v>868</v>
      </c>
      <c r="P144" s="253" t="s">
        <v>868</v>
      </c>
      <c r="Q144" s="253" t="s">
        <v>868</v>
      </c>
      <c r="R144" s="253" t="s">
        <v>868</v>
      </c>
      <c r="S144" s="253" t="s">
        <v>978</v>
      </c>
      <c r="T144" s="253" t="s">
        <v>978</v>
      </c>
      <c r="U144" s="253" t="s">
        <v>978</v>
      </c>
      <c r="V144" s="253" t="s">
        <v>978</v>
      </c>
      <c r="W144" s="253" t="s">
        <v>978</v>
      </c>
      <c r="X144" s="253" t="s">
        <v>870</v>
      </c>
      <c r="Y144" s="253" t="s">
        <v>868</v>
      </c>
      <c r="Z144" s="253" t="s">
        <v>870</v>
      </c>
      <c r="AA144" s="253" t="s">
        <v>868</v>
      </c>
      <c r="AB144" s="254" t="s">
        <v>870</v>
      </c>
      <c r="AC144" s="254" t="s">
        <v>870</v>
      </c>
      <c r="AD144" s="254" t="s">
        <v>870</v>
      </c>
      <c r="AE144" s="254" t="s">
        <v>870</v>
      </c>
      <c r="AF144" s="254" t="s">
        <v>870</v>
      </c>
      <c r="AG144" s="254" t="s">
        <v>870</v>
      </c>
      <c r="AH144" s="254" t="s">
        <v>870</v>
      </c>
      <c r="AI144" s="253" t="s">
        <v>868</v>
      </c>
      <c r="AJ144" s="253" t="s">
        <v>978</v>
      </c>
      <c r="AK144" s="253" t="s">
        <v>978</v>
      </c>
      <c r="AL144" s="253" t="s">
        <v>978</v>
      </c>
      <c r="AM144" s="253" t="s">
        <v>978</v>
      </c>
      <c r="AN144" s="253" t="s">
        <v>978</v>
      </c>
      <c r="AO144" s="253" t="s">
        <v>978</v>
      </c>
      <c r="AP144" s="253" t="s">
        <v>978</v>
      </c>
      <c r="AQ144" s="253" t="s">
        <v>978</v>
      </c>
      <c r="AR144" s="253" t="s">
        <v>978</v>
      </c>
      <c r="AS144" s="253" t="s">
        <v>978</v>
      </c>
      <c r="AT144" s="253" t="s">
        <v>978</v>
      </c>
      <c r="AU144" s="253" t="s">
        <v>978</v>
      </c>
      <c r="AV144" s="253" t="s">
        <v>978</v>
      </c>
      <c r="AW144" s="253" t="s">
        <v>978</v>
      </c>
      <c r="AX144" s="253" t="s">
        <v>978</v>
      </c>
      <c r="AY144" s="253" t="s">
        <v>978</v>
      </c>
      <c r="AZ144" s="253" t="s">
        <v>978</v>
      </c>
      <c r="BA144" s="253" t="s">
        <v>978</v>
      </c>
      <c r="BB144" s="253" t="s">
        <v>978</v>
      </c>
      <c r="BC144" s="128"/>
      <c r="BD144" s="128"/>
      <c r="BE144" s="254" t="s">
        <v>868</v>
      </c>
      <c r="BF144" s="254" t="s">
        <v>868</v>
      </c>
      <c r="BG144" s="255" t="s">
        <v>978</v>
      </c>
      <c r="BH144" s="255" t="s">
        <v>978</v>
      </c>
      <c r="BI144" s="254" t="s">
        <v>868</v>
      </c>
      <c r="BJ144" s="254" t="s">
        <v>870</v>
      </c>
      <c r="BK144" s="254" t="s">
        <v>868</v>
      </c>
      <c r="BL144" s="320" t="s">
        <v>870</v>
      </c>
      <c r="BM144" s="320" t="s">
        <v>868</v>
      </c>
      <c r="BN144" s="320" t="s">
        <v>868</v>
      </c>
      <c r="BO144" s="320" t="s">
        <v>868</v>
      </c>
      <c r="BP144" s="254" t="s">
        <v>870</v>
      </c>
    </row>
    <row r="145" spans="1:68" ht="30">
      <c r="A145" s="196" t="s">
        <v>1036</v>
      </c>
      <c r="B145" s="196" t="s">
        <v>864</v>
      </c>
      <c r="C145" s="196" t="s">
        <v>1091</v>
      </c>
      <c r="D145" s="196" t="s">
        <v>1154</v>
      </c>
      <c r="E145" s="196"/>
      <c r="F145" s="198" t="s">
        <v>1155</v>
      </c>
      <c r="G145" s="282">
        <f>VLOOKUP(D145,'2025 NPI'!D:L,3,0)</f>
        <v>45653</v>
      </c>
      <c r="H145" s="282">
        <f>VLOOKUP(D145,'2025 NPI'!D:L,4,0)</f>
        <v>45695</v>
      </c>
      <c r="I145" s="235"/>
      <c r="K145" s="253" t="s">
        <v>868</v>
      </c>
      <c r="L145" s="254" t="s">
        <v>870</v>
      </c>
      <c r="M145" s="254" t="s">
        <v>870</v>
      </c>
      <c r="N145" s="254" t="s">
        <v>870</v>
      </c>
      <c r="O145" s="254" t="s">
        <v>870</v>
      </c>
      <c r="P145" s="254" t="s">
        <v>870</v>
      </c>
      <c r="Q145" s="254" t="s">
        <v>870</v>
      </c>
      <c r="R145" s="254" t="s">
        <v>870</v>
      </c>
      <c r="S145" s="253" t="s">
        <v>868</v>
      </c>
      <c r="T145" s="253" t="s">
        <v>978</v>
      </c>
      <c r="U145" s="253" t="s">
        <v>978</v>
      </c>
      <c r="V145" s="253" t="s">
        <v>978</v>
      </c>
      <c r="W145" s="253" t="s">
        <v>978</v>
      </c>
      <c r="X145" s="253" t="s">
        <v>978</v>
      </c>
      <c r="Y145" s="253" t="s">
        <v>978</v>
      </c>
      <c r="Z145" s="253" t="s">
        <v>978</v>
      </c>
      <c r="AA145" s="253" t="s">
        <v>978</v>
      </c>
      <c r="AB145" s="253" t="s">
        <v>978</v>
      </c>
      <c r="AC145" s="253" t="s">
        <v>978</v>
      </c>
      <c r="AD145" s="253" t="s">
        <v>978</v>
      </c>
      <c r="AE145" s="253" t="s">
        <v>978</v>
      </c>
      <c r="AF145" s="253" t="s">
        <v>978</v>
      </c>
      <c r="AG145" s="253" t="s">
        <v>978</v>
      </c>
      <c r="AH145" s="253" t="s">
        <v>978</v>
      </c>
      <c r="AI145" s="253" t="s">
        <v>978</v>
      </c>
      <c r="AJ145" s="253" t="s">
        <v>978</v>
      </c>
      <c r="AK145" s="253" t="s">
        <v>978</v>
      </c>
      <c r="AL145" s="253" t="s">
        <v>978</v>
      </c>
      <c r="AM145" s="128"/>
      <c r="AN145" s="128"/>
      <c r="AO145" s="254" t="s">
        <v>868</v>
      </c>
      <c r="AP145" s="254" t="s">
        <v>868</v>
      </c>
      <c r="AQ145" s="255" t="s">
        <v>978</v>
      </c>
      <c r="AR145" s="255" t="s">
        <v>978</v>
      </c>
      <c r="AS145" s="254" t="s">
        <v>868</v>
      </c>
      <c r="AT145" s="128"/>
      <c r="AU145" s="128"/>
      <c r="AV145" s="128"/>
      <c r="AW145" s="337"/>
      <c r="AX145" s="320" t="s">
        <v>868</v>
      </c>
      <c r="AY145" s="128"/>
      <c r="AZ145" s="254" t="s">
        <v>870</v>
      </c>
      <c r="BE145" s="254" t="s">
        <v>868</v>
      </c>
      <c r="BF145" s="254" t="s">
        <v>868</v>
      </c>
      <c r="BG145" s="255" t="s">
        <v>978</v>
      </c>
      <c r="BH145" s="255" t="s">
        <v>978</v>
      </c>
      <c r="BI145" s="254" t="s">
        <v>868</v>
      </c>
      <c r="BJ145" s="254" t="s">
        <v>870</v>
      </c>
      <c r="BK145" s="254" t="s">
        <v>868</v>
      </c>
      <c r="BL145" s="320" t="s">
        <v>870</v>
      </c>
      <c r="BM145" s="320" t="s">
        <v>868</v>
      </c>
      <c r="BN145" s="320" t="s">
        <v>868</v>
      </c>
      <c r="BO145" s="254" t="s">
        <v>870</v>
      </c>
      <c r="BP145" s="254" t="s">
        <v>870</v>
      </c>
    </row>
    <row r="146" spans="1:68" ht="30">
      <c r="A146" s="196" t="s">
        <v>1036</v>
      </c>
      <c r="B146" s="196" t="s">
        <v>864</v>
      </c>
      <c r="C146" s="196" t="s">
        <v>1084</v>
      </c>
      <c r="D146" s="196" t="s">
        <v>1156</v>
      </c>
      <c r="E146" s="196"/>
      <c r="F146" s="198" t="s">
        <v>1157</v>
      </c>
      <c r="G146" s="282">
        <f>VLOOKUP(D146,'2025 NPI'!D:L,3,0)</f>
        <v>45653</v>
      </c>
      <c r="H146" s="282">
        <f>VLOOKUP(D146,'2025 NPI'!D:L,4,0)</f>
        <v>45695</v>
      </c>
      <c r="I146" s="235"/>
      <c r="K146" s="253" t="s">
        <v>868</v>
      </c>
      <c r="L146" s="254" t="s">
        <v>870</v>
      </c>
      <c r="M146" s="254" t="s">
        <v>870</v>
      </c>
      <c r="N146" s="254" t="s">
        <v>870</v>
      </c>
      <c r="O146" s="254" t="s">
        <v>870</v>
      </c>
      <c r="P146" s="254" t="s">
        <v>870</v>
      </c>
      <c r="Q146" s="254" t="s">
        <v>870</v>
      </c>
      <c r="R146" s="254" t="s">
        <v>870</v>
      </c>
      <c r="S146" s="253" t="s">
        <v>868</v>
      </c>
      <c r="T146" s="253" t="s">
        <v>978</v>
      </c>
      <c r="U146" s="253" t="s">
        <v>978</v>
      </c>
      <c r="V146" s="253" t="s">
        <v>978</v>
      </c>
      <c r="W146" s="253" t="s">
        <v>978</v>
      </c>
      <c r="X146" s="253" t="s">
        <v>978</v>
      </c>
      <c r="Y146" s="253" t="s">
        <v>978</v>
      </c>
      <c r="Z146" s="253" t="s">
        <v>978</v>
      </c>
      <c r="AA146" s="253" t="s">
        <v>978</v>
      </c>
      <c r="AB146" s="253" t="s">
        <v>978</v>
      </c>
      <c r="AC146" s="253" t="s">
        <v>978</v>
      </c>
      <c r="AD146" s="253" t="s">
        <v>978</v>
      </c>
      <c r="AE146" s="253" t="s">
        <v>978</v>
      </c>
      <c r="AF146" s="253" t="s">
        <v>978</v>
      </c>
      <c r="AG146" s="253" t="s">
        <v>978</v>
      </c>
      <c r="AH146" s="253" t="s">
        <v>978</v>
      </c>
      <c r="AI146" s="253" t="s">
        <v>978</v>
      </c>
      <c r="AJ146" s="253" t="s">
        <v>978</v>
      </c>
      <c r="AK146" s="253" t="s">
        <v>978</v>
      </c>
      <c r="AL146" s="253" t="s">
        <v>978</v>
      </c>
      <c r="AM146" s="128"/>
      <c r="AN146" s="128"/>
      <c r="AO146" s="254" t="s">
        <v>868</v>
      </c>
      <c r="AP146" s="254" t="s">
        <v>868</v>
      </c>
      <c r="AQ146" s="255" t="s">
        <v>978</v>
      </c>
      <c r="AR146" s="255" t="s">
        <v>978</v>
      </c>
      <c r="AS146" s="254" t="s">
        <v>868</v>
      </c>
      <c r="AT146" s="128"/>
      <c r="AU146" s="128"/>
      <c r="AV146" s="128"/>
      <c r="AW146" s="337"/>
      <c r="AX146" s="320" t="s">
        <v>868</v>
      </c>
      <c r="AY146" s="128"/>
      <c r="AZ146" s="254" t="s">
        <v>870</v>
      </c>
      <c r="BE146" s="254" t="s">
        <v>868</v>
      </c>
      <c r="BF146" s="254" t="s">
        <v>868</v>
      </c>
      <c r="BG146" s="255" t="s">
        <v>978</v>
      </c>
      <c r="BH146" s="255" t="s">
        <v>978</v>
      </c>
      <c r="BI146" s="254" t="s">
        <v>868</v>
      </c>
      <c r="BJ146" s="254" t="s">
        <v>870</v>
      </c>
      <c r="BK146" s="254" t="s">
        <v>868</v>
      </c>
      <c r="BL146" s="320" t="s">
        <v>870</v>
      </c>
      <c r="BM146" s="320" t="s">
        <v>868</v>
      </c>
      <c r="BN146" s="320" t="s">
        <v>868</v>
      </c>
      <c r="BO146" s="254" t="s">
        <v>870</v>
      </c>
      <c r="BP146" s="254" t="s">
        <v>870</v>
      </c>
    </row>
    <row r="147" spans="1:68" ht="30.75" thickBot="1">
      <c r="A147" s="232" t="s">
        <v>1036</v>
      </c>
      <c r="B147" s="232" t="s">
        <v>864</v>
      </c>
      <c r="C147" s="232" t="s">
        <v>1102</v>
      </c>
      <c r="D147" s="232" t="s">
        <v>1158</v>
      </c>
      <c r="E147" s="232"/>
      <c r="F147" s="233" t="s">
        <v>1159</v>
      </c>
      <c r="G147" s="350">
        <f>VLOOKUP(D147,'2025 NPI'!D:L,3,0)</f>
        <v>45576</v>
      </c>
      <c r="H147" s="350">
        <f>VLOOKUP(D147,'2025 NPI'!D:L,4,0)</f>
        <v>45674</v>
      </c>
      <c r="I147" s="351"/>
      <c r="K147" s="254" t="s">
        <v>870</v>
      </c>
      <c r="L147" s="253" t="s">
        <v>868</v>
      </c>
      <c r="M147" s="253" t="s">
        <v>868</v>
      </c>
      <c r="N147" s="253" t="s">
        <v>868</v>
      </c>
      <c r="O147" s="253" t="s">
        <v>868</v>
      </c>
      <c r="P147" s="253" t="s">
        <v>870</v>
      </c>
      <c r="Q147" s="253" t="s">
        <v>868</v>
      </c>
      <c r="R147" s="253" t="s">
        <v>870</v>
      </c>
      <c r="S147" s="253" t="s">
        <v>978</v>
      </c>
      <c r="T147" s="253" t="s">
        <v>978</v>
      </c>
      <c r="U147" s="253" t="s">
        <v>978</v>
      </c>
      <c r="V147" s="253" t="s">
        <v>978</v>
      </c>
      <c r="W147" s="253" t="s">
        <v>978</v>
      </c>
      <c r="X147" s="253" t="s">
        <v>870</v>
      </c>
      <c r="Y147" s="253" t="s">
        <v>868</v>
      </c>
      <c r="Z147" s="253" t="s">
        <v>870</v>
      </c>
      <c r="AA147" s="253" t="s">
        <v>868</v>
      </c>
      <c r="AB147" s="254" t="s">
        <v>870</v>
      </c>
      <c r="AC147" s="254" t="s">
        <v>870</v>
      </c>
      <c r="AD147" s="254" t="s">
        <v>870</v>
      </c>
      <c r="AE147" s="254" t="s">
        <v>870</v>
      </c>
      <c r="AF147" s="254" t="s">
        <v>870</v>
      </c>
      <c r="AG147" s="254" t="s">
        <v>870</v>
      </c>
      <c r="AH147" s="254" t="s">
        <v>870</v>
      </c>
      <c r="AI147" s="253" t="s">
        <v>868</v>
      </c>
      <c r="AJ147" s="253" t="s">
        <v>978</v>
      </c>
      <c r="AK147" s="253" t="s">
        <v>978</v>
      </c>
      <c r="AL147" s="253" t="s">
        <v>978</v>
      </c>
      <c r="AM147" s="253" t="s">
        <v>978</v>
      </c>
      <c r="AN147" s="253" t="s">
        <v>978</v>
      </c>
      <c r="AO147" s="253" t="s">
        <v>978</v>
      </c>
      <c r="AP147" s="253" t="s">
        <v>978</v>
      </c>
      <c r="AQ147" s="253" t="s">
        <v>978</v>
      </c>
      <c r="AR147" s="253" t="s">
        <v>978</v>
      </c>
      <c r="AS147" s="253" t="s">
        <v>978</v>
      </c>
      <c r="AT147" s="253" t="s">
        <v>978</v>
      </c>
      <c r="AU147" s="253" t="s">
        <v>978</v>
      </c>
      <c r="AV147" s="253" t="s">
        <v>978</v>
      </c>
      <c r="AW147" s="253" t="s">
        <v>978</v>
      </c>
      <c r="AX147" s="253" t="s">
        <v>978</v>
      </c>
      <c r="AY147" s="253" t="s">
        <v>978</v>
      </c>
      <c r="AZ147" s="253" t="s">
        <v>978</v>
      </c>
      <c r="BA147" s="253" t="s">
        <v>978</v>
      </c>
      <c r="BB147" s="253" t="s">
        <v>978</v>
      </c>
      <c r="BC147" s="254" t="s">
        <v>870</v>
      </c>
      <c r="BD147" s="254" t="s">
        <v>870</v>
      </c>
      <c r="BE147" s="254" t="s">
        <v>868</v>
      </c>
      <c r="BF147" s="254" t="s">
        <v>868</v>
      </c>
      <c r="BG147" s="255" t="s">
        <v>978</v>
      </c>
      <c r="BH147" s="255" t="s">
        <v>978</v>
      </c>
      <c r="BI147" s="254" t="s">
        <v>868</v>
      </c>
      <c r="BJ147" s="254" t="s">
        <v>870</v>
      </c>
      <c r="BK147" s="254" t="s">
        <v>1040</v>
      </c>
      <c r="BL147" s="320" t="s">
        <v>870</v>
      </c>
      <c r="BM147" s="320" t="s">
        <v>868</v>
      </c>
      <c r="BN147" s="254" t="s">
        <v>870</v>
      </c>
      <c r="BO147" s="320" t="s">
        <v>868</v>
      </c>
      <c r="BP147" s="254" t="s">
        <v>870</v>
      </c>
    </row>
    <row r="148" spans="1:68">
      <c r="A148" s="230" t="s">
        <v>1160</v>
      </c>
      <c r="B148" s="230" t="s">
        <v>899</v>
      </c>
      <c r="C148" s="230"/>
      <c r="D148" s="230" t="s">
        <v>1161</v>
      </c>
      <c r="E148" s="230" t="str">
        <f>VLOOKUP(D148,'2026 NPI'!D:L,2,0)</f>
        <v>No</v>
      </c>
      <c r="F148" s="231" t="str">
        <f>VLOOKUP(D148,'2026 NPI'!D:L,3,0)</f>
        <v>HP EliteType G1a Keyboard PC</v>
      </c>
      <c r="G148" s="282">
        <f>VLOOKUP(D148,'2026 NPI'!D:L,5,0)</f>
        <v>45975</v>
      </c>
      <c r="H148" s="282">
        <f>VLOOKUP(D148,'2026 NPI'!D:L,6,0)</f>
        <v>45996</v>
      </c>
      <c r="I148" s="250"/>
      <c r="K148" s="253" t="s">
        <v>868</v>
      </c>
      <c r="L148" s="253" t="s">
        <v>868</v>
      </c>
      <c r="M148" s="253" t="s">
        <v>868</v>
      </c>
      <c r="N148" s="253" t="s">
        <v>868</v>
      </c>
      <c r="O148" s="253"/>
      <c r="P148" s="253"/>
      <c r="Q148" s="253"/>
      <c r="R148" s="253"/>
      <c r="S148" s="253"/>
      <c r="T148" s="253"/>
      <c r="U148" s="253"/>
      <c r="V148" s="253"/>
      <c r="W148" s="253"/>
      <c r="X148" s="253"/>
      <c r="Y148" s="253"/>
      <c r="Z148" s="253"/>
      <c r="AA148" s="253"/>
      <c r="AB148" s="254"/>
      <c r="AC148" s="254"/>
      <c r="AD148" s="254"/>
      <c r="AE148" s="254"/>
      <c r="AF148" s="254"/>
      <c r="AG148" s="254"/>
      <c r="AH148" s="254"/>
      <c r="AI148" s="253" t="s">
        <v>868</v>
      </c>
      <c r="AJ148" s="253" t="s">
        <v>978</v>
      </c>
      <c r="AK148" s="253" t="s">
        <v>978</v>
      </c>
      <c r="AL148" s="253" t="s">
        <v>978</v>
      </c>
      <c r="AM148" s="253" t="s">
        <v>978</v>
      </c>
      <c r="AN148" s="253" t="s">
        <v>978</v>
      </c>
      <c r="AO148" s="253" t="s">
        <v>978</v>
      </c>
      <c r="AP148" s="253" t="s">
        <v>978</v>
      </c>
      <c r="AQ148" s="253" t="s">
        <v>978</v>
      </c>
      <c r="AR148" s="253" t="s">
        <v>978</v>
      </c>
      <c r="AS148" s="253" t="s">
        <v>978</v>
      </c>
      <c r="AT148" s="253" t="s">
        <v>978</v>
      </c>
      <c r="AU148" s="253" t="s">
        <v>978</v>
      </c>
      <c r="AV148" s="253" t="s">
        <v>978</v>
      </c>
      <c r="AW148" s="253" t="s">
        <v>978</v>
      </c>
      <c r="AX148" s="253" t="s">
        <v>978</v>
      </c>
      <c r="AY148" s="253" t="s">
        <v>978</v>
      </c>
      <c r="AZ148" s="253" t="s">
        <v>978</v>
      </c>
      <c r="BA148" s="253" t="s">
        <v>978</v>
      </c>
      <c r="BB148" s="253" t="s">
        <v>978</v>
      </c>
      <c r="BC148" s="128"/>
      <c r="BD148" s="128"/>
      <c r="BE148" s="254" t="s">
        <v>868</v>
      </c>
      <c r="BF148" s="254" t="s">
        <v>868</v>
      </c>
      <c r="BG148" s="255" t="s">
        <v>978</v>
      </c>
      <c r="BH148" s="254" t="s">
        <v>868</v>
      </c>
      <c r="BI148" s="254" t="s">
        <v>868</v>
      </c>
      <c r="BJ148" s="254" t="s">
        <v>870</v>
      </c>
      <c r="BK148" s="254" t="s">
        <v>868</v>
      </c>
      <c r="BL148" s="320" t="s">
        <v>870</v>
      </c>
      <c r="BM148" s="320" t="s">
        <v>868</v>
      </c>
      <c r="BN148" s="320" t="s">
        <v>868</v>
      </c>
      <c r="BO148" s="320" t="s">
        <v>870</v>
      </c>
      <c r="BP148" s="320" t="s">
        <v>870</v>
      </c>
    </row>
    <row r="149" spans="1:68" ht="45">
      <c r="A149" s="196" t="s">
        <v>1160</v>
      </c>
      <c r="B149" s="196" t="s">
        <v>864</v>
      </c>
      <c r="C149" s="196" t="s">
        <v>1162</v>
      </c>
      <c r="D149" s="196" t="s">
        <v>1163</v>
      </c>
      <c r="E149" s="230" t="str">
        <f>VLOOKUP(D149,'2026 NPI'!D:L,2,0)</f>
        <v>Yes</v>
      </c>
      <c r="F149" s="198" t="str">
        <f>VLOOKUP(D149,'2026 NPI'!D:L,3,0)</f>
        <v>HP EliteBook X G2i 14 inch Notebook Next Gen AI PC​</v>
      </c>
      <c r="G149" s="282">
        <f>VLOOKUP(D149,'2026 NPI'!D:L,5,0)</f>
        <v>45975</v>
      </c>
      <c r="H149" s="282">
        <f>VLOOKUP(D149,'2026 NPI'!D:L,6,0)</f>
        <v>45996</v>
      </c>
      <c r="I149" s="235"/>
      <c r="K149" s="253" t="s">
        <v>870</v>
      </c>
      <c r="L149" s="253" t="s">
        <v>868</v>
      </c>
      <c r="M149" s="253" t="s">
        <v>868</v>
      </c>
      <c r="N149" s="253" t="s">
        <v>868</v>
      </c>
      <c r="O149" s="253"/>
      <c r="P149" s="253"/>
      <c r="Q149" s="253"/>
      <c r="R149" s="253"/>
      <c r="S149" s="253"/>
      <c r="T149" s="253"/>
      <c r="U149" s="253"/>
      <c r="V149" s="253"/>
      <c r="W149" s="253"/>
      <c r="X149" s="253"/>
      <c r="Y149" s="253"/>
      <c r="Z149" s="253"/>
      <c r="AA149" s="253"/>
      <c r="AB149" s="254"/>
      <c r="AC149" s="254"/>
      <c r="AD149" s="254"/>
      <c r="AE149" s="254"/>
      <c r="AF149" s="254"/>
      <c r="AG149" s="254"/>
      <c r="AH149" s="254"/>
      <c r="AI149" s="253" t="s">
        <v>868</v>
      </c>
      <c r="AJ149" s="253" t="s">
        <v>978</v>
      </c>
      <c r="AK149" s="253" t="s">
        <v>978</v>
      </c>
      <c r="AL149" s="253" t="s">
        <v>978</v>
      </c>
      <c r="AM149" s="253" t="s">
        <v>978</v>
      </c>
      <c r="AN149" s="253" t="s">
        <v>978</v>
      </c>
      <c r="AO149" s="253" t="s">
        <v>978</v>
      </c>
      <c r="AP149" s="253" t="s">
        <v>978</v>
      </c>
      <c r="AQ149" s="253" t="s">
        <v>978</v>
      </c>
      <c r="AR149" s="253" t="s">
        <v>978</v>
      </c>
      <c r="AS149" s="253" t="s">
        <v>978</v>
      </c>
      <c r="AT149" s="253" t="s">
        <v>978</v>
      </c>
      <c r="AU149" s="253" t="s">
        <v>978</v>
      </c>
      <c r="AV149" s="253" t="s">
        <v>978</v>
      </c>
      <c r="AW149" s="253" t="s">
        <v>978</v>
      </c>
      <c r="AX149" s="253" t="s">
        <v>978</v>
      </c>
      <c r="AY149" s="253" t="s">
        <v>978</v>
      </c>
      <c r="AZ149" s="253" t="s">
        <v>978</v>
      </c>
      <c r="BA149" s="253" t="s">
        <v>978</v>
      </c>
      <c r="BB149" s="253" t="s">
        <v>978</v>
      </c>
      <c r="BC149" s="128"/>
      <c r="BD149" s="128"/>
      <c r="BE149" s="254" t="s">
        <v>868</v>
      </c>
      <c r="BF149" s="254" t="s">
        <v>868</v>
      </c>
      <c r="BG149" s="254" t="s">
        <v>868</v>
      </c>
      <c r="BH149" s="254" t="s">
        <v>868</v>
      </c>
      <c r="BI149" s="254" t="s">
        <v>868</v>
      </c>
      <c r="BJ149" s="254" t="s">
        <v>870</v>
      </c>
      <c r="BK149" s="254" t="s">
        <v>868</v>
      </c>
      <c r="BL149" s="254" t="s">
        <v>868</v>
      </c>
      <c r="BM149" s="320" t="s">
        <v>868</v>
      </c>
      <c r="BN149" s="320" t="s">
        <v>868</v>
      </c>
      <c r="BO149" s="320" t="s">
        <v>868</v>
      </c>
      <c r="BP149" s="320" t="s">
        <v>868</v>
      </c>
    </row>
    <row r="150" spans="1:68" ht="45">
      <c r="A150" s="196" t="s">
        <v>1160</v>
      </c>
      <c r="B150" s="196" t="s">
        <v>864</v>
      </c>
      <c r="C150" s="196" t="s">
        <v>1162</v>
      </c>
      <c r="D150" s="196" t="s">
        <v>1164</v>
      </c>
      <c r="E150" s="230" t="str">
        <f>VLOOKUP(D150,'2026 NPI'!D:L,2,0)</f>
        <v>Yes</v>
      </c>
      <c r="F150" s="198" t="str">
        <f>VLOOKUP(D150,'2026 NPI'!D:L,3,0)</f>
        <v>HP EliteBook X Flip G2i 14 inch Notebook Next Gen AI PC​</v>
      </c>
      <c r="G150" s="282">
        <f>VLOOKUP(D150,'2026 NPI'!D:L,5,0)</f>
        <v>45975</v>
      </c>
      <c r="H150" s="282">
        <f>VLOOKUP(D150,'2026 NPI'!D:L,6,0)</f>
        <v>45996</v>
      </c>
      <c r="I150" s="235"/>
      <c r="K150" s="253" t="s">
        <v>870</v>
      </c>
      <c r="L150" s="253" t="s">
        <v>868</v>
      </c>
      <c r="M150" s="253" t="s">
        <v>868</v>
      </c>
      <c r="N150" s="253" t="s">
        <v>868</v>
      </c>
      <c r="O150" s="253"/>
      <c r="P150" s="253"/>
      <c r="Q150" s="253"/>
      <c r="R150" s="253"/>
      <c r="S150" s="253"/>
      <c r="T150" s="253"/>
      <c r="U150" s="253"/>
      <c r="V150" s="253"/>
      <c r="W150" s="253"/>
      <c r="X150" s="253"/>
      <c r="Y150" s="253"/>
      <c r="Z150" s="253"/>
      <c r="AA150" s="253"/>
      <c r="AB150" s="254"/>
      <c r="AC150" s="254"/>
      <c r="AD150" s="254"/>
      <c r="AE150" s="254"/>
      <c r="AF150" s="254"/>
      <c r="AG150" s="254"/>
      <c r="AH150" s="254"/>
      <c r="AI150" s="253" t="s">
        <v>868</v>
      </c>
      <c r="AJ150" s="253" t="s">
        <v>978</v>
      </c>
      <c r="AK150" s="253" t="s">
        <v>978</v>
      </c>
      <c r="AL150" s="253" t="s">
        <v>978</v>
      </c>
      <c r="AM150" s="253" t="s">
        <v>978</v>
      </c>
      <c r="AN150" s="253" t="s">
        <v>978</v>
      </c>
      <c r="AO150" s="253" t="s">
        <v>978</v>
      </c>
      <c r="AP150" s="253" t="s">
        <v>978</v>
      </c>
      <c r="AQ150" s="253" t="s">
        <v>978</v>
      </c>
      <c r="AR150" s="253" t="s">
        <v>978</v>
      </c>
      <c r="AS150" s="253" t="s">
        <v>978</v>
      </c>
      <c r="AT150" s="253" t="s">
        <v>978</v>
      </c>
      <c r="AU150" s="253" t="s">
        <v>978</v>
      </c>
      <c r="AV150" s="253" t="s">
        <v>978</v>
      </c>
      <c r="AW150" s="253" t="s">
        <v>978</v>
      </c>
      <c r="AX150" s="253" t="s">
        <v>978</v>
      </c>
      <c r="AY150" s="253" t="s">
        <v>978</v>
      </c>
      <c r="AZ150" s="253" t="s">
        <v>978</v>
      </c>
      <c r="BA150" s="253" t="s">
        <v>978</v>
      </c>
      <c r="BB150" s="253" t="s">
        <v>978</v>
      </c>
      <c r="BC150" s="128"/>
      <c r="BD150" s="128"/>
      <c r="BE150" s="254" t="s">
        <v>868</v>
      </c>
      <c r="BF150" s="254" t="s">
        <v>868</v>
      </c>
      <c r="BG150" s="254" t="s">
        <v>868</v>
      </c>
      <c r="BH150" s="254" t="s">
        <v>868</v>
      </c>
      <c r="BI150" s="254" t="s">
        <v>868</v>
      </c>
      <c r="BJ150" s="254" t="s">
        <v>868</v>
      </c>
      <c r="BK150" s="254" t="s">
        <v>868</v>
      </c>
      <c r="BL150" s="254" t="s">
        <v>868</v>
      </c>
      <c r="BM150" s="320" t="s">
        <v>868</v>
      </c>
      <c r="BN150" s="320" t="s">
        <v>868</v>
      </c>
      <c r="BO150" s="320" t="s">
        <v>868</v>
      </c>
      <c r="BP150" s="320" t="s">
        <v>868</v>
      </c>
    </row>
    <row r="151" spans="1:68" ht="30">
      <c r="A151" s="196" t="s">
        <v>1160</v>
      </c>
      <c r="B151" s="196" t="s">
        <v>864</v>
      </c>
      <c r="C151" s="196" t="s">
        <v>1162</v>
      </c>
      <c r="D151" s="196" t="s">
        <v>1165</v>
      </c>
      <c r="E151" s="230" t="str">
        <f>VLOOKUP(D151,'2026 NPI'!D:L,2,0)</f>
        <v>Yes</v>
      </c>
      <c r="F151" s="198" t="str">
        <f>VLOOKUP(D151,'2026 NPI'!D:L,3,0)</f>
        <v>HP EliteBook X G2a 14 inch Notebook Next Gen AI PC​</v>
      </c>
      <c r="G151" s="282">
        <f>VLOOKUP(D151,'2026 NPI'!D:L,5,0)</f>
        <v>46014</v>
      </c>
      <c r="H151" s="282">
        <f>VLOOKUP(D151,'2026 NPI'!D:L,6,0)</f>
        <v>46035</v>
      </c>
      <c r="I151" s="235"/>
      <c r="K151" s="253" t="s">
        <v>870</v>
      </c>
      <c r="L151" s="253" t="s">
        <v>868</v>
      </c>
      <c r="M151" s="253" t="s">
        <v>868</v>
      </c>
      <c r="N151" s="253" t="s">
        <v>868</v>
      </c>
      <c r="O151" s="253"/>
      <c r="P151" s="253"/>
      <c r="Q151" s="253"/>
      <c r="R151" s="253"/>
      <c r="S151" s="253"/>
      <c r="T151" s="253"/>
      <c r="U151" s="253"/>
      <c r="V151" s="253"/>
      <c r="W151" s="253"/>
      <c r="X151" s="253"/>
      <c r="Y151" s="253"/>
      <c r="Z151" s="253"/>
      <c r="AA151" s="253"/>
      <c r="AB151" s="254"/>
      <c r="AC151" s="254"/>
      <c r="AD151" s="254"/>
      <c r="AE151" s="254"/>
      <c r="AF151" s="254"/>
      <c r="AG151" s="254"/>
      <c r="AH151" s="254"/>
      <c r="AI151" s="253" t="s">
        <v>868</v>
      </c>
      <c r="AJ151" s="253" t="s">
        <v>978</v>
      </c>
      <c r="AK151" s="253" t="s">
        <v>978</v>
      </c>
      <c r="AL151" s="253" t="s">
        <v>978</v>
      </c>
      <c r="AM151" s="253" t="s">
        <v>978</v>
      </c>
      <c r="AN151" s="253" t="s">
        <v>978</v>
      </c>
      <c r="AO151" s="253" t="s">
        <v>978</v>
      </c>
      <c r="AP151" s="253" t="s">
        <v>978</v>
      </c>
      <c r="AQ151" s="253" t="s">
        <v>978</v>
      </c>
      <c r="AR151" s="253" t="s">
        <v>978</v>
      </c>
      <c r="AS151" s="253" t="s">
        <v>978</v>
      </c>
      <c r="AT151" s="253" t="s">
        <v>978</v>
      </c>
      <c r="AU151" s="253" t="s">
        <v>978</v>
      </c>
      <c r="AV151" s="253" t="s">
        <v>978</v>
      </c>
      <c r="AW151" s="253" t="s">
        <v>978</v>
      </c>
      <c r="AX151" s="253" t="s">
        <v>978</v>
      </c>
      <c r="AY151" s="253" t="s">
        <v>978</v>
      </c>
      <c r="AZ151" s="253" t="s">
        <v>978</v>
      </c>
      <c r="BA151" s="253" t="s">
        <v>978</v>
      </c>
      <c r="BB151" s="253" t="s">
        <v>978</v>
      </c>
      <c r="BC151" s="128"/>
      <c r="BD151" s="128"/>
      <c r="BE151" s="254" t="s">
        <v>868</v>
      </c>
      <c r="BF151" s="254" t="s">
        <v>868</v>
      </c>
      <c r="BG151" s="254" t="s">
        <v>868</v>
      </c>
      <c r="BH151" s="254" t="s">
        <v>868</v>
      </c>
      <c r="BI151" s="254" t="s">
        <v>868</v>
      </c>
      <c r="BJ151" s="254" t="s">
        <v>870</v>
      </c>
      <c r="BK151" s="254" t="s">
        <v>868</v>
      </c>
      <c r="BL151" s="254" t="s">
        <v>868</v>
      </c>
      <c r="BM151" s="320" t="s">
        <v>868</v>
      </c>
      <c r="BN151" s="320" t="s">
        <v>868</v>
      </c>
      <c r="BO151" s="320" t="s">
        <v>868</v>
      </c>
      <c r="BP151" s="320" t="s">
        <v>868</v>
      </c>
    </row>
    <row r="152" spans="1:68" ht="30">
      <c r="A152" s="196" t="s">
        <v>1160</v>
      </c>
      <c r="B152" s="196" t="s">
        <v>864</v>
      </c>
      <c r="C152" s="196" t="s">
        <v>1166</v>
      </c>
      <c r="D152" s="196" t="s">
        <v>1167</v>
      </c>
      <c r="E152" s="230" t="str">
        <f>VLOOKUP(D152,'2026 NPI'!D:L,2,0)</f>
        <v>Yes</v>
      </c>
      <c r="F152" s="198" t="str">
        <f>VLOOKUP(D152,'2026 NPI'!D:L,3,0)</f>
        <v>HP EliteBook 8 G2i 13 inch Notebook Next Gen AI PC​</v>
      </c>
      <c r="G152" s="282">
        <f>VLOOKUP(D152,'2026 NPI'!D:L,5,0)</f>
        <v>46014</v>
      </c>
      <c r="H152" s="282">
        <f>VLOOKUP(D152,'2026 NPI'!D:L,6,0)</f>
        <v>46037</v>
      </c>
      <c r="I152" s="235"/>
      <c r="K152" s="253" t="s">
        <v>870</v>
      </c>
      <c r="L152" s="253" t="s">
        <v>868</v>
      </c>
      <c r="M152" s="253" t="s">
        <v>868</v>
      </c>
      <c r="N152" s="253" t="s">
        <v>868</v>
      </c>
      <c r="O152" s="253"/>
      <c r="P152" s="253"/>
      <c r="Q152" s="253"/>
      <c r="R152" s="253"/>
      <c r="S152" s="253"/>
      <c r="T152" s="253"/>
      <c r="U152" s="253"/>
      <c r="V152" s="253"/>
      <c r="W152" s="253"/>
      <c r="X152" s="253"/>
      <c r="Y152" s="253"/>
      <c r="Z152" s="253"/>
      <c r="AA152" s="253"/>
      <c r="AB152" s="254"/>
      <c r="AC152" s="254"/>
      <c r="AD152" s="254"/>
      <c r="AE152" s="254"/>
      <c r="AF152" s="254"/>
      <c r="AG152" s="254"/>
      <c r="AH152" s="254"/>
      <c r="AI152" s="253" t="s">
        <v>868</v>
      </c>
      <c r="AJ152" s="253" t="s">
        <v>978</v>
      </c>
      <c r="AK152" s="253" t="s">
        <v>978</v>
      </c>
      <c r="AL152" s="253" t="s">
        <v>978</v>
      </c>
      <c r="AM152" s="253" t="s">
        <v>978</v>
      </c>
      <c r="AN152" s="253" t="s">
        <v>978</v>
      </c>
      <c r="AO152" s="253" t="s">
        <v>978</v>
      </c>
      <c r="AP152" s="253" t="s">
        <v>978</v>
      </c>
      <c r="AQ152" s="253" t="s">
        <v>978</v>
      </c>
      <c r="AR152" s="253" t="s">
        <v>978</v>
      </c>
      <c r="AS152" s="253" t="s">
        <v>978</v>
      </c>
      <c r="AT152" s="253" t="s">
        <v>978</v>
      </c>
      <c r="AU152" s="253" t="s">
        <v>978</v>
      </c>
      <c r="AV152" s="253" t="s">
        <v>978</v>
      </c>
      <c r="AW152" s="253" t="s">
        <v>978</v>
      </c>
      <c r="AX152" s="253" t="s">
        <v>978</v>
      </c>
      <c r="AY152" s="253" t="s">
        <v>978</v>
      </c>
      <c r="AZ152" s="253" t="s">
        <v>978</v>
      </c>
      <c r="BA152" s="253" t="s">
        <v>978</v>
      </c>
      <c r="BB152" s="253" t="s">
        <v>978</v>
      </c>
      <c r="BC152" s="128"/>
      <c r="BD152" s="128"/>
      <c r="BE152" s="254" t="s">
        <v>868</v>
      </c>
      <c r="BF152" s="254" t="s">
        <v>868</v>
      </c>
      <c r="BG152" s="254" t="s">
        <v>868</v>
      </c>
      <c r="BH152" s="254" t="s">
        <v>868</v>
      </c>
      <c r="BI152" s="254" t="s">
        <v>868</v>
      </c>
      <c r="BJ152" s="254" t="s">
        <v>870</v>
      </c>
      <c r="BK152" s="254" t="s">
        <v>868</v>
      </c>
      <c r="BL152" s="320" t="s">
        <v>870</v>
      </c>
      <c r="BM152" s="320" t="s">
        <v>868</v>
      </c>
      <c r="BN152" s="320" t="s">
        <v>868</v>
      </c>
      <c r="BO152" s="320" t="s">
        <v>868</v>
      </c>
      <c r="BP152" s="320" t="s">
        <v>868</v>
      </c>
    </row>
    <row r="153" spans="1:68" ht="30">
      <c r="A153" s="196" t="s">
        <v>1160</v>
      </c>
      <c r="B153" s="196" t="s">
        <v>864</v>
      </c>
      <c r="C153" s="196" t="s">
        <v>1166</v>
      </c>
      <c r="D153" s="196" t="s">
        <v>1168</v>
      </c>
      <c r="E153" s="230" t="str">
        <f>VLOOKUP(D153,'2026 NPI'!D:L,2,0)</f>
        <v>Yes</v>
      </c>
      <c r="F153" s="198" t="str">
        <f>VLOOKUP(D153,'2026 NPI'!D:L,3,0)</f>
        <v>HP EliteBook 8 FLIP G2i 13 inch Notebook Next Gen AI PC​</v>
      </c>
      <c r="G153" s="282">
        <f>VLOOKUP(D153,'2026 NPI'!D:L,5,0)</f>
        <v>46014</v>
      </c>
      <c r="H153" s="282">
        <f>VLOOKUP(D153,'2026 NPI'!D:L,6,0)</f>
        <v>46037</v>
      </c>
      <c r="I153" s="235"/>
      <c r="K153" s="253" t="s">
        <v>870</v>
      </c>
      <c r="L153" s="253" t="s">
        <v>868</v>
      </c>
      <c r="M153" s="253" t="s">
        <v>868</v>
      </c>
      <c r="N153" s="253" t="s">
        <v>868</v>
      </c>
      <c r="O153" s="253"/>
      <c r="P153" s="253"/>
      <c r="Q153" s="253"/>
      <c r="R153" s="253"/>
      <c r="S153" s="253"/>
      <c r="T153" s="253"/>
      <c r="U153" s="253"/>
      <c r="V153" s="253"/>
      <c r="W153" s="253"/>
      <c r="X153" s="253"/>
      <c r="Y153" s="253"/>
      <c r="Z153" s="253"/>
      <c r="AA153" s="253"/>
      <c r="AB153" s="254"/>
      <c r="AC153" s="254"/>
      <c r="AD153" s="254"/>
      <c r="AE153" s="254"/>
      <c r="AF153" s="254"/>
      <c r="AG153" s="254"/>
      <c r="AH153" s="254"/>
      <c r="AI153" s="253" t="s">
        <v>868</v>
      </c>
      <c r="AJ153" s="253" t="s">
        <v>978</v>
      </c>
      <c r="AK153" s="253" t="s">
        <v>978</v>
      </c>
      <c r="AL153" s="253" t="s">
        <v>978</v>
      </c>
      <c r="AM153" s="253" t="s">
        <v>978</v>
      </c>
      <c r="AN153" s="253" t="s">
        <v>978</v>
      </c>
      <c r="AO153" s="253" t="s">
        <v>978</v>
      </c>
      <c r="AP153" s="253" t="s">
        <v>978</v>
      </c>
      <c r="AQ153" s="253" t="s">
        <v>978</v>
      </c>
      <c r="AR153" s="253" t="s">
        <v>978</v>
      </c>
      <c r="AS153" s="253" t="s">
        <v>978</v>
      </c>
      <c r="AT153" s="253" t="s">
        <v>978</v>
      </c>
      <c r="AU153" s="253" t="s">
        <v>978</v>
      </c>
      <c r="AV153" s="253" t="s">
        <v>978</v>
      </c>
      <c r="AW153" s="253" t="s">
        <v>978</v>
      </c>
      <c r="AX153" s="253" t="s">
        <v>978</v>
      </c>
      <c r="AY153" s="253" t="s">
        <v>978</v>
      </c>
      <c r="AZ153" s="253" t="s">
        <v>978</v>
      </c>
      <c r="BA153" s="253" t="s">
        <v>978</v>
      </c>
      <c r="BB153" s="253" t="s">
        <v>978</v>
      </c>
      <c r="BC153" s="128"/>
      <c r="BD153" s="128"/>
      <c r="BE153" s="254" t="s">
        <v>868</v>
      </c>
      <c r="BF153" s="254" t="s">
        <v>868</v>
      </c>
      <c r="BG153" s="254" t="s">
        <v>868</v>
      </c>
      <c r="BH153" s="254" t="s">
        <v>868</v>
      </c>
      <c r="BI153" s="254" t="s">
        <v>868</v>
      </c>
      <c r="BJ153" s="254" t="s">
        <v>868</v>
      </c>
      <c r="BK153" s="254" t="s">
        <v>868</v>
      </c>
      <c r="BL153" s="320" t="s">
        <v>870</v>
      </c>
      <c r="BM153" s="320" t="s">
        <v>868</v>
      </c>
      <c r="BN153" s="320" t="s">
        <v>868</v>
      </c>
      <c r="BO153" s="320" t="s">
        <v>868</v>
      </c>
      <c r="BP153" s="320" t="s">
        <v>868</v>
      </c>
    </row>
    <row r="154" spans="1:68" ht="30">
      <c r="A154" s="196" t="s">
        <v>1160</v>
      </c>
      <c r="B154" s="196" t="s">
        <v>864</v>
      </c>
      <c r="C154" s="196" t="s">
        <v>1166</v>
      </c>
      <c r="D154" s="196" t="s">
        <v>1169</v>
      </c>
      <c r="E154" s="230" t="str">
        <f>VLOOKUP(D154,'2026 NPI'!D:L,2,0)</f>
        <v>Yes</v>
      </c>
      <c r="F154" s="198" t="str">
        <f>VLOOKUP(D154,'2026 NPI'!D:L,3,0)</f>
        <v>HP EliteBook 8 G2i 14 inch Notebook Next Gen AI PC​</v>
      </c>
      <c r="G154" s="282">
        <f>VLOOKUP(D154,'2026 NPI'!D:L,5,0)</f>
        <v>46014</v>
      </c>
      <c r="H154" s="282">
        <f>VLOOKUP(D154,'2026 NPI'!D:L,6,0)</f>
        <v>46037</v>
      </c>
      <c r="I154" s="235"/>
      <c r="K154" s="253" t="s">
        <v>870</v>
      </c>
      <c r="L154" s="253" t="s">
        <v>868</v>
      </c>
      <c r="M154" s="253" t="s">
        <v>868</v>
      </c>
      <c r="N154" s="253" t="s">
        <v>868</v>
      </c>
      <c r="O154" s="253"/>
      <c r="P154" s="253"/>
      <c r="Q154" s="253"/>
      <c r="R154" s="253"/>
      <c r="S154" s="253"/>
      <c r="T154" s="253"/>
      <c r="U154" s="253"/>
      <c r="V154" s="253"/>
      <c r="W154" s="253"/>
      <c r="X154" s="253"/>
      <c r="Y154" s="253"/>
      <c r="Z154" s="253"/>
      <c r="AA154" s="253"/>
      <c r="AB154" s="254"/>
      <c r="AC154" s="254"/>
      <c r="AD154" s="254"/>
      <c r="AE154" s="254"/>
      <c r="AF154" s="254"/>
      <c r="AG154" s="254"/>
      <c r="AH154" s="254"/>
      <c r="AI154" s="253" t="s">
        <v>868</v>
      </c>
      <c r="AJ154" s="253" t="s">
        <v>978</v>
      </c>
      <c r="AK154" s="253" t="s">
        <v>978</v>
      </c>
      <c r="AL154" s="253" t="s">
        <v>978</v>
      </c>
      <c r="AM154" s="253" t="s">
        <v>978</v>
      </c>
      <c r="AN154" s="253" t="s">
        <v>978</v>
      </c>
      <c r="AO154" s="253" t="s">
        <v>978</v>
      </c>
      <c r="AP154" s="253" t="s">
        <v>978</v>
      </c>
      <c r="AQ154" s="253" t="s">
        <v>978</v>
      </c>
      <c r="AR154" s="253" t="s">
        <v>978</v>
      </c>
      <c r="AS154" s="253" t="s">
        <v>978</v>
      </c>
      <c r="AT154" s="253" t="s">
        <v>978</v>
      </c>
      <c r="AU154" s="253" t="s">
        <v>978</v>
      </c>
      <c r="AV154" s="253" t="s">
        <v>978</v>
      </c>
      <c r="AW154" s="253" t="s">
        <v>978</v>
      </c>
      <c r="AX154" s="253" t="s">
        <v>978</v>
      </c>
      <c r="AY154" s="253" t="s">
        <v>978</v>
      </c>
      <c r="AZ154" s="253" t="s">
        <v>978</v>
      </c>
      <c r="BA154" s="253" t="s">
        <v>978</v>
      </c>
      <c r="BB154" s="253" t="s">
        <v>978</v>
      </c>
      <c r="BC154" s="128"/>
      <c r="BD154" s="128"/>
      <c r="BE154" s="254" t="s">
        <v>868</v>
      </c>
      <c r="BF154" s="254" t="s">
        <v>868</v>
      </c>
      <c r="BG154" s="254" t="s">
        <v>868</v>
      </c>
      <c r="BH154" s="254" t="s">
        <v>868</v>
      </c>
      <c r="BI154" s="254" t="s">
        <v>868</v>
      </c>
      <c r="BJ154" s="254" t="s">
        <v>870</v>
      </c>
      <c r="BK154" s="254" t="s">
        <v>868</v>
      </c>
      <c r="BL154" s="320" t="s">
        <v>870</v>
      </c>
      <c r="BM154" s="320" t="s">
        <v>868</v>
      </c>
      <c r="BN154" s="320" t="s">
        <v>868</v>
      </c>
      <c r="BO154" s="320" t="s">
        <v>868</v>
      </c>
      <c r="BP154" s="320" t="s">
        <v>868</v>
      </c>
    </row>
    <row r="155" spans="1:68" ht="30">
      <c r="A155" s="196" t="s">
        <v>1160</v>
      </c>
      <c r="B155" s="196" t="s">
        <v>864</v>
      </c>
      <c r="C155" s="196" t="s">
        <v>1166</v>
      </c>
      <c r="D155" s="196" t="s">
        <v>1170</v>
      </c>
      <c r="E155" s="230" t="str">
        <f>VLOOKUP(D155,'2026 NPI'!D:L,2,0)</f>
        <v>Yes</v>
      </c>
      <c r="F155" s="198" t="str">
        <f>VLOOKUP(D155,'2026 NPI'!D:L,3,0)</f>
        <v>HP EliteBook 8 G2i 16 inch Notebook Next Gen AI PC​</v>
      </c>
      <c r="G155" s="282">
        <f>VLOOKUP(D155,'2026 NPI'!D:L,5,0)</f>
        <v>46014</v>
      </c>
      <c r="H155" s="282">
        <f>VLOOKUP(D155,'2026 NPI'!D:L,6,0)</f>
        <v>46037</v>
      </c>
      <c r="I155" s="235"/>
      <c r="K155" s="253" t="s">
        <v>870</v>
      </c>
      <c r="L155" s="253" t="s">
        <v>868</v>
      </c>
      <c r="M155" s="253" t="s">
        <v>868</v>
      </c>
      <c r="N155" s="253" t="s">
        <v>868</v>
      </c>
      <c r="O155" s="253"/>
      <c r="P155" s="253"/>
      <c r="Q155" s="253"/>
      <c r="R155" s="253"/>
      <c r="S155" s="253"/>
      <c r="T155" s="253"/>
      <c r="U155" s="253"/>
      <c r="V155" s="253"/>
      <c r="W155" s="253"/>
      <c r="X155" s="253"/>
      <c r="Y155" s="253"/>
      <c r="Z155" s="253"/>
      <c r="AA155" s="253"/>
      <c r="AB155" s="254"/>
      <c r="AC155" s="254"/>
      <c r="AD155" s="254"/>
      <c r="AE155" s="254"/>
      <c r="AF155" s="254"/>
      <c r="AG155" s="254"/>
      <c r="AH155" s="254"/>
      <c r="AI155" s="253" t="s">
        <v>868</v>
      </c>
      <c r="AJ155" s="253" t="s">
        <v>978</v>
      </c>
      <c r="AK155" s="253" t="s">
        <v>978</v>
      </c>
      <c r="AL155" s="253" t="s">
        <v>978</v>
      </c>
      <c r="AM155" s="253" t="s">
        <v>978</v>
      </c>
      <c r="AN155" s="253" t="s">
        <v>978</v>
      </c>
      <c r="AO155" s="253" t="s">
        <v>978</v>
      </c>
      <c r="AP155" s="253" t="s">
        <v>978</v>
      </c>
      <c r="AQ155" s="253" t="s">
        <v>978</v>
      </c>
      <c r="AR155" s="253" t="s">
        <v>978</v>
      </c>
      <c r="AS155" s="253" t="s">
        <v>978</v>
      </c>
      <c r="AT155" s="253" t="s">
        <v>978</v>
      </c>
      <c r="AU155" s="253" t="s">
        <v>978</v>
      </c>
      <c r="AV155" s="253" t="s">
        <v>978</v>
      </c>
      <c r="AW155" s="253" t="s">
        <v>978</v>
      </c>
      <c r="AX155" s="253" t="s">
        <v>978</v>
      </c>
      <c r="AY155" s="253" t="s">
        <v>978</v>
      </c>
      <c r="AZ155" s="253" t="s">
        <v>978</v>
      </c>
      <c r="BA155" s="253" t="s">
        <v>978</v>
      </c>
      <c r="BB155" s="253" t="s">
        <v>978</v>
      </c>
      <c r="BC155" s="128"/>
      <c r="BD155" s="128"/>
      <c r="BE155" s="254" t="s">
        <v>868</v>
      </c>
      <c r="BF155" s="254" t="s">
        <v>868</v>
      </c>
      <c r="BG155" s="254" t="s">
        <v>868</v>
      </c>
      <c r="BH155" s="254" t="s">
        <v>868</v>
      </c>
      <c r="BI155" s="254" t="s">
        <v>868</v>
      </c>
      <c r="BJ155" s="254" t="s">
        <v>870</v>
      </c>
      <c r="BK155" s="254" t="s">
        <v>868</v>
      </c>
      <c r="BL155" s="320" t="s">
        <v>870</v>
      </c>
      <c r="BM155" s="320" t="s">
        <v>868</v>
      </c>
      <c r="BN155" s="320" t="s">
        <v>868</v>
      </c>
      <c r="BO155" s="320" t="s">
        <v>868</v>
      </c>
      <c r="BP155" s="320" t="s">
        <v>868</v>
      </c>
    </row>
    <row r="156" spans="1:68" ht="30">
      <c r="A156" s="196" t="s">
        <v>1160</v>
      </c>
      <c r="B156" s="196" t="s">
        <v>864</v>
      </c>
      <c r="C156" s="196" t="s">
        <v>1171</v>
      </c>
      <c r="D156" s="196" t="s">
        <v>1172</v>
      </c>
      <c r="E156" s="230" t="str">
        <f>VLOOKUP(D156,'2026 NPI'!D:L,2,0)</f>
        <v>No</v>
      </c>
      <c r="F156" s="198" t="str">
        <f>VLOOKUP(D156,'2026 NPI'!D:L,3,0)</f>
        <v>HP ZBook 8 G2i 14 inch Mobile Workstation PC​</v>
      </c>
      <c r="G156" s="282">
        <f>VLOOKUP(D156,'2026 NPI'!D:L,5,0)</f>
        <v>46014</v>
      </c>
      <c r="H156" s="282">
        <f>VLOOKUP(D156,'2026 NPI'!D:L,6,0)</f>
        <v>46037</v>
      </c>
      <c r="I156" s="235"/>
      <c r="K156" s="253" t="s">
        <v>868</v>
      </c>
      <c r="L156" s="253" t="s">
        <v>868</v>
      </c>
      <c r="M156" s="253" t="s">
        <v>868</v>
      </c>
      <c r="N156" s="253" t="s">
        <v>868</v>
      </c>
      <c r="O156" s="253"/>
      <c r="P156" s="253"/>
      <c r="Q156" s="253"/>
      <c r="R156" s="253"/>
      <c r="S156" s="253"/>
      <c r="T156" s="253"/>
      <c r="U156" s="253"/>
      <c r="V156" s="253"/>
      <c r="W156" s="253"/>
      <c r="X156" s="253"/>
      <c r="Y156" s="253"/>
      <c r="Z156" s="253"/>
      <c r="AA156" s="253"/>
      <c r="AB156" s="254"/>
      <c r="AC156" s="254"/>
      <c r="AD156" s="254"/>
      <c r="AE156" s="254"/>
      <c r="AF156" s="254"/>
      <c r="AG156" s="254"/>
      <c r="AH156" s="254"/>
      <c r="AI156" s="253" t="s">
        <v>868</v>
      </c>
      <c r="AJ156" s="253" t="s">
        <v>978</v>
      </c>
      <c r="AK156" s="253" t="s">
        <v>978</v>
      </c>
      <c r="AL156" s="253" t="s">
        <v>978</v>
      </c>
      <c r="AM156" s="253" t="s">
        <v>978</v>
      </c>
      <c r="AN156" s="253" t="s">
        <v>978</v>
      </c>
      <c r="AO156" s="253" t="s">
        <v>978</v>
      </c>
      <c r="AP156" s="253" t="s">
        <v>978</v>
      </c>
      <c r="AQ156" s="253" t="s">
        <v>978</v>
      </c>
      <c r="AR156" s="253" t="s">
        <v>978</v>
      </c>
      <c r="AS156" s="253" t="s">
        <v>978</v>
      </c>
      <c r="AT156" s="253" t="s">
        <v>978</v>
      </c>
      <c r="AU156" s="253" t="s">
        <v>978</v>
      </c>
      <c r="AV156" s="253" t="s">
        <v>978</v>
      </c>
      <c r="AW156" s="253" t="s">
        <v>978</v>
      </c>
      <c r="AX156" s="253" t="s">
        <v>978</v>
      </c>
      <c r="AY156" s="253" t="s">
        <v>978</v>
      </c>
      <c r="AZ156" s="253" t="s">
        <v>978</v>
      </c>
      <c r="BA156" s="253" t="s">
        <v>978</v>
      </c>
      <c r="BB156" s="253" t="s">
        <v>978</v>
      </c>
      <c r="BC156" s="128"/>
      <c r="BD156" s="128"/>
      <c r="BE156" s="254" t="s">
        <v>868</v>
      </c>
      <c r="BF156" s="254" t="s">
        <v>868</v>
      </c>
      <c r="BG156" s="254" t="s">
        <v>868</v>
      </c>
      <c r="BH156" s="254" t="s">
        <v>868</v>
      </c>
      <c r="BI156" s="254" t="s">
        <v>868</v>
      </c>
      <c r="BJ156" s="254" t="s">
        <v>870</v>
      </c>
      <c r="BK156" s="254" t="s">
        <v>868</v>
      </c>
      <c r="BL156" s="320" t="s">
        <v>870</v>
      </c>
      <c r="BM156" s="320" t="s">
        <v>868</v>
      </c>
      <c r="BN156" s="320" t="s">
        <v>868</v>
      </c>
      <c r="BO156" s="320" t="s">
        <v>868</v>
      </c>
      <c r="BP156" s="320" t="s">
        <v>868</v>
      </c>
    </row>
    <row r="157" spans="1:68" ht="30">
      <c r="A157" s="196" t="s">
        <v>1160</v>
      </c>
      <c r="B157" s="196" t="s">
        <v>864</v>
      </c>
      <c r="C157" s="196" t="s">
        <v>1171</v>
      </c>
      <c r="D157" s="196" t="s">
        <v>1173</v>
      </c>
      <c r="E157" s="230" t="str">
        <f>VLOOKUP(D157,'2026 NPI'!D:L,2,0)</f>
        <v>No</v>
      </c>
      <c r="F157" s="198" t="str">
        <f>VLOOKUP(D157,'2026 NPI'!D:L,3,0)</f>
        <v>HP ZBook 8 G2i 16 inch Mobile Workstation PC​</v>
      </c>
      <c r="G157" s="282">
        <f>VLOOKUP(D157,'2026 NPI'!D:L,5,0)</f>
        <v>46014</v>
      </c>
      <c r="H157" s="282">
        <f>VLOOKUP(D157,'2026 NPI'!D:L,6,0)</f>
        <v>46037</v>
      </c>
      <c r="I157" s="235"/>
      <c r="K157" s="253" t="s">
        <v>868</v>
      </c>
      <c r="L157" s="253" t="s">
        <v>868</v>
      </c>
      <c r="M157" s="253" t="s">
        <v>868</v>
      </c>
      <c r="N157" s="253" t="s">
        <v>868</v>
      </c>
      <c r="O157" s="253"/>
      <c r="P157" s="253"/>
      <c r="Q157" s="253"/>
      <c r="R157" s="253"/>
      <c r="S157" s="253"/>
      <c r="T157" s="253"/>
      <c r="U157" s="253"/>
      <c r="V157" s="253"/>
      <c r="W157" s="253"/>
      <c r="X157" s="253"/>
      <c r="Y157" s="253"/>
      <c r="Z157" s="253"/>
      <c r="AA157" s="253"/>
      <c r="AB157" s="254"/>
      <c r="AC157" s="254"/>
      <c r="AD157" s="254"/>
      <c r="AE157" s="254"/>
      <c r="AF157" s="254"/>
      <c r="AG157" s="254"/>
      <c r="AH157" s="254"/>
      <c r="AI157" s="253" t="s">
        <v>868</v>
      </c>
      <c r="AJ157" s="253" t="s">
        <v>978</v>
      </c>
      <c r="AK157" s="253" t="s">
        <v>978</v>
      </c>
      <c r="AL157" s="253" t="s">
        <v>978</v>
      </c>
      <c r="AM157" s="253" t="s">
        <v>978</v>
      </c>
      <c r="AN157" s="253" t="s">
        <v>978</v>
      </c>
      <c r="AO157" s="253" t="s">
        <v>978</v>
      </c>
      <c r="AP157" s="253" t="s">
        <v>978</v>
      </c>
      <c r="AQ157" s="253" t="s">
        <v>978</v>
      </c>
      <c r="AR157" s="253" t="s">
        <v>978</v>
      </c>
      <c r="AS157" s="253" t="s">
        <v>978</v>
      </c>
      <c r="AT157" s="253" t="s">
        <v>978</v>
      </c>
      <c r="AU157" s="253" t="s">
        <v>978</v>
      </c>
      <c r="AV157" s="253" t="s">
        <v>978</v>
      </c>
      <c r="AW157" s="253" t="s">
        <v>978</v>
      </c>
      <c r="AX157" s="253" t="s">
        <v>978</v>
      </c>
      <c r="AY157" s="253" t="s">
        <v>978</v>
      </c>
      <c r="AZ157" s="253" t="s">
        <v>978</v>
      </c>
      <c r="BA157" s="253" t="s">
        <v>978</v>
      </c>
      <c r="BB157" s="253" t="s">
        <v>978</v>
      </c>
      <c r="BC157" s="128"/>
      <c r="BD157" s="128"/>
      <c r="BE157" s="254" t="s">
        <v>868</v>
      </c>
      <c r="BF157" s="254" t="s">
        <v>868</v>
      </c>
      <c r="BG157" s="254" t="s">
        <v>868</v>
      </c>
      <c r="BH157" s="254" t="s">
        <v>868</v>
      </c>
      <c r="BI157" s="254" t="s">
        <v>868</v>
      </c>
      <c r="BJ157" s="254" t="s">
        <v>870</v>
      </c>
      <c r="BK157" s="254" t="s">
        <v>868</v>
      </c>
      <c r="BL157" s="320" t="s">
        <v>870</v>
      </c>
      <c r="BM157" s="320" t="s">
        <v>868</v>
      </c>
      <c r="BN157" s="320" t="s">
        <v>868</v>
      </c>
      <c r="BO157" s="320" t="s">
        <v>868</v>
      </c>
      <c r="BP157" s="320" t="s">
        <v>868</v>
      </c>
    </row>
    <row r="158" spans="1:68" ht="30">
      <c r="A158" s="196" t="s">
        <v>1160</v>
      </c>
      <c r="B158" s="196" t="s">
        <v>899</v>
      </c>
      <c r="C158" s="196" t="s">
        <v>1166</v>
      </c>
      <c r="D158" s="196" t="s">
        <v>1174</v>
      </c>
      <c r="E158" s="230" t="str">
        <f>VLOOKUP(D158,'2026 NPI'!D:L,2,0)</f>
        <v>Yes</v>
      </c>
      <c r="F158" s="198" t="str">
        <f>VLOOKUP(D158,'2026 NPI'!D:L,3,0)</f>
        <v>HP EliteDesk 8 Mini G2i Desktop Next Gen AI PC​</v>
      </c>
      <c r="G158" s="282">
        <f>VLOOKUP(D158,'2026 NPI'!D:L,5,0)</f>
        <v>46020</v>
      </c>
      <c r="H158" s="282">
        <f>VLOOKUP(D158,'2026 NPI'!D:L,6,0)</f>
        <v>46041</v>
      </c>
      <c r="I158" s="235"/>
      <c r="K158" s="253" t="s">
        <v>870</v>
      </c>
      <c r="L158" s="253" t="s">
        <v>868</v>
      </c>
      <c r="M158" s="253" t="s">
        <v>868</v>
      </c>
      <c r="N158" s="253" t="s">
        <v>868</v>
      </c>
      <c r="O158" s="253"/>
      <c r="P158" s="253"/>
      <c r="Q158" s="253"/>
      <c r="R158" s="253"/>
      <c r="S158" s="253"/>
      <c r="T158" s="253"/>
      <c r="U158" s="253"/>
      <c r="V158" s="253"/>
      <c r="W158" s="253"/>
      <c r="X158" s="253"/>
      <c r="Y158" s="253"/>
      <c r="Z158" s="253"/>
      <c r="AA158" s="253"/>
      <c r="AB158" s="254"/>
      <c r="AC158" s="254"/>
      <c r="AD158" s="254"/>
      <c r="AE158" s="254"/>
      <c r="AF158" s="254"/>
      <c r="AG158" s="254"/>
      <c r="AH158" s="254"/>
      <c r="AI158" s="254" t="s">
        <v>870</v>
      </c>
      <c r="AJ158" s="253" t="s">
        <v>978</v>
      </c>
      <c r="AK158" s="253" t="s">
        <v>978</v>
      </c>
      <c r="AL158" s="253" t="s">
        <v>978</v>
      </c>
      <c r="AM158" s="253" t="s">
        <v>978</v>
      </c>
      <c r="AN158" s="253" t="s">
        <v>978</v>
      </c>
      <c r="AO158" s="253" t="s">
        <v>978</v>
      </c>
      <c r="AP158" s="253" t="s">
        <v>978</v>
      </c>
      <c r="AQ158" s="253" t="s">
        <v>978</v>
      </c>
      <c r="AR158" s="253" t="s">
        <v>978</v>
      </c>
      <c r="AS158" s="253" t="s">
        <v>978</v>
      </c>
      <c r="AT158" s="253" t="s">
        <v>978</v>
      </c>
      <c r="AU158" s="253" t="s">
        <v>978</v>
      </c>
      <c r="AV158" s="253" t="s">
        <v>978</v>
      </c>
      <c r="AW158" s="253" t="s">
        <v>978</v>
      </c>
      <c r="AX158" s="253" t="s">
        <v>978</v>
      </c>
      <c r="AY158" s="253" t="s">
        <v>978</v>
      </c>
      <c r="AZ158" s="253" t="s">
        <v>978</v>
      </c>
      <c r="BA158" s="253" t="s">
        <v>978</v>
      </c>
      <c r="BB158" s="253" t="s">
        <v>978</v>
      </c>
      <c r="BC158" s="128"/>
      <c r="BD158" s="128"/>
      <c r="BE158" s="254" t="s">
        <v>870</v>
      </c>
      <c r="BF158" s="254" t="s">
        <v>870</v>
      </c>
      <c r="BG158" s="254" t="s">
        <v>868</v>
      </c>
      <c r="BH158" s="254" t="s">
        <v>870</v>
      </c>
      <c r="BI158" s="254" t="s">
        <v>868</v>
      </c>
      <c r="BJ158" s="254" t="s">
        <v>870</v>
      </c>
      <c r="BK158" s="254" t="s">
        <v>870</v>
      </c>
      <c r="BL158" s="320" t="s">
        <v>870</v>
      </c>
      <c r="BM158" s="320" t="s">
        <v>868</v>
      </c>
      <c r="BN158" s="320" t="s">
        <v>868</v>
      </c>
      <c r="BO158" s="320" t="s">
        <v>870</v>
      </c>
      <c r="BP158" s="320" t="s">
        <v>870</v>
      </c>
    </row>
    <row r="159" spans="1:68" ht="90">
      <c r="A159" s="196" t="s">
        <v>1160</v>
      </c>
      <c r="B159" s="196" t="s">
        <v>899</v>
      </c>
      <c r="C159" s="196"/>
      <c r="D159" s="196" t="s">
        <v>1175</v>
      </c>
      <c r="E159" s="230" t="str">
        <f>VLOOKUP(D159,'2026 NPI'!D:L,2,0)</f>
        <v>No</v>
      </c>
      <c r="F159" s="198" t="str">
        <f>VLOOKUP(D159,'2026 NPI'!D:L,3,0)</f>
        <v>HP Poly Studio 5 G1 AI PC with Microsoft Teams Rooms​
HP Poly Studio 7 G1 AI PC with Microsoft Teams Rooms​
HP Poly Studio 5 G1 AI PC with Zoom Rooms​
HP Poly Studio 7 G1 AI PC with Zoom Rooms</v>
      </c>
      <c r="G159" s="282">
        <f>VLOOKUP(D159,'2026 NPI'!D:L,5,0)</f>
        <v>46048</v>
      </c>
      <c r="H159" s="282">
        <f>VLOOKUP(D159,'2026 NPI'!D:L,6,0)</f>
        <v>46083</v>
      </c>
      <c r="I159" s="235"/>
      <c r="K159" s="253" t="s">
        <v>868</v>
      </c>
      <c r="L159" s="253" t="s">
        <v>868</v>
      </c>
      <c r="M159" s="253" t="s">
        <v>868</v>
      </c>
      <c r="N159" s="253" t="s">
        <v>868</v>
      </c>
      <c r="O159" s="253"/>
      <c r="P159" s="253"/>
      <c r="Q159" s="253"/>
      <c r="R159" s="253"/>
      <c r="S159" s="253"/>
      <c r="T159" s="253"/>
      <c r="U159" s="253"/>
      <c r="V159" s="253"/>
      <c r="W159" s="253"/>
      <c r="X159" s="253"/>
      <c r="Y159" s="253"/>
      <c r="Z159" s="253"/>
      <c r="AA159" s="253"/>
      <c r="AB159" s="254"/>
      <c r="AC159" s="254"/>
      <c r="AD159" s="254"/>
      <c r="AE159" s="254"/>
      <c r="AF159" s="254"/>
      <c r="AG159" s="254"/>
      <c r="AH159" s="254"/>
      <c r="AI159" s="254" t="s">
        <v>870</v>
      </c>
      <c r="AJ159" s="253" t="s">
        <v>978</v>
      </c>
      <c r="AK159" s="253" t="s">
        <v>978</v>
      </c>
      <c r="AL159" s="253" t="s">
        <v>978</v>
      </c>
      <c r="AM159" s="253" t="s">
        <v>978</v>
      </c>
      <c r="AN159" s="253" t="s">
        <v>978</v>
      </c>
      <c r="AO159" s="253" t="s">
        <v>978</v>
      </c>
      <c r="AP159" s="253" t="s">
        <v>978</v>
      </c>
      <c r="AQ159" s="253" t="s">
        <v>978</v>
      </c>
      <c r="AR159" s="253" t="s">
        <v>978</v>
      </c>
      <c r="AS159" s="253" t="s">
        <v>978</v>
      </c>
      <c r="AT159" s="253" t="s">
        <v>978</v>
      </c>
      <c r="AU159" s="253" t="s">
        <v>978</v>
      </c>
      <c r="AV159" s="253" t="s">
        <v>978</v>
      </c>
      <c r="AW159" s="253" t="s">
        <v>978</v>
      </c>
      <c r="AX159" s="253" t="s">
        <v>978</v>
      </c>
      <c r="AY159" s="253" t="s">
        <v>978</v>
      </c>
      <c r="AZ159" s="253" t="s">
        <v>978</v>
      </c>
      <c r="BA159" s="253" t="s">
        <v>978</v>
      </c>
      <c r="BB159" s="253" t="s">
        <v>978</v>
      </c>
      <c r="BC159" s="128"/>
      <c r="BD159" s="128"/>
      <c r="BE159" s="254" t="s">
        <v>870</v>
      </c>
      <c r="BF159" s="254" t="s">
        <v>870</v>
      </c>
      <c r="BG159" s="254" t="s">
        <v>870</v>
      </c>
      <c r="BH159" s="254" t="s">
        <v>870</v>
      </c>
      <c r="BI159" s="254" t="s">
        <v>868</v>
      </c>
      <c r="BJ159" s="254" t="s">
        <v>870</v>
      </c>
      <c r="BK159" s="254" t="s">
        <v>870</v>
      </c>
      <c r="BL159" s="320" t="s">
        <v>870</v>
      </c>
      <c r="BM159" s="320" t="s">
        <v>868</v>
      </c>
      <c r="BN159" s="320" t="s">
        <v>868</v>
      </c>
      <c r="BO159" s="320" t="s">
        <v>870</v>
      </c>
      <c r="BP159" s="320" t="s">
        <v>870</v>
      </c>
    </row>
    <row r="160" spans="1:68" ht="30">
      <c r="A160" s="196" t="s">
        <v>1160</v>
      </c>
      <c r="B160" s="196" t="s">
        <v>864</v>
      </c>
      <c r="C160" s="196" t="s">
        <v>1176</v>
      </c>
      <c r="D160" s="196" t="s">
        <v>1177</v>
      </c>
      <c r="E160" s="230" t="str">
        <f>VLOOKUP(D160,'2026 NPI'!D:L,2,0)</f>
        <v>Yes</v>
      </c>
      <c r="F160" s="198" t="str">
        <f>VLOOKUP(D160,'2026 NPI'!D:L,3,0)</f>
        <v>HP EliteBook 6 G2i 14 inch Notebook Next Gen AI PC​</v>
      </c>
      <c r="G160" s="282">
        <f>VLOOKUP(D160,'2026 NPI'!D:L,5,0)</f>
        <v>46014</v>
      </c>
      <c r="H160" s="282">
        <f>VLOOKUP(D160,'2026 NPI'!D:L,6,0)</f>
        <v>46042</v>
      </c>
      <c r="I160" s="235"/>
      <c r="K160" s="253" t="s">
        <v>870</v>
      </c>
      <c r="L160" s="253" t="s">
        <v>868</v>
      </c>
      <c r="M160" s="253" t="s">
        <v>868</v>
      </c>
      <c r="N160" s="253" t="s">
        <v>868</v>
      </c>
      <c r="O160" s="253"/>
      <c r="P160" s="253"/>
      <c r="Q160" s="253"/>
      <c r="R160" s="253"/>
      <c r="S160" s="253"/>
      <c r="T160" s="253"/>
      <c r="U160" s="253"/>
      <c r="V160" s="253"/>
      <c r="W160" s="253"/>
      <c r="X160" s="253"/>
      <c r="Y160" s="253"/>
      <c r="Z160" s="253"/>
      <c r="AA160" s="253"/>
      <c r="AB160" s="254"/>
      <c r="AC160" s="254"/>
      <c r="AD160" s="254"/>
      <c r="AE160" s="254"/>
      <c r="AF160" s="254"/>
      <c r="AG160" s="254"/>
      <c r="AH160" s="254"/>
      <c r="AI160" s="253" t="s">
        <v>868</v>
      </c>
      <c r="AJ160" s="253" t="s">
        <v>978</v>
      </c>
      <c r="AK160" s="253" t="s">
        <v>978</v>
      </c>
      <c r="AL160" s="253" t="s">
        <v>978</v>
      </c>
      <c r="AM160" s="253" t="s">
        <v>978</v>
      </c>
      <c r="AN160" s="253" t="s">
        <v>978</v>
      </c>
      <c r="AO160" s="253" t="s">
        <v>978</v>
      </c>
      <c r="AP160" s="253" t="s">
        <v>978</v>
      </c>
      <c r="AQ160" s="253" t="s">
        <v>978</v>
      </c>
      <c r="AR160" s="253" t="s">
        <v>978</v>
      </c>
      <c r="AS160" s="253" t="s">
        <v>978</v>
      </c>
      <c r="AT160" s="253" t="s">
        <v>978</v>
      </c>
      <c r="AU160" s="253" t="s">
        <v>978</v>
      </c>
      <c r="AV160" s="253" t="s">
        <v>978</v>
      </c>
      <c r="AW160" s="253" t="s">
        <v>978</v>
      </c>
      <c r="AX160" s="253" t="s">
        <v>978</v>
      </c>
      <c r="AY160" s="253" t="s">
        <v>978</v>
      </c>
      <c r="AZ160" s="253" t="s">
        <v>978</v>
      </c>
      <c r="BA160" s="253" t="s">
        <v>978</v>
      </c>
      <c r="BB160" s="253" t="s">
        <v>978</v>
      </c>
      <c r="BC160" s="128"/>
      <c r="BD160" s="128"/>
      <c r="BE160" s="254" t="s">
        <v>868</v>
      </c>
      <c r="BF160" s="254" t="s">
        <v>868</v>
      </c>
      <c r="BG160" s="254" t="s">
        <v>870</v>
      </c>
      <c r="BH160" s="254" t="s">
        <v>870</v>
      </c>
      <c r="BI160" s="254" t="s">
        <v>868</v>
      </c>
      <c r="BJ160" s="254" t="s">
        <v>870</v>
      </c>
      <c r="BK160" s="254" t="s">
        <v>868</v>
      </c>
      <c r="BL160" s="320" t="s">
        <v>870</v>
      </c>
      <c r="BM160" s="320" t="s">
        <v>868</v>
      </c>
      <c r="BN160" s="320" t="s">
        <v>868</v>
      </c>
      <c r="BO160" s="320" t="s">
        <v>868</v>
      </c>
      <c r="BP160" s="320" t="s">
        <v>868</v>
      </c>
    </row>
    <row r="161" spans="1:68" ht="30">
      <c r="A161" s="196" t="s">
        <v>1160</v>
      </c>
      <c r="B161" s="196" t="s">
        <v>864</v>
      </c>
      <c r="C161" s="196" t="s">
        <v>1176</v>
      </c>
      <c r="D161" s="196" t="s">
        <v>1178</v>
      </c>
      <c r="E161" s="230" t="str">
        <f>VLOOKUP(D161,'2026 NPI'!D:L,2,0)</f>
        <v>Yes</v>
      </c>
      <c r="F161" s="198" t="str">
        <f>VLOOKUP(D161,'2026 NPI'!D:L,3,0)</f>
        <v>HP EliteBook 6 G2i 16 inch Notebook Next Gen AI PC​</v>
      </c>
      <c r="G161" s="282">
        <f>VLOOKUP(D161,'2026 NPI'!D:L,5,0)</f>
        <v>46014</v>
      </c>
      <c r="H161" s="282">
        <f>VLOOKUP(D161,'2026 NPI'!D:L,6,0)</f>
        <v>46042</v>
      </c>
      <c r="I161" s="235"/>
      <c r="K161" s="253" t="s">
        <v>870</v>
      </c>
      <c r="L161" s="253" t="s">
        <v>868</v>
      </c>
      <c r="M161" s="253" t="s">
        <v>868</v>
      </c>
      <c r="N161" s="253" t="s">
        <v>868</v>
      </c>
      <c r="O161" s="253"/>
      <c r="P161" s="253"/>
      <c r="Q161" s="253"/>
      <c r="R161" s="253"/>
      <c r="S161" s="253"/>
      <c r="T161" s="253"/>
      <c r="U161" s="253"/>
      <c r="V161" s="253"/>
      <c r="W161" s="253"/>
      <c r="X161" s="253"/>
      <c r="Y161" s="253"/>
      <c r="Z161" s="253"/>
      <c r="AA161" s="253"/>
      <c r="AB161" s="254"/>
      <c r="AC161" s="254"/>
      <c r="AD161" s="254"/>
      <c r="AE161" s="254"/>
      <c r="AF161" s="254"/>
      <c r="AG161" s="254"/>
      <c r="AH161" s="254"/>
      <c r="AI161" s="253" t="s">
        <v>868</v>
      </c>
      <c r="AJ161" s="253" t="s">
        <v>978</v>
      </c>
      <c r="AK161" s="253" t="s">
        <v>978</v>
      </c>
      <c r="AL161" s="253" t="s">
        <v>978</v>
      </c>
      <c r="AM161" s="253" t="s">
        <v>978</v>
      </c>
      <c r="AN161" s="253" t="s">
        <v>978</v>
      </c>
      <c r="AO161" s="253" t="s">
        <v>978</v>
      </c>
      <c r="AP161" s="253" t="s">
        <v>978</v>
      </c>
      <c r="AQ161" s="253" t="s">
        <v>978</v>
      </c>
      <c r="AR161" s="253" t="s">
        <v>978</v>
      </c>
      <c r="AS161" s="253" t="s">
        <v>978</v>
      </c>
      <c r="AT161" s="253" t="s">
        <v>978</v>
      </c>
      <c r="AU161" s="253" t="s">
        <v>978</v>
      </c>
      <c r="AV161" s="253" t="s">
        <v>978</v>
      </c>
      <c r="AW161" s="253" t="s">
        <v>978</v>
      </c>
      <c r="AX161" s="253" t="s">
        <v>978</v>
      </c>
      <c r="AY161" s="253" t="s">
        <v>978</v>
      </c>
      <c r="AZ161" s="253" t="s">
        <v>978</v>
      </c>
      <c r="BA161" s="253" t="s">
        <v>978</v>
      </c>
      <c r="BB161" s="253" t="s">
        <v>978</v>
      </c>
      <c r="BC161" s="128"/>
      <c r="BD161" s="128"/>
      <c r="BE161" s="254" t="s">
        <v>868</v>
      </c>
      <c r="BF161" s="254" t="s">
        <v>868</v>
      </c>
      <c r="BG161" s="254" t="s">
        <v>870</v>
      </c>
      <c r="BH161" s="254" t="s">
        <v>870</v>
      </c>
      <c r="BI161" s="254" t="s">
        <v>868</v>
      </c>
      <c r="BJ161" s="254" t="s">
        <v>870</v>
      </c>
      <c r="BK161" s="254" t="s">
        <v>868</v>
      </c>
      <c r="BL161" s="320" t="s">
        <v>870</v>
      </c>
      <c r="BM161" s="320" t="s">
        <v>868</v>
      </c>
      <c r="BN161" s="320" t="s">
        <v>868</v>
      </c>
      <c r="BO161" s="320" t="s">
        <v>868</v>
      </c>
      <c r="BP161" s="320" t="s">
        <v>868</v>
      </c>
    </row>
    <row r="162" spans="1:68" ht="30">
      <c r="A162" s="196" t="s">
        <v>1160</v>
      </c>
      <c r="B162" s="196" t="s">
        <v>864</v>
      </c>
      <c r="C162" s="196" t="s">
        <v>1179</v>
      </c>
      <c r="D162" s="196" t="s">
        <v>1180</v>
      </c>
      <c r="E162" s="230" t="str">
        <f>VLOOKUP(D162,'2026 NPI'!D:L,2,0)</f>
        <v>Yes</v>
      </c>
      <c r="F162" s="198" t="str">
        <f>VLOOKUP(D162,'2026 NPI'!D:L,3,0)</f>
        <v>HP ProBook 4 G2i 14 inch Notebook Next Gen AI PC​</v>
      </c>
      <c r="G162" s="282">
        <f>VLOOKUP(D162,'2026 NPI'!D:L,5,0)</f>
        <v>46014</v>
      </c>
      <c r="H162" s="282">
        <f>VLOOKUP(D162,'2026 NPI'!D:L,6,0)</f>
        <v>46042</v>
      </c>
      <c r="I162" s="235"/>
      <c r="K162" s="253" t="s">
        <v>870</v>
      </c>
      <c r="L162" s="253" t="s">
        <v>868</v>
      </c>
      <c r="M162" s="253" t="s">
        <v>868</v>
      </c>
      <c r="N162" s="253" t="s">
        <v>868</v>
      </c>
      <c r="O162" s="253"/>
      <c r="P162" s="253"/>
      <c r="Q162" s="253"/>
      <c r="R162" s="253"/>
      <c r="S162" s="253"/>
      <c r="T162" s="253"/>
      <c r="U162" s="253"/>
      <c r="V162" s="253"/>
      <c r="W162" s="253"/>
      <c r="X162" s="253"/>
      <c r="Y162" s="253"/>
      <c r="Z162" s="253"/>
      <c r="AA162" s="253"/>
      <c r="AB162" s="254"/>
      <c r="AC162" s="254"/>
      <c r="AD162" s="254"/>
      <c r="AE162" s="254"/>
      <c r="AF162" s="254"/>
      <c r="AG162" s="254"/>
      <c r="AH162" s="254"/>
      <c r="AI162" s="253" t="s">
        <v>868</v>
      </c>
      <c r="AJ162" s="253" t="s">
        <v>978</v>
      </c>
      <c r="AK162" s="253" t="s">
        <v>978</v>
      </c>
      <c r="AL162" s="253" t="s">
        <v>978</v>
      </c>
      <c r="AM162" s="253" t="s">
        <v>978</v>
      </c>
      <c r="AN162" s="253" t="s">
        <v>978</v>
      </c>
      <c r="AO162" s="253" t="s">
        <v>978</v>
      </c>
      <c r="AP162" s="253" t="s">
        <v>978</v>
      </c>
      <c r="AQ162" s="253" t="s">
        <v>978</v>
      </c>
      <c r="AR162" s="253" t="s">
        <v>978</v>
      </c>
      <c r="AS162" s="253" t="s">
        <v>978</v>
      </c>
      <c r="AT162" s="253" t="s">
        <v>978</v>
      </c>
      <c r="AU162" s="253" t="s">
        <v>978</v>
      </c>
      <c r="AV162" s="253" t="s">
        <v>978</v>
      </c>
      <c r="AW162" s="253" t="s">
        <v>978</v>
      </c>
      <c r="AX162" s="253" t="s">
        <v>978</v>
      </c>
      <c r="AY162" s="253" t="s">
        <v>978</v>
      </c>
      <c r="AZ162" s="253" t="s">
        <v>978</v>
      </c>
      <c r="BA162" s="253" t="s">
        <v>978</v>
      </c>
      <c r="BB162" s="253" t="s">
        <v>978</v>
      </c>
      <c r="BC162" s="128"/>
      <c r="BD162" s="128"/>
      <c r="BE162" s="254" t="s">
        <v>868</v>
      </c>
      <c r="BF162" s="254" t="s">
        <v>868</v>
      </c>
      <c r="BG162" s="254" t="s">
        <v>870</v>
      </c>
      <c r="BH162" s="254" t="s">
        <v>870</v>
      </c>
      <c r="BI162" s="254" t="s">
        <v>868</v>
      </c>
      <c r="BJ162" s="254" t="s">
        <v>870</v>
      </c>
      <c r="BK162" s="254" t="s">
        <v>868</v>
      </c>
      <c r="BL162" s="320" t="s">
        <v>870</v>
      </c>
      <c r="BM162" s="320" t="s">
        <v>868</v>
      </c>
      <c r="BN162" s="320" t="s">
        <v>868</v>
      </c>
      <c r="BO162" s="320" t="s">
        <v>868</v>
      </c>
      <c r="BP162" s="320" t="s">
        <v>868</v>
      </c>
    </row>
    <row r="163" spans="1:68" ht="30">
      <c r="A163" s="196" t="s">
        <v>1160</v>
      </c>
      <c r="B163" s="196" t="s">
        <v>864</v>
      </c>
      <c r="C163" s="196" t="s">
        <v>1179</v>
      </c>
      <c r="D163" s="196" t="s">
        <v>1181</v>
      </c>
      <c r="E163" s="230" t="str">
        <f>VLOOKUP(D163,'2026 NPI'!D:L,2,0)</f>
        <v>Yes</v>
      </c>
      <c r="F163" s="198" t="str">
        <f>VLOOKUP(D163,'2026 NPI'!D:L,3,0)</f>
        <v>HP ProBook 4 G2i 16 inch Notebook Next Gen AI PC​</v>
      </c>
      <c r="G163" s="282">
        <f>VLOOKUP(D163,'2026 NPI'!D:L,5,0)</f>
        <v>46014</v>
      </c>
      <c r="H163" s="282">
        <f>VLOOKUP(D163,'2026 NPI'!D:L,6,0)</f>
        <v>46042</v>
      </c>
      <c r="I163" s="235"/>
      <c r="K163" s="253" t="s">
        <v>870</v>
      </c>
      <c r="L163" s="253" t="s">
        <v>868</v>
      </c>
      <c r="M163" s="253" t="s">
        <v>868</v>
      </c>
      <c r="N163" s="253" t="s">
        <v>868</v>
      </c>
      <c r="O163" s="253"/>
      <c r="P163" s="253"/>
      <c r="Q163" s="253"/>
      <c r="R163" s="253"/>
      <c r="S163" s="253"/>
      <c r="T163" s="253"/>
      <c r="U163" s="253"/>
      <c r="V163" s="253"/>
      <c r="W163" s="253"/>
      <c r="X163" s="253"/>
      <c r="Y163" s="253"/>
      <c r="Z163" s="253"/>
      <c r="AA163" s="253"/>
      <c r="AB163" s="254"/>
      <c r="AC163" s="254"/>
      <c r="AD163" s="254"/>
      <c r="AE163" s="254"/>
      <c r="AF163" s="254"/>
      <c r="AG163" s="254"/>
      <c r="AH163" s="254"/>
      <c r="AI163" s="253" t="s">
        <v>868</v>
      </c>
      <c r="AJ163" s="253" t="s">
        <v>978</v>
      </c>
      <c r="AK163" s="253" t="s">
        <v>978</v>
      </c>
      <c r="AL163" s="253" t="s">
        <v>978</v>
      </c>
      <c r="AM163" s="253" t="s">
        <v>978</v>
      </c>
      <c r="AN163" s="253" t="s">
        <v>978</v>
      </c>
      <c r="AO163" s="253" t="s">
        <v>978</v>
      </c>
      <c r="AP163" s="253" t="s">
        <v>978</v>
      </c>
      <c r="AQ163" s="253" t="s">
        <v>978</v>
      </c>
      <c r="AR163" s="253" t="s">
        <v>978</v>
      </c>
      <c r="AS163" s="253" t="s">
        <v>978</v>
      </c>
      <c r="AT163" s="253" t="s">
        <v>978</v>
      </c>
      <c r="AU163" s="253" t="s">
        <v>978</v>
      </c>
      <c r="AV163" s="253" t="s">
        <v>978</v>
      </c>
      <c r="AW163" s="253" t="s">
        <v>978</v>
      </c>
      <c r="AX163" s="253" t="s">
        <v>978</v>
      </c>
      <c r="AY163" s="253" t="s">
        <v>978</v>
      </c>
      <c r="AZ163" s="253" t="s">
        <v>978</v>
      </c>
      <c r="BA163" s="253" t="s">
        <v>978</v>
      </c>
      <c r="BB163" s="253" t="s">
        <v>978</v>
      </c>
      <c r="BC163" s="128"/>
      <c r="BD163" s="128"/>
      <c r="BE163" s="254" t="s">
        <v>868</v>
      </c>
      <c r="BF163" s="254" t="s">
        <v>868</v>
      </c>
      <c r="BG163" s="254" t="s">
        <v>870</v>
      </c>
      <c r="BH163" s="254" t="s">
        <v>870</v>
      </c>
      <c r="BI163" s="254" t="s">
        <v>868</v>
      </c>
      <c r="BJ163" s="254" t="s">
        <v>870</v>
      </c>
      <c r="BK163" s="254" t="s">
        <v>868</v>
      </c>
      <c r="BL163" s="320" t="s">
        <v>870</v>
      </c>
      <c r="BM163" s="320" t="s">
        <v>868</v>
      </c>
      <c r="BN163" s="320" t="s">
        <v>868</v>
      </c>
      <c r="BO163" s="320" t="s">
        <v>868</v>
      </c>
      <c r="BP163" s="320" t="s">
        <v>868</v>
      </c>
    </row>
    <row r="164" spans="1:68" ht="45">
      <c r="A164" s="196" t="s">
        <v>1160</v>
      </c>
      <c r="B164" s="196" t="s">
        <v>864</v>
      </c>
      <c r="C164" s="196" t="s">
        <v>1162</v>
      </c>
      <c r="D164" s="196" t="s">
        <v>1182</v>
      </c>
      <c r="E164" s="230" t="str">
        <f>VLOOKUP(D164,'2026 NPI'!D:L,2,0)</f>
        <v>Yes</v>
      </c>
      <c r="F164" s="198" t="str">
        <f>VLOOKUP(D164,'2026 NPI'!D:L,3,0)</f>
        <v>HP EliteBook X G2i 14 inch Notebook Next Gen AI PC​</v>
      </c>
      <c r="G164" s="282">
        <f>VLOOKUP(D164,'2026 NPI'!D:L,5,0)</f>
        <v>46024</v>
      </c>
      <c r="H164" s="282">
        <f>VLOOKUP(D164,'2026 NPI'!D:L,6,0)</f>
        <v>46045</v>
      </c>
      <c r="I164" s="235"/>
      <c r="K164" s="253" t="s">
        <v>870</v>
      </c>
      <c r="L164" s="253" t="s">
        <v>868</v>
      </c>
      <c r="M164" s="253" t="s">
        <v>868</v>
      </c>
      <c r="N164" s="253" t="s">
        <v>868</v>
      </c>
      <c r="O164" s="253"/>
      <c r="P164" s="253"/>
      <c r="Q164" s="253"/>
      <c r="R164" s="253"/>
      <c r="S164" s="253"/>
      <c r="T164" s="253"/>
      <c r="U164" s="253"/>
      <c r="V164" s="253"/>
      <c r="W164" s="253"/>
      <c r="X164" s="253"/>
      <c r="Y164" s="253"/>
      <c r="Z164" s="253"/>
      <c r="AA164" s="253"/>
      <c r="AB164" s="254"/>
      <c r="AC164" s="254"/>
      <c r="AD164" s="254"/>
      <c r="AE164" s="254"/>
      <c r="AF164" s="254"/>
      <c r="AG164" s="254"/>
      <c r="AH164" s="254"/>
      <c r="AI164" s="253" t="s">
        <v>868</v>
      </c>
      <c r="AJ164" s="253" t="s">
        <v>978</v>
      </c>
      <c r="AK164" s="253" t="s">
        <v>978</v>
      </c>
      <c r="AL164" s="253" t="s">
        <v>978</v>
      </c>
      <c r="AM164" s="253" t="s">
        <v>978</v>
      </c>
      <c r="AN164" s="253" t="s">
        <v>978</v>
      </c>
      <c r="AO164" s="253" t="s">
        <v>978</v>
      </c>
      <c r="AP164" s="253" t="s">
        <v>978</v>
      </c>
      <c r="AQ164" s="253" t="s">
        <v>978</v>
      </c>
      <c r="AR164" s="253" t="s">
        <v>978</v>
      </c>
      <c r="AS164" s="253" t="s">
        <v>978</v>
      </c>
      <c r="AT164" s="253" t="s">
        <v>978</v>
      </c>
      <c r="AU164" s="253" t="s">
        <v>978</v>
      </c>
      <c r="AV164" s="253" t="s">
        <v>978</v>
      </c>
      <c r="AW164" s="253" t="s">
        <v>978</v>
      </c>
      <c r="AX164" s="253" t="s">
        <v>978</v>
      </c>
      <c r="AY164" s="253" t="s">
        <v>978</v>
      </c>
      <c r="AZ164" s="253" t="s">
        <v>978</v>
      </c>
      <c r="BA164" s="253" t="s">
        <v>978</v>
      </c>
      <c r="BB164" s="253" t="s">
        <v>978</v>
      </c>
      <c r="BC164" s="128"/>
      <c r="BD164" s="128"/>
      <c r="BE164" s="254" t="s">
        <v>868</v>
      </c>
      <c r="BF164" s="254" t="s">
        <v>868</v>
      </c>
      <c r="BG164" s="254" t="s">
        <v>868</v>
      </c>
      <c r="BH164" s="254" t="s">
        <v>868</v>
      </c>
      <c r="BI164" s="254" t="s">
        <v>868</v>
      </c>
      <c r="BJ164" s="254" t="s">
        <v>870</v>
      </c>
      <c r="BK164" s="254" t="s">
        <v>868</v>
      </c>
      <c r="BL164" s="254" t="s">
        <v>868</v>
      </c>
      <c r="BM164" s="320" t="s">
        <v>868</v>
      </c>
      <c r="BN164" s="320" t="s">
        <v>868</v>
      </c>
      <c r="BO164" s="320" t="s">
        <v>868</v>
      </c>
      <c r="BP164" s="320" t="s">
        <v>868</v>
      </c>
    </row>
    <row r="165" spans="1:68" ht="45">
      <c r="A165" s="196" t="s">
        <v>1160</v>
      </c>
      <c r="B165" s="196" t="s">
        <v>864</v>
      </c>
      <c r="C165" s="196" t="s">
        <v>1162</v>
      </c>
      <c r="D165" s="196" t="s">
        <v>1183</v>
      </c>
      <c r="E165" s="230" t="str">
        <f>VLOOKUP(D165,'2026 NPI'!D:L,2,0)</f>
        <v>Yes</v>
      </c>
      <c r="F165" s="198" t="str">
        <f>VLOOKUP(D165,'2026 NPI'!D:L,3,0)</f>
        <v>HP EliteBook X Flip G2i 14 inch Notebook Next Gen AI PC​</v>
      </c>
      <c r="G165" s="282">
        <f>VLOOKUP(D165,'2026 NPI'!D:L,5,0)</f>
        <v>46024</v>
      </c>
      <c r="H165" s="282">
        <f>VLOOKUP(D165,'2026 NPI'!D:L,6,0)</f>
        <v>46045</v>
      </c>
      <c r="I165" s="235"/>
      <c r="K165" s="253" t="s">
        <v>870</v>
      </c>
      <c r="L165" s="253" t="s">
        <v>868</v>
      </c>
      <c r="M165" s="253" t="s">
        <v>868</v>
      </c>
      <c r="N165" s="253" t="s">
        <v>868</v>
      </c>
      <c r="O165" s="253"/>
      <c r="P165" s="253"/>
      <c r="Q165" s="253"/>
      <c r="R165" s="253"/>
      <c r="S165" s="253"/>
      <c r="T165" s="253"/>
      <c r="U165" s="253"/>
      <c r="V165" s="253"/>
      <c r="W165" s="253"/>
      <c r="X165" s="253"/>
      <c r="Y165" s="253"/>
      <c r="Z165" s="253"/>
      <c r="AA165" s="253"/>
      <c r="AB165" s="254"/>
      <c r="AC165" s="254"/>
      <c r="AD165" s="254"/>
      <c r="AE165" s="254"/>
      <c r="AF165" s="254"/>
      <c r="AG165" s="254"/>
      <c r="AH165" s="254"/>
      <c r="AI165" s="253" t="s">
        <v>868</v>
      </c>
      <c r="AJ165" s="253" t="s">
        <v>978</v>
      </c>
      <c r="AK165" s="253" t="s">
        <v>978</v>
      </c>
      <c r="AL165" s="253" t="s">
        <v>978</v>
      </c>
      <c r="AM165" s="253" t="s">
        <v>978</v>
      </c>
      <c r="AN165" s="253" t="s">
        <v>978</v>
      </c>
      <c r="AO165" s="253" t="s">
        <v>978</v>
      </c>
      <c r="AP165" s="253" t="s">
        <v>978</v>
      </c>
      <c r="AQ165" s="253" t="s">
        <v>978</v>
      </c>
      <c r="AR165" s="253" t="s">
        <v>978</v>
      </c>
      <c r="AS165" s="253" t="s">
        <v>978</v>
      </c>
      <c r="AT165" s="253" t="s">
        <v>978</v>
      </c>
      <c r="AU165" s="253" t="s">
        <v>978</v>
      </c>
      <c r="AV165" s="253" t="s">
        <v>978</v>
      </c>
      <c r="AW165" s="253" t="s">
        <v>978</v>
      </c>
      <c r="AX165" s="253" t="s">
        <v>978</v>
      </c>
      <c r="AY165" s="253" t="s">
        <v>978</v>
      </c>
      <c r="AZ165" s="253" t="s">
        <v>978</v>
      </c>
      <c r="BA165" s="253" t="s">
        <v>978</v>
      </c>
      <c r="BB165" s="253" t="s">
        <v>978</v>
      </c>
      <c r="BC165" s="128"/>
      <c r="BD165" s="128"/>
      <c r="BE165" s="254" t="s">
        <v>868</v>
      </c>
      <c r="BF165" s="254" t="s">
        <v>868</v>
      </c>
      <c r="BG165" s="254" t="s">
        <v>868</v>
      </c>
      <c r="BH165" s="254" t="s">
        <v>868</v>
      </c>
      <c r="BI165" s="254" t="s">
        <v>868</v>
      </c>
      <c r="BJ165" s="254" t="s">
        <v>868</v>
      </c>
      <c r="BK165" s="254" t="s">
        <v>868</v>
      </c>
      <c r="BL165" s="254" t="s">
        <v>868</v>
      </c>
      <c r="BM165" s="320" t="s">
        <v>868</v>
      </c>
      <c r="BN165" s="320" t="s">
        <v>868</v>
      </c>
      <c r="BO165" s="320" t="s">
        <v>868</v>
      </c>
      <c r="BP165" s="320" t="s">
        <v>868</v>
      </c>
    </row>
    <row r="166" spans="1:68" ht="30">
      <c r="A166" s="196" t="s">
        <v>1160</v>
      </c>
      <c r="B166" s="196" t="s">
        <v>864</v>
      </c>
      <c r="C166" s="196" t="s">
        <v>1166</v>
      </c>
      <c r="D166" s="196" t="s">
        <v>1184</v>
      </c>
      <c r="E166" s="230" t="str">
        <f>VLOOKUP(D166,'2026 NPI'!D:L,2,0)</f>
        <v>Yes</v>
      </c>
      <c r="F166" s="198" t="str">
        <f>VLOOKUP(D166,'2026 NPI'!D:L,3,0)</f>
        <v>HP EliteBook 8 G2a 14 inch Notebook Next Gen AI PC​</v>
      </c>
      <c r="G166" s="282">
        <f>VLOOKUP(D166,'2026 NPI'!D:L,5,0)</f>
        <v>46027</v>
      </c>
      <c r="H166" s="282">
        <f>VLOOKUP(D166,'2026 NPI'!D:L,6,0)</f>
        <v>46048</v>
      </c>
      <c r="I166" s="235"/>
      <c r="K166" s="253" t="s">
        <v>870</v>
      </c>
      <c r="L166" s="253" t="s">
        <v>868</v>
      </c>
      <c r="M166" s="253" t="s">
        <v>868</v>
      </c>
      <c r="N166" s="253" t="s">
        <v>868</v>
      </c>
      <c r="O166" s="253"/>
      <c r="P166" s="253"/>
      <c r="Q166" s="253"/>
      <c r="R166" s="253"/>
      <c r="S166" s="253"/>
      <c r="T166" s="253"/>
      <c r="U166" s="253"/>
      <c r="V166" s="253"/>
      <c r="W166" s="253"/>
      <c r="X166" s="253"/>
      <c r="Y166" s="253"/>
      <c r="Z166" s="253"/>
      <c r="AA166" s="253"/>
      <c r="AB166" s="254"/>
      <c r="AC166" s="254"/>
      <c r="AD166" s="254"/>
      <c r="AE166" s="254"/>
      <c r="AF166" s="254"/>
      <c r="AG166" s="254"/>
      <c r="AH166" s="254"/>
      <c r="AI166" s="253" t="s">
        <v>868</v>
      </c>
      <c r="AJ166" s="253" t="s">
        <v>978</v>
      </c>
      <c r="AK166" s="253" t="s">
        <v>978</v>
      </c>
      <c r="AL166" s="253" t="s">
        <v>978</v>
      </c>
      <c r="AM166" s="253" t="s">
        <v>978</v>
      </c>
      <c r="AN166" s="253" t="s">
        <v>978</v>
      </c>
      <c r="AO166" s="253" t="s">
        <v>978</v>
      </c>
      <c r="AP166" s="253" t="s">
        <v>978</v>
      </c>
      <c r="AQ166" s="253" t="s">
        <v>978</v>
      </c>
      <c r="AR166" s="253" t="s">
        <v>978</v>
      </c>
      <c r="AS166" s="253" t="s">
        <v>978</v>
      </c>
      <c r="AT166" s="253" t="s">
        <v>978</v>
      </c>
      <c r="AU166" s="253" t="s">
        <v>978</v>
      </c>
      <c r="AV166" s="253" t="s">
        <v>978</v>
      </c>
      <c r="AW166" s="253" t="s">
        <v>978</v>
      </c>
      <c r="AX166" s="253" t="s">
        <v>978</v>
      </c>
      <c r="AY166" s="253" t="s">
        <v>978</v>
      </c>
      <c r="AZ166" s="253" t="s">
        <v>978</v>
      </c>
      <c r="BA166" s="253" t="s">
        <v>978</v>
      </c>
      <c r="BB166" s="253" t="s">
        <v>978</v>
      </c>
      <c r="BC166" s="128"/>
      <c r="BD166" s="128"/>
      <c r="BE166" s="254" t="s">
        <v>868</v>
      </c>
      <c r="BF166" s="254" t="s">
        <v>868</v>
      </c>
      <c r="BG166" s="254" t="s">
        <v>868</v>
      </c>
      <c r="BH166" s="254" t="s">
        <v>868</v>
      </c>
      <c r="BI166" s="254" t="s">
        <v>868</v>
      </c>
      <c r="BJ166" s="254" t="s">
        <v>870</v>
      </c>
      <c r="BK166" s="254" t="s">
        <v>868</v>
      </c>
      <c r="BL166" s="320" t="s">
        <v>870</v>
      </c>
      <c r="BM166" s="320" t="s">
        <v>868</v>
      </c>
      <c r="BN166" s="320" t="s">
        <v>868</v>
      </c>
      <c r="BO166" s="320" t="s">
        <v>868</v>
      </c>
      <c r="BP166" s="320" t="s">
        <v>868</v>
      </c>
    </row>
    <row r="167" spans="1:68" ht="30">
      <c r="A167" s="196" t="s">
        <v>1160</v>
      </c>
      <c r="B167" s="196" t="s">
        <v>864</v>
      </c>
      <c r="C167" s="196" t="s">
        <v>1166</v>
      </c>
      <c r="D167" s="196" t="s">
        <v>1185</v>
      </c>
      <c r="E167" s="230" t="str">
        <f>VLOOKUP(D167,'2026 NPI'!D:L,2,0)</f>
        <v>Yes</v>
      </c>
      <c r="F167" s="198" t="str">
        <f>VLOOKUP(D167,'2026 NPI'!D:L,3,0)</f>
        <v>HP EliteBook 8 G2a 16 inch Notebook Next Gen AI PC​</v>
      </c>
      <c r="G167" s="282">
        <f>VLOOKUP(D167,'2026 NPI'!D:L,5,0)</f>
        <v>46027</v>
      </c>
      <c r="H167" s="282">
        <f>VLOOKUP(D167,'2026 NPI'!D:L,6,0)</f>
        <v>46048</v>
      </c>
      <c r="I167" s="235"/>
      <c r="K167" s="253" t="s">
        <v>870</v>
      </c>
      <c r="L167" s="253" t="s">
        <v>868</v>
      </c>
      <c r="M167" s="253" t="s">
        <v>868</v>
      </c>
      <c r="N167" s="253" t="s">
        <v>868</v>
      </c>
      <c r="O167" s="253"/>
      <c r="P167" s="253"/>
      <c r="Q167" s="253"/>
      <c r="R167" s="253"/>
      <c r="S167" s="253"/>
      <c r="T167" s="253"/>
      <c r="U167" s="253"/>
      <c r="V167" s="253"/>
      <c r="W167" s="253"/>
      <c r="X167" s="253"/>
      <c r="Y167" s="253"/>
      <c r="Z167" s="253"/>
      <c r="AA167" s="253"/>
      <c r="AB167" s="254"/>
      <c r="AC167" s="254"/>
      <c r="AD167" s="254"/>
      <c r="AE167" s="254"/>
      <c r="AF167" s="254"/>
      <c r="AG167" s="254"/>
      <c r="AH167" s="254"/>
      <c r="AI167" s="253" t="s">
        <v>868</v>
      </c>
      <c r="AJ167" s="253" t="s">
        <v>978</v>
      </c>
      <c r="AK167" s="253" t="s">
        <v>978</v>
      </c>
      <c r="AL167" s="253" t="s">
        <v>978</v>
      </c>
      <c r="AM167" s="253" t="s">
        <v>978</v>
      </c>
      <c r="AN167" s="253" t="s">
        <v>978</v>
      </c>
      <c r="AO167" s="253" t="s">
        <v>978</v>
      </c>
      <c r="AP167" s="253" t="s">
        <v>978</v>
      </c>
      <c r="AQ167" s="253" t="s">
        <v>978</v>
      </c>
      <c r="AR167" s="253" t="s">
        <v>978</v>
      </c>
      <c r="AS167" s="253" t="s">
        <v>978</v>
      </c>
      <c r="AT167" s="253" t="s">
        <v>978</v>
      </c>
      <c r="AU167" s="253" t="s">
        <v>978</v>
      </c>
      <c r="AV167" s="253" t="s">
        <v>978</v>
      </c>
      <c r="AW167" s="253" t="s">
        <v>978</v>
      </c>
      <c r="AX167" s="253" t="s">
        <v>978</v>
      </c>
      <c r="AY167" s="253" t="s">
        <v>978</v>
      </c>
      <c r="AZ167" s="253" t="s">
        <v>978</v>
      </c>
      <c r="BA167" s="253" t="s">
        <v>978</v>
      </c>
      <c r="BB167" s="253" t="s">
        <v>978</v>
      </c>
      <c r="BC167" s="128"/>
      <c r="BD167" s="128"/>
      <c r="BE167" s="254" t="s">
        <v>868</v>
      </c>
      <c r="BF167" s="254" t="s">
        <v>868</v>
      </c>
      <c r="BG167" s="254" t="s">
        <v>868</v>
      </c>
      <c r="BH167" s="254" t="s">
        <v>868</v>
      </c>
      <c r="BI167" s="254" t="s">
        <v>868</v>
      </c>
      <c r="BJ167" s="254" t="s">
        <v>870</v>
      </c>
      <c r="BK167" s="254" t="s">
        <v>868</v>
      </c>
      <c r="BL167" s="320" t="s">
        <v>870</v>
      </c>
      <c r="BM167" s="320" t="s">
        <v>868</v>
      </c>
      <c r="BN167" s="320" t="s">
        <v>868</v>
      </c>
      <c r="BO167" s="320" t="s">
        <v>868</v>
      </c>
      <c r="BP167" s="320" t="s">
        <v>868</v>
      </c>
    </row>
    <row r="168" spans="1:68" ht="30">
      <c r="A168" s="196" t="s">
        <v>1160</v>
      </c>
      <c r="B168" s="196" t="s">
        <v>864</v>
      </c>
      <c r="C168" s="196" t="s">
        <v>1171</v>
      </c>
      <c r="D168" s="196" t="s">
        <v>1186</v>
      </c>
      <c r="E168" s="230" t="str">
        <f>VLOOKUP(D168,'2026 NPI'!D:L,2,0)</f>
        <v>No</v>
      </c>
      <c r="F168" s="198" t="str">
        <f>VLOOKUP(D168,'2026 NPI'!D:L,3,0)</f>
        <v>HP ZBook 8 G2a 14 inch Mobile Workstation PC​</v>
      </c>
      <c r="G168" s="282">
        <f>VLOOKUP(D168,'2026 NPI'!D:L,5,0)</f>
        <v>46027</v>
      </c>
      <c r="H168" s="282">
        <f>VLOOKUP(D168,'2026 NPI'!D:L,6,0)</f>
        <v>46048</v>
      </c>
      <c r="I168" s="235"/>
      <c r="K168" s="253" t="s">
        <v>868</v>
      </c>
      <c r="L168" s="253" t="s">
        <v>868</v>
      </c>
      <c r="M168" s="253" t="s">
        <v>868</v>
      </c>
      <c r="N168" s="253" t="s">
        <v>868</v>
      </c>
      <c r="O168" s="253"/>
      <c r="P168" s="253"/>
      <c r="Q168" s="253"/>
      <c r="R168" s="253"/>
      <c r="S168" s="253"/>
      <c r="T168" s="253"/>
      <c r="U168" s="253"/>
      <c r="V168" s="253"/>
      <c r="W168" s="253"/>
      <c r="X168" s="253"/>
      <c r="Y168" s="253"/>
      <c r="Z168" s="253"/>
      <c r="AA168" s="253"/>
      <c r="AB168" s="254"/>
      <c r="AC168" s="254"/>
      <c r="AD168" s="254"/>
      <c r="AE168" s="254"/>
      <c r="AF168" s="254"/>
      <c r="AG168" s="254"/>
      <c r="AH168" s="254"/>
      <c r="AI168" s="253" t="s">
        <v>868</v>
      </c>
      <c r="AJ168" s="253" t="s">
        <v>978</v>
      </c>
      <c r="AK168" s="253" t="s">
        <v>978</v>
      </c>
      <c r="AL168" s="253" t="s">
        <v>978</v>
      </c>
      <c r="AM168" s="253" t="s">
        <v>978</v>
      </c>
      <c r="AN168" s="253" t="s">
        <v>978</v>
      </c>
      <c r="AO168" s="253" t="s">
        <v>978</v>
      </c>
      <c r="AP168" s="253" t="s">
        <v>978</v>
      </c>
      <c r="AQ168" s="253" t="s">
        <v>978</v>
      </c>
      <c r="AR168" s="253" t="s">
        <v>978</v>
      </c>
      <c r="AS168" s="253" t="s">
        <v>978</v>
      </c>
      <c r="AT168" s="253" t="s">
        <v>978</v>
      </c>
      <c r="AU168" s="253" t="s">
        <v>978</v>
      </c>
      <c r="AV168" s="253" t="s">
        <v>978</v>
      </c>
      <c r="AW168" s="253" t="s">
        <v>978</v>
      </c>
      <c r="AX168" s="253" t="s">
        <v>978</v>
      </c>
      <c r="AY168" s="253" t="s">
        <v>978</v>
      </c>
      <c r="AZ168" s="253" t="s">
        <v>978</v>
      </c>
      <c r="BA168" s="253" t="s">
        <v>978</v>
      </c>
      <c r="BB168" s="253" t="s">
        <v>978</v>
      </c>
      <c r="BC168" s="128"/>
      <c r="BD168" s="128"/>
      <c r="BE168" s="254" t="s">
        <v>868</v>
      </c>
      <c r="BF168" s="254" t="s">
        <v>868</v>
      </c>
      <c r="BG168" s="254" t="s">
        <v>868</v>
      </c>
      <c r="BH168" s="254" t="s">
        <v>868</v>
      </c>
      <c r="BI168" s="254" t="s">
        <v>868</v>
      </c>
      <c r="BJ168" s="254" t="s">
        <v>870</v>
      </c>
      <c r="BK168" s="254" t="s">
        <v>868</v>
      </c>
      <c r="BL168" s="320" t="s">
        <v>870</v>
      </c>
      <c r="BM168" s="320" t="s">
        <v>868</v>
      </c>
      <c r="BN168" s="320" t="s">
        <v>868</v>
      </c>
      <c r="BO168" s="320" t="s">
        <v>868</v>
      </c>
      <c r="BP168" s="320" t="s">
        <v>868</v>
      </c>
    </row>
    <row r="169" spans="1:68" ht="45">
      <c r="A169" s="196" t="s">
        <v>1160</v>
      </c>
      <c r="B169" s="196" t="s">
        <v>864</v>
      </c>
      <c r="C169" s="196" t="s">
        <v>1162</v>
      </c>
      <c r="D169" s="196" t="s">
        <v>1187</v>
      </c>
      <c r="E169" s="230" t="str">
        <f>VLOOKUP(D169,'2026 NPI'!D:L,2,0)</f>
        <v>Yes</v>
      </c>
      <c r="F169" s="198" t="str">
        <f>VLOOKUP(D169,'2026 NPI'!D:L,3,0)</f>
        <v>HP EliteBook X G2q 14 inch Notebook Next Gen AI PC​</v>
      </c>
      <c r="G169" s="282">
        <f>VLOOKUP(D169,'2026 NPI'!D:L,5,0)</f>
        <v>46038</v>
      </c>
      <c r="H169" s="282">
        <f>VLOOKUP(D169,'2026 NPI'!D:L,6,0)</f>
        <v>46052</v>
      </c>
      <c r="I169" s="235"/>
      <c r="K169" s="253" t="s">
        <v>870</v>
      </c>
      <c r="L169" s="253" t="s">
        <v>868</v>
      </c>
      <c r="M169" s="253" t="s">
        <v>868</v>
      </c>
      <c r="N169" s="253" t="s">
        <v>868</v>
      </c>
      <c r="O169" s="253"/>
      <c r="P169" s="253"/>
      <c r="Q169" s="253"/>
      <c r="R169" s="253"/>
      <c r="S169" s="253"/>
      <c r="T169" s="253"/>
      <c r="U169" s="253"/>
      <c r="V169" s="253"/>
      <c r="W169" s="253"/>
      <c r="X169" s="253"/>
      <c r="Y169" s="253"/>
      <c r="Z169" s="253"/>
      <c r="AA169" s="253"/>
      <c r="AB169" s="254"/>
      <c r="AC169" s="254"/>
      <c r="AD169" s="254"/>
      <c r="AE169" s="254"/>
      <c r="AF169" s="254"/>
      <c r="AG169" s="254"/>
      <c r="AH169" s="254"/>
      <c r="AI169" s="253" t="s">
        <v>868</v>
      </c>
      <c r="AJ169" s="253" t="s">
        <v>978</v>
      </c>
      <c r="AK169" s="253" t="s">
        <v>978</v>
      </c>
      <c r="AL169" s="253" t="s">
        <v>978</v>
      </c>
      <c r="AM169" s="253" t="s">
        <v>978</v>
      </c>
      <c r="AN169" s="253" t="s">
        <v>978</v>
      </c>
      <c r="AO169" s="253" t="s">
        <v>978</v>
      </c>
      <c r="AP169" s="253" t="s">
        <v>978</v>
      </c>
      <c r="AQ169" s="253" t="s">
        <v>978</v>
      </c>
      <c r="AR169" s="253" t="s">
        <v>978</v>
      </c>
      <c r="AS169" s="253" t="s">
        <v>978</v>
      </c>
      <c r="AT169" s="253" t="s">
        <v>978</v>
      </c>
      <c r="AU169" s="253" t="s">
        <v>978</v>
      </c>
      <c r="AV169" s="253" t="s">
        <v>978</v>
      </c>
      <c r="AW169" s="253" t="s">
        <v>978</v>
      </c>
      <c r="AX169" s="253" t="s">
        <v>978</v>
      </c>
      <c r="AY169" s="253" t="s">
        <v>978</v>
      </c>
      <c r="AZ169" s="253" t="s">
        <v>978</v>
      </c>
      <c r="BA169" s="253" t="s">
        <v>978</v>
      </c>
      <c r="BB169" s="253" t="s">
        <v>978</v>
      </c>
      <c r="BC169" s="128"/>
      <c r="BD169" s="128"/>
      <c r="BE169" s="254" t="s">
        <v>868</v>
      </c>
      <c r="BF169" s="254" t="s">
        <v>868</v>
      </c>
      <c r="BG169" s="254" t="s">
        <v>868</v>
      </c>
      <c r="BH169" s="254" t="s">
        <v>868</v>
      </c>
      <c r="BI169" s="254" t="s">
        <v>868</v>
      </c>
      <c r="BJ169" s="254" t="s">
        <v>870</v>
      </c>
      <c r="BK169" s="254" t="s">
        <v>868</v>
      </c>
      <c r="BL169" s="320" t="s">
        <v>870</v>
      </c>
      <c r="BM169" s="320" t="s">
        <v>868</v>
      </c>
      <c r="BN169" s="320" t="s">
        <v>868</v>
      </c>
      <c r="BO169" s="320" t="s">
        <v>868</v>
      </c>
      <c r="BP169" s="320" t="s">
        <v>868</v>
      </c>
    </row>
    <row r="170" spans="1:68" ht="30">
      <c r="A170" s="196" t="s">
        <v>1160</v>
      </c>
      <c r="B170" s="196" t="s">
        <v>864</v>
      </c>
      <c r="C170" s="196" t="s">
        <v>1171</v>
      </c>
      <c r="D170" s="196" t="s">
        <v>1188</v>
      </c>
      <c r="E170" s="230" t="str">
        <f>VLOOKUP(D170,'2026 NPI'!D:L,2,0)</f>
        <v>No</v>
      </c>
      <c r="F170" s="198" t="str">
        <f>VLOOKUP(D170,'2026 NPI'!D:L,3,0)</f>
        <v>HP Zbook X 16 inch G2i Mobile Workstation PC</v>
      </c>
      <c r="G170" s="282">
        <f>VLOOKUP(D170,'2026 NPI'!D:L,5,0)</f>
        <v>46031</v>
      </c>
      <c r="H170" s="282">
        <f>VLOOKUP(D170,'2026 NPI'!D:L,6,0)</f>
        <v>46052</v>
      </c>
      <c r="I170" s="235"/>
      <c r="K170" s="253"/>
      <c r="L170" s="253" t="s">
        <v>868</v>
      </c>
      <c r="M170" s="253" t="s">
        <v>868</v>
      </c>
      <c r="N170" s="253" t="s">
        <v>868</v>
      </c>
      <c r="O170" s="253"/>
      <c r="P170" s="253"/>
      <c r="Q170" s="253"/>
      <c r="R170" s="253"/>
      <c r="S170" s="253"/>
      <c r="T170" s="253"/>
      <c r="U170" s="253"/>
      <c r="V170" s="253"/>
      <c r="W170" s="253"/>
      <c r="X170" s="253"/>
      <c r="Y170" s="253"/>
      <c r="Z170" s="253"/>
      <c r="AA170" s="253"/>
      <c r="AB170" s="254"/>
      <c r="AC170" s="254"/>
      <c r="AD170" s="254"/>
      <c r="AE170" s="254"/>
      <c r="AF170" s="254"/>
      <c r="AG170" s="254"/>
      <c r="AH170" s="254"/>
      <c r="AI170" s="253" t="s">
        <v>868</v>
      </c>
      <c r="AJ170" s="253" t="s">
        <v>978</v>
      </c>
      <c r="AK170" s="253" t="s">
        <v>978</v>
      </c>
      <c r="AL170" s="253" t="s">
        <v>978</v>
      </c>
      <c r="AM170" s="253" t="s">
        <v>978</v>
      </c>
      <c r="AN170" s="253" t="s">
        <v>978</v>
      </c>
      <c r="AO170" s="253" t="s">
        <v>978</v>
      </c>
      <c r="AP170" s="253" t="s">
        <v>978</v>
      </c>
      <c r="AQ170" s="253" t="s">
        <v>978</v>
      </c>
      <c r="AR170" s="253" t="s">
        <v>978</v>
      </c>
      <c r="AS170" s="253" t="s">
        <v>978</v>
      </c>
      <c r="AT170" s="253" t="s">
        <v>978</v>
      </c>
      <c r="AU170" s="253" t="s">
        <v>978</v>
      </c>
      <c r="AV170" s="253" t="s">
        <v>978</v>
      </c>
      <c r="AW170" s="253" t="s">
        <v>978</v>
      </c>
      <c r="AX170" s="253" t="s">
        <v>978</v>
      </c>
      <c r="AY170" s="253" t="s">
        <v>978</v>
      </c>
      <c r="AZ170" s="253" t="s">
        <v>978</v>
      </c>
      <c r="BA170" s="253" t="s">
        <v>978</v>
      </c>
      <c r="BB170" s="253" t="s">
        <v>978</v>
      </c>
      <c r="BC170" s="128"/>
      <c r="BD170" s="128"/>
      <c r="BE170" s="254" t="s">
        <v>868</v>
      </c>
      <c r="BF170" s="254" t="s">
        <v>868</v>
      </c>
      <c r="BG170" s="254" t="s">
        <v>868</v>
      </c>
      <c r="BH170" s="254" t="s">
        <v>868</v>
      </c>
      <c r="BI170" s="254" t="s">
        <v>868</v>
      </c>
      <c r="BJ170" s="254" t="s">
        <v>870</v>
      </c>
      <c r="BK170" s="254" t="s">
        <v>868</v>
      </c>
      <c r="BL170" s="320" t="s">
        <v>870</v>
      </c>
      <c r="BM170" s="320" t="s">
        <v>868</v>
      </c>
      <c r="BN170" s="320" t="s">
        <v>868</v>
      </c>
      <c r="BO170" s="320" t="s">
        <v>868</v>
      </c>
      <c r="BP170" s="320" t="s">
        <v>868</v>
      </c>
    </row>
    <row r="171" spans="1:68" ht="30">
      <c r="A171" s="196" t="s">
        <v>1160</v>
      </c>
      <c r="B171" s="196" t="s">
        <v>864</v>
      </c>
      <c r="C171" s="196" t="s">
        <v>1176</v>
      </c>
      <c r="D171" s="196" t="s">
        <v>1189</v>
      </c>
      <c r="E171" s="230" t="str">
        <f>VLOOKUP(D171,'2026 NPI'!D:L,2,0)</f>
        <v>Yes</v>
      </c>
      <c r="F171" s="198" t="str">
        <f>VLOOKUP(D171,'2026 NPI'!D:L,3,0)</f>
        <v>HP EliteBook 6 G2a 14 inch Notebook Next Gen AI PC​</v>
      </c>
      <c r="G171" s="282">
        <f>VLOOKUP(D171,'2026 NPI'!D:L,5,0)</f>
        <v>46038</v>
      </c>
      <c r="H171" s="282">
        <f>VLOOKUP(D171,'2026 NPI'!D:L,6,0)</f>
        <v>46059</v>
      </c>
      <c r="I171" s="235"/>
      <c r="K171" s="253" t="s">
        <v>870</v>
      </c>
      <c r="L171" s="253" t="s">
        <v>868</v>
      </c>
      <c r="M171" s="253" t="s">
        <v>868</v>
      </c>
      <c r="N171" s="253" t="s">
        <v>868</v>
      </c>
      <c r="O171" s="253"/>
      <c r="P171" s="253"/>
      <c r="Q171" s="253"/>
      <c r="R171" s="253"/>
      <c r="S171" s="253"/>
      <c r="T171" s="253"/>
      <c r="U171" s="253"/>
      <c r="V171" s="253"/>
      <c r="W171" s="253"/>
      <c r="X171" s="253"/>
      <c r="Y171" s="253"/>
      <c r="Z171" s="253"/>
      <c r="AA171" s="253"/>
      <c r="AB171" s="254"/>
      <c r="AC171" s="254"/>
      <c r="AD171" s="254"/>
      <c r="AE171" s="254"/>
      <c r="AF171" s="254"/>
      <c r="AG171" s="254"/>
      <c r="AH171" s="254"/>
      <c r="AI171" s="253" t="s">
        <v>868</v>
      </c>
      <c r="AJ171" s="253" t="s">
        <v>978</v>
      </c>
      <c r="AK171" s="253" t="s">
        <v>978</v>
      </c>
      <c r="AL171" s="253" t="s">
        <v>978</v>
      </c>
      <c r="AM171" s="253" t="s">
        <v>978</v>
      </c>
      <c r="AN171" s="253" t="s">
        <v>978</v>
      </c>
      <c r="AO171" s="253" t="s">
        <v>978</v>
      </c>
      <c r="AP171" s="253" t="s">
        <v>978</v>
      </c>
      <c r="AQ171" s="253" t="s">
        <v>978</v>
      </c>
      <c r="AR171" s="253" t="s">
        <v>978</v>
      </c>
      <c r="AS171" s="253" t="s">
        <v>978</v>
      </c>
      <c r="AT171" s="253" t="s">
        <v>978</v>
      </c>
      <c r="AU171" s="253" t="s">
        <v>978</v>
      </c>
      <c r="AV171" s="253" t="s">
        <v>978</v>
      </c>
      <c r="AW171" s="253" t="s">
        <v>978</v>
      </c>
      <c r="AX171" s="253" t="s">
        <v>978</v>
      </c>
      <c r="AY171" s="253" t="s">
        <v>978</v>
      </c>
      <c r="AZ171" s="253" t="s">
        <v>978</v>
      </c>
      <c r="BA171" s="253" t="s">
        <v>978</v>
      </c>
      <c r="BB171" s="253" t="s">
        <v>978</v>
      </c>
      <c r="BC171" s="128"/>
      <c r="BD171" s="128"/>
      <c r="BE171" s="254" t="s">
        <v>868</v>
      </c>
      <c r="BF171" s="254" t="s">
        <v>868</v>
      </c>
      <c r="BG171" s="254" t="s">
        <v>870</v>
      </c>
      <c r="BH171" s="254" t="s">
        <v>870</v>
      </c>
      <c r="BI171" s="254" t="s">
        <v>868</v>
      </c>
      <c r="BJ171" s="254" t="s">
        <v>870</v>
      </c>
      <c r="BK171" s="254" t="s">
        <v>868</v>
      </c>
      <c r="BL171" s="320" t="s">
        <v>870</v>
      </c>
      <c r="BM171" s="320" t="s">
        <v>868</v>
      </c>
      <c r="BN171" s="320" t="s">
        <v>868</v>
      </c>
      <c r="BO171" s="320" t="s">
        <v>868</v>
      </c>
      <c r="BP171" s="320" t="s">
        <v>868</v>
      </c>
    </row>
    <row r="172" spans="1:68" ht="30">
      <c r="A172" s="196" t="s">
        <v>1160</v>
      </c>
      <c r="B172" s="196" t="s">
        <v>864</v>
      </c>
      <c r="C172" s="196" t="s">
        <v>1176</v>
      </c>
      <c r="D172" s="196" t="s">
        <v>1190</v>
      </c>
      <c r="E172" s="230" t="str">
        <f>VLOOKUP(D172,'2026 NPI'!D:L,2,0)</f>
        <v>Yes</v>
      </c>
      <c r="F172" s="198" t="str">
        <f>VLOOKUP(D172,'2026 NPI'!D:L,3,0)</f>
        <v>HP EliteBook 6 G2a 16 inch Notebook Next Gen AI PC​</v>
      </c>
      <c r="G172" s="282">
        <f>VLOOKUP(D172,'2026 NPI'!D:L,5,0)</f>
        <v>46038</v>
      </c>
      <c r="H172" s="282">
        <f>VLOOKUP(D172,'2026 NPI'!D:L,6,0)</f>
        <v>46059</v>
      </c>
      <c r="I172" s="235"/>
      <c r="K172" s="253" t="s">
        <v>870</v>
      </c>
      <c r="L172" s="253" t="s">
        <v>868</v>
      </c>
      <c r="M172" s="253" t="s">
        <v>868</v>
      </c>
      <c r="N172" s="253" t="s">
        <v>868</v>
      </c>
      <c r="O172" s="253"/>
      <c r="P172" s="253"/>
      <c r="Q172" s="253"/>
      <c r="R172" s="253"/>
      <c r="S172" s="253"/>
      <c r="T172" s="253"/>
      <c r="U172" s="253"/>
      <c r="V172" s="253"/>
      <c r="W172" s="253"/>
      <c r="X172" s="253"/>
      <c r="Y172" s="253"/>
      <c r="Z172" s="253"/>
      <c r="AA172" s="253"/>
      <c r="AB172" s="254"/>
      <c r="AC172" s="254"/>
      <c r="AD172" s="254"/>
      <c r="AE172" s="254"/>
      <c r="AF172" s="254"/>
      <c r="AG172" s="254"/>
      <c r="AH172" s="254"/>
      <c r="AI172" s="253" t="s">
        <v>868</v>
      </c>
      <c r="AJ172" s="253" t="s">
        <v>978</v>
      </c>
      <c r="AK172" s="253" t="s">
        <v>978</v>
      </c>
      <c r="AL172" s="253" t="s">
        <v>978</v>
      </c>
      <c r="AM172" s="253" t="s">
        <v>978</v>
      </c>
      <c r="AN172" s="253" t="s">
        <v>978</v>
      </c>
      <c r="AO172" s="253" t="s">
        <v>978</v>
      </c>
      <c r="AP172" s="253" t="s">
        <v>978</v>
      </c>
      <c r="AQ172" s="253" t="s">
        <v>978</v>
      </c>
      <c r="AR172" s="253" t="s">
        <v>978</v>
      </c>
      <c r="AS172" s="253" t="s">
        <v>978</v>
      </c>
      <c r="AT172" s="253" t="s">
        <v>978</v>
      </c>
      <c r="AU172" s="253" t="s">
        <v>978</v>
      </c>
      <c r="AV172" s="253" t="s">
        <v>978</v>
      </c>
      <c r="AW172" s="253" t="s">
        <v>978</v>
      </c>
      <c r="AX172" s="253" t="s">
        <v>978</v>
      </c>
      <c r="AY172" s="253" t="s">
        <v>978</v>
      </c>
      <c r="AZ172" s="253" t="s">
        <v>978</v>
      </c>
      <c r="BA172" s="253" t="s">
        <v>978</v>
      </c>
      <c r="BB172" s="253" t="s">
        <v>978</v>
      </c>
      <c r="BC172" s="128"/>
      <c r="BD172" s="128"/>
      <c r="BE172" s="254" t="s">
        <v>868</v>
      </c>
      <c r="BF172" s="254" t="s">
        <v>868</v>
      </c>
      <c r="BG172" s="254" t="s">
        <v>870</v>
      </c>
      <c r="BH172" s="254" t="s">
        <v>870</v>
      </c>
      <c r="BI172" s="254" t="s">
        <v>868</v>
      </c>
      <c r="BJ172" s="254" t="s">
        <v>870</v>
      </c>
      <c r="BK172" s="254" t="s">
        <v>868</v>
      </c>
      <c r="BL172" s="320" t="s">
        <v>870</v>
      </c>
      <c r="BM172" s="320" t="s">
        <v>868</v>
      </c>
      <c r="BN172" s="320" t="s">
        <v>868</v>
      </c>
      <c r="BO172" s="320" t="s">
        <v>868</v>
      </c>
      <c r="BP172" s="320" t="s">
        <v>868</v>
      </c>
    </row>
    <row r="173" spans="1:68" ht="30">
      <c r="A173" s="196" t="s">
        <v>1160</v>
      </c>
      <c r="B173" s="196" t="s">
        <v>864</v>
      </c>
      <c r="C173" s="196" t="s">
        <v>1176</v>
      </c>
      <c r="D173" s="196" t="s">
        <v>1191</v>
      </c>
      <c r="E173" s="230" t="str">
        <f>VLOOKUP(D173,'2026 NPI'!D:L,2,0)</f>
        <v>No</v>
      </c>
      <c r="F173" s="198" t="str">
        <f>VLOOKUP(D173,'2026 NPI'!D:L,3,0)</f>
        <v>HP EliteBook 6 G2a 14 inch Notebook PC AI Edition​</v>
      </c>
      <c r="G173" s="282">
        <f>VLOOKUP(D173,'2026 NPI'!D:L,5,0)</f>
        <v>46038</v>
      </c>
      <c r="H173" s="282">
        <f>VLOOKUP(D173,'2026 NPI'!D:L,6,0)</f>
        <v>46059</v>
      </c>
      <c r="I173" s="235"/>
      <c r="K173" s="253" t="s">
        <v>868</v>
      </c>
      <c r="L173" s="253" t="s">
        <v>868</v>
      </c>
      <c r="M173" s="253" t="s">
        <v>868</v>
      </c>
      <c r="N173" s="253" t="s">
        <v>868</v>
      </c>
      <c r="O173" s="253"/>
      <c r="P173" s="253"/>
      <c r="Q173" s="253"/>
      <c r="R173" s="253"/>
      <c r="S173" s="253"/>
      <c r="T173" s="253"/>
      <c r="U173" s="253"/>
      <c r="V173" s="253"/>
      <c r="W173" s="253"/>
      <c r="X173" s="253"/>
      <c r="Y173" s="253"/>
      <c r="Z173" s="253"/>
      <c r="AA173" s="253"/>
      <c r="AB173" s="254"/>
      <c r="AC173" s="254"/>
      <c r="AD173" s="254"/>
      <c r="AE173" s="254"/>
      <c r="AF173" s="254"/>
      <c r="AG173" s="254"/>
      <c r="AH173" s="254"/>
      <c r="AI173" s="253" t="s">
        <v>868</v>
      </c>
      <c r="AJ173" s="253" t="s">
        <v>978</v>
      </c>
      <c r="AK173" s="253" t="s">
        <v>978</v>
      </c>
      <c r="AL173" s="253" t="s">
        <v>978</v>
      </c>
      <c r="AM173" s="253" t="s">
        <v>978</v>
      </c>
      <c r="AN173" s="253" t="s">
        <v>978</v>
      </c>
      <c r="AO173" s="253" t="s">
        <v>978</v>
      </c>
      <c r="AP173" s="253" t="s">
        <v>978</v>
      </c>
      <c r="AQ173" s="253" t="s">
        <v>978</v>
      </c>
      <c r="AR173" s="253" t="s">
        <v>978</v>
      </c>
      <c r="AS173" s="253" t="s">
        <v>978</v>
      </c>
      <c r="AT173" s="253" t="s">
        <v>978</v>
      </c>
      <c r="AU173" s="253" t="s">
        <v>978</v>
      </c>
      <c r="AV173" s="253" t="s">
        <v>978</v>
      </c>
      <c r="AW173" s="253" t="s">
        <v>978</v>
      </c>
      <c r="AX173" s="253" t="s">
        <v>978</v>
      </c>
      <c r="AY173" s="253" t="s">
        <v>978</v>
      </c>
      <c r="AZ173" s="253" t="s">
        <v>978</v>
      </c>
      <c r="BA173" s="253" t="s">
        <v>978</v>
      </c>
      <c r="BB173" s="253" t="s">
        <v>978</v>
      </c>
      <c r="BC173" s="128"/>
      <c r="BD173" s="128"/>
      <c r="BE173" s="254" t="s">
        <v>868</v>
      </c>
      <c r="BF173" s="254" t="s">
        <v>868</v>
      </c>
      <c r="BG173" s="254" t="s">
        <v>870</v>
      </c>
      <c r="BH173" s="254" t="s">
        <v>870</v>
      </c>
      <c r="BI173" s="254" t="s">
        <v>868</v>
      </c>
      <c r="BJ173" s="254" t="s">
        <v>870</v>
      </c>
      <c r="BK173" s="254" t="s">
        <v>868</v>
      </c>
      <c r="BL173" s="320" t="s">
        <v>870</v>
      </c>
      <c r="BM173" s="320" t="s">
        <v>868</v>
      </c>
      <c r="BN173" s="320" t="s">
        <v>868</v>
      </c>
      <c r="BO173" s="320" t="s">
        <v>868</v>
      </c>
      <c r="BP173" s="320" t="s">
        <v>868</v>
      </c>
    </row>
    <row r="174" spans="1:68" ht="30">
      <c r="A174" s="196" t="s">
        <v>1160</v>
      </c>
      <c r="B174" s="196" t="s">
        <v>864</v>
      </c>
      <c r="C174" s="196" t="s">
        <v>1176</v>
      </c>
      <c r="D174" s="196" t="s">
        <v>1192</v>
      </c>
      <c r="E174" s="230" t="str">
        <f>VLOOKUP(D174,'2026 NPI'!D:L,2,0)</f>
        <v>No</v>
      </c>
      <c r="F174" s="198" t="str">
        <f>VLOOKUP(D174,'2026 NPI'!D:L,3,0)</f>
        <v>HP EliteBook 6 G2a 16 inch Notebook PC AI Edition​</v>
      </c>
      <c r="G174" s="282">
        <f>VLOOKUP(D174,'2026 NPI'!D:L,5,0)</f>
        <v>46038</v>
      </c>
      <c r="H174" s="282">
        <f>VLOOKUP(D174,'2026 NPI'!D:L,6,0)</f>
        <v>46059</v>
      </c>
      <c r="I174" s="235"/>
      <c r="K174" s="253" t="s">
        <v>868</v>
      </c>
      <c r="L174" s="253" t="s">
        <v>868</v>
      </c>
      <c r="M174" s="253" t="s">
        <v>868</v>
      </c>
      <c r="N174" s="253" t="s">
        <v>868</v>
      </c>
      <c r="O174" s="253"/>
      <c r="P174" s="253"/>
      <c r="Q174" s="253"/>
      <c r="R174" s="253"/>
      <c r="S174" s="253"/>
      <c r="T174" s="253"/>
      <c r="U174" s="253"/>
      <c r="V174" s="253"/>
      <c r="W174" s="253"/>
      <c r="X174" s="253"/>
      <c r="Y174" s="253"/>
      <c r="Z174" s="253"/>
      <c r="AA174" s="253"/>
      <c r="AB174" s="254"/>
      <c r="AC174" s="254"/>
      <c r="AD174" s="254"/>
      <c r="AE174" s="254"/>
      <c r="AF174" s="254"/>
      <c r="AG174" s="254"/>
      <c r="AH174" s="254"/>
      <c r="AI174" s="253" t="s">
        <v>868</v>
      </c>
      <c r="AJ174" s="253" t="s">
        <v>978</v>
      </c>
      <c r="AK174" s="253" t="s">
        <v>978</v>
      </c>
      <c r="AL174" s="253" t="s">
        <v>978</v>
      </c>
      <c r="AM174" s="253" t="s">
        <v>978</v>
      </c>
      <c r="AN174" s="253" t="s">
        <v>978</v>
      </c>
      <c r="AO174" s="253" t="s">
        <v>978</v>
      </c>
      <c r="AP174" s="253" t="s">
        <v>978</v>
      </c>
      <c r="AQ174" s="253" t="s">
        <v>978</v>
      </c>
      <c r="AR174" s="253" t="s">
        <v>978</v>
      </c>
      <c r="AS174" s="253" t="s">
        <v>978</v>
      </c>
      <c r="AT174" s="253" t="s">
        <v>978</v>
      </c>
      <c r="AU174" s="253" t="s">
        <v>978</v>
      </c>
      <c r="AV174" s="253" t="s">
        <v>978</v>
      </c>
      <c r="AW174" s="253" t="s">
        <v>978</v>
      </c>
      <c r="AX174" s="253" t="s">
        <v>978</v>
      </c>
      <c r="AY174" s="253" t="s">
        <v>978</v>
      </c>
      <c r="AZ174" s="253" t="s">
        <v>978</v>
      </c>
      <c r="BA174" s="253" t="s">
        <v>978</v>
      </c>
      <c r="BB174" s="253" t="s">
        <v>978</v>
      </c>
      <c r="BC174" s="128"/>
      <c r="BD174" s="128"/>
      <c r="BE174" s="254" t="s">
        <v>868</v>
      </c>
      <c r="BF174" s="254" t="s">
        <v>868</v>
      </c>
      <c r="BG174" s="254" t="s">
        <v>870</v>
      </c>
      <c r="BH174" s="254" t="s">
        <v>870</v>
      </c>
      <c r="BI174" s="254" t="s">
        <v>868</v>
      </c>
      <c r="BJ174" s="254" t="s">
        <v>870</v>
      </c>
      <c r="BK174" s="254" t="s">
        <v>868</v>
      </c>
      <c r="BL174" s="320" t="s">
        <v>870</v>
      </c>
      <c r="BM174" s="320" t="s">
        <v>868</v>
      </c>
      <c r="BN174" s="320" t="s">
        <v>868</v>
      </c>
      <c r="BO174" s="320" t="s">
        <v>868</v>
      </c>
      <c r="BP174" s="320" t="s">
        <v>868</v>
      </c>
    </row>
    <row r="175" spans="1:68" ht="30">
      <c r="A175" s="196" t="s">
        <v>1160</v>
      </c>
      <c r="B175" s="196" t="s">
        <v>864</v>
      </c>
      <c r="C175" s="196" t="s">
        <v>1179</v>
      </c>
      <c r="D175" s="196" t="s">
        <v>1193</v>
      </c>
      <c r="E175" s="230" t="str">
        <f>VLOOKUP(D175,'2026 NPI'!D:L,2,0)</f>
        <v>Yes</v>
      </c>
      <c r="F175" s="198" t="str">
        <f>VLOOKUP(D175,'2026 NPI'!D:L,3,0)</f>
        <v>HP ProBook 4 G2a 14 inch Notebook Next Gen AI PC​</v>
      </c>
      <c r="G175" s="282">
        <f>VLOOKUP(D175,'2026 NPI'!D:L,5,0)</f>
        <v>46038</v>
      </c>
      <c r="H175" s="282">
        <f>VLOOKUP(D175,'2026 NPI'!D:L,6,0)</f>
        <v>46059</v>
      </c>
      <c r="I175" s="235"/>
      <c r="K175" s="253" t="s">
        <v>870</v>
      </c>
      <c r="L175" s="253" t="s">
        <v>868</v>
      </c>
      <c r="M175" s="253" t="s">
        <v>868</v>
      </c>
      <c r="N175" s="253" t="s">
        <v>868</v>
      </c>
      <c r="O175" s="253"/>
      <c r="P175" s="253"/>
      <c r="Q175" s="253"/>
      <c r="R175" s="253"/>
      <c r="S175" s="253"/>
      <c r="T175" s="253"/>
      <c r="U175" s="253"/>
      <c r="V175" s="253"/>
      <c r="W175" s="253"/>
      <c r="X175" s="253"/>
      <c r="Y175" s="253"/>
      <c r="Z175" s="253"/>
      <c r="AA175" s="253"/>
      <c r="AB175" s="254"/>
      <c r="AC175" s="254"/>
      <c r="AD175" s="254"/>
      <c r="AE175" s="254"/>
      <c r="AF175" s="254"/>
      <c r="AG175" s="254"/>
      <c r="AH175" s="254"/>
      <c r="AI175" s="253" t="s">
        <v>868</v>
      </c>
      <c r="AJ175" s="253" t="s">
        <v>978</v>
      </c>
      <c r="AK175" s="253" t="s">
        <v>978</v>
      </c>
      <c r="AL175" s="253" t="s">
        <v>978</v>
      </c>
      <c r="AM175" s="253" t="s">
        <v>978</v>
      </c>
      <c r="AN175" s="253" t="s">
        <v>978</v>
      </c>
      <c r="AO175" s="253" t="s">
        <v>978</v>
      </c>
      <c r="AP175" s="253" t="s">
        <v>978</v>
      </c>
      <c r="AQ175" s="253" t="s">
        <v>978</v>
      </c>
      <c r="AR175" s="253" t="s">
        <v>978</v>
      </c>
      <c r="AS175" s="253" t="s">
        <v>978</v>
      </c>
      <c r="AT175" s="253" t="s">
        <v>978</v>
      </c>
      <c r="AU175" s="253" t="s">
        <v>978</v>
      </c>
      <c r="AV175" s="253" t="s">
        <v>978</v>
      </c>
      <c r="AW175" s="253" t="s">
        <v>978</v>
      </c>
      <c r="AX175" s="253" t="s">
        <v>978</v>
      </c>
      <c r="AY175" s="253" t="s">
        <v>978</v>
      </c>
      <c r="AZ175" s="253" t="s">
        <v>978</v>
      </c>
      <c r="BA175" s="253" t="s">
        <v>978</v>
      </c>
      <c r="BB175" s="253" t="s">
        <v>978</v>
      </c>
      <c r="BC175" s="128"/>
      <c r="BD175" s="128"/>
      <c r="BE175" s="254" t="s">
        <v>868</v>
      </c>
      <c r="BF175" s="254" t="s">
        <v>868</v>
      </c>
      <c r="BG175" s="254" t="s">
        <v>870</v>
      </c>
      <c r="BH175" s="254" t="s">
        <v>870</v>
      </c>
      <c r="BI175" s="254" t="s">
        <v>868</v>
      </c>
      <c r="BJ175" s="254" t="s">
        <v>870</v>
      </c>
      <c r="BK175" s="254" t="s">
        <v>868</v>
      </c>
      <c r="BL175" s="320" t="s">
        <v>870</v>
      </c>
      <c r="BM175" s="320" t="s">
        <v>868</v>
      </c>
      <c r="BN175" s="320" t="s">
        <v>868</v>
      </c>
      <c r="BO175" s="320" t="s">
        <v>868</v>
      </c>
      <c r="BP175" s="320" t="s">
        <v>868</v>
      </c>
    </row>
    <row r="176" spans="1:68" ht="30">
      <c r="A176" s="196" t="s">
        <v>1160</v>
      </c>
      <c r="B176" s="196" t="s">
        <v>864</v>
      </c>
      <c r="C176" s="196" t="s">
        <v>1179</v>
      </c>
      <c r="D176" s="196" t="s">
        <v>1194</v>
      </c>
      <c r="E176" s="230" t="str">
        <f>VLOOKUP(D176,'2026 NPI'!D:L,2,0)</f>
        <v>Yes</v>
      </c>
      <c r="F176" s="198" t="str">
        <f>VLOOKUP(D176,'2026 NPI'!D:L,3,0)</f>
        <v>HP ProBook 4 G2a 16 inch Notebook Next Gen AI PC​</v>
      </c>
      <c r="G176" s="282">
        <f>VLOOKUP(D176,'2026 NPI'!D:L,5,0)</f>
        <v>46038</v>
      </c>
      <c r="H176" s="282">
        <f>VLOOKUP(D176,'2026 NPI'!D:L,6,0)</f>
        <v>46059</v>
      </c>
      <c r="I176" s="235"/>
      <c r="K176" s="253" t="s">
        <v>870</v>
      </c>
      <c r="L176" s="253" t="s">
        <v>868</v>
      </c>
      <c r="M176" s="253" t="s">
        <v>868</v>
      </c>
      <c r="N176" s="253" t="s">
        <v>868</v>
      </c>
      <c r="O176" s="253"/>
      <c r="P176" s="253"/>
      <c r="Q176" s="253"/>
      <c r="R176" s="253"/>
      <c r="S176" s="253"/>
      <c r="T176" s="253"/>
      <c r="U176" s="253"/>
      <c r="V176" s="253"/>
      <c r="W176" s="253"/>
      <c r="X176" s="253"/>
      <c r="Y176" s="253"/>
      <c r="Z176" s="253"/>
      <c r="AA176" s="253"/>
      <c r="AB176" s="254"/>
      <c r="AC176" s="254"/>
      <c r="AD176" s="254"/>
      <c r="AE176" s="254"/>
      <c r="AF176" s="254"/>
      <c r="AG176" s="254"/>
      <c r="AH176" s="254"/>
      <c r="AI176" s="253" t="s">
        <v>868</v>
      </c>
      <c r="AJ176" s="253" t="s">
        <v>978</v>
      </c>
      <c r="AK176" s="253" t="s">
        <v>978</v>
      </c>
      <c r="AL176" s="253" t="s">
        <v>978</v>
      </c>
      <c r="AM176" s="253" t="s">
        <v>978</v>
      </c>
      <c r="AN176" s="253" t="s">
        <v>978</v>
      </c>
      <c r="AO176" s="253" t="s">
        <v>978</v>
      </c>
      <c r="AP176" s="253" t="s">
        <v>978</v>
      </c>
      <c r="AQ176" s="253" t="s">
        <v>978</v>
      </c>
      <c r="AR176" s="253" t="s">
        <v>978</v>
      </c>
      <c r="AS176" s="253" t="s">
        <v>978</v>
      </c>
      <c r="AT176" s="253" t="s">
        <v>978</v>
      </c>
      <c r="AU176" s="253" t="s">
        <v>978</v>
      </c>
      <c r="AV176" s="253" t="s">
        <v>978</v>
      </c>
      <c r="AW176" s="253" t="s">
        <v>978</v>
      </c>
      <c r="AX176" s="253" t="s">
        <v>978</v>
      </c>
      <c r="AY176" s="253" t="s">
        <v>978</v>
      </c>
      <c r="AZ176" s="253" t="s">
        <v>978</v>
      </c>
      <c r="BA176" s="253" t="s">
        <v>978</v>
      </c>
      <c r="BB176" s="253" t="s">
        <v>978</v>
      </c>
      <c r="BC176" s="128"/>
      <c r="BD176" s="128"/>
      <c r="BE176" s="254" t="s">
        <v>868</v>
      </c>
      <c r="BF176" s="254" t="s">
        <v>868</v>
      </c>
      <c r="BG176" s="254" t="s">
        <v>870</v>
      </c>
      <c r="BH176" s="254" t="s">
        <v>870</v>
      </c>
      <c r="BI176" s="254" t="s">
        <v>868</v>
      </c>
      <c r="BJ176" s="254" t="s">
        <v>870</v>
      </c>
      <c r="BK176" s="254" t="s">
        <v>868</v>
      </c>
      <c r="BL176" s="320" t="s">
        <v>870</v>
      </c>
      <c r="BM176" s="320" t="s">
        <v>868</v>
      </c>
      <c r="BN176" s="320" t="s">
        <v>868</v>
      </c>
      <c r="BO176" s="320" t="s">
        <v>868</v>
      </c>
      <c r="BP176" s="320" t="s">
        <v>868</v>
      </c>
    </row>
    <row r="177" spans="1:68" ht="45">
      <c r="A177" s="196" t="s">
        <v>1160</v>
      </c>
      <c r="B177" s="196" t="s">
        <v>864</v>
      </c>
      <c r="C177" s="196" t="s">
        <v>1179</v>
      </c>
      <c r="D177" s="196" t="s">
        <v>1195</v>
      </c>
      <c r="E177" s="230" t="str">
        <f>VLOOKUP(D177,'2026 NPI'!D:L,2,0)</f>
        <v>No</v>
      </c>
      <c r="F177" s="198" t="str">
        <f>VLOOKUP(D177,'2026 NPI'!D:L,3,0)</f>
        <v>HP ProBook 4 G2a 14 inch Notebook PC AI Edition​</v>
      </c>
      <c r="G177" s="282">
        <f>VLOOKUP(D177,'2026 NPI'!D:L,5,0)</f>
        <v>46038</v>
      </c>
      <c r="H177" s="282">
        <f>VLOOKUP(D177,'2026 NPI'!D:L,6,0)</f>
        <v>46059</v>
      </c>
      <c r="I177" s="235"/>
      <c r="K177" s="253" t="s">
        <v>868</v>
      </c>
      <c r="L177" s="253" t="s">
        <v>868</v>
      </c>
      <c r="M177" s="253" t="s">
        <v>868</v>
      </c>
      <c r="N177" s="253" t="s">
        <v>868</v>
      </c>
      <c r="O177" s="253"/>
      <c r="P177" s="253"/>
      <c r="Q177" s="253"/>
      <c r="R177" s="253"/>
      <c r="S177" s="253"/>
      <c r="T177" s="253"/>
      <c r="U177" s="253"/>
      <c r="V177" s="253"/>
      <c r="W177" s="253"/>
      <c r="X177" s="253"/>
      <c r="Y177" s="253"/>
      <c r="Z177" s="253"/>
      <c r="AA177" s="253"/>
      <c r="AB177" s="254"/>
      <c r="AC177" s="254"/>
      <c r="AD177" s="254"/>
      <c r="AE177" s="254"/>
      <c r="AF177" s="254"/>
      <c r="AG177" s="254"/>
      <c r="AH177" s="254"/>
      <c r="AI177" s="253" t="s">
        <v>868</v>
      </c>
      <c r="AJ177" s="253" t="s">
        <v>978</v>
      </c>
      <c r="AK177" s="253" t="s">
        <v>978</v>
      </c>
      <c r="AL177" s="253" t="s">
        <v>978</v>
      </c>
      <c r="AM177" s="253" t="s">
        <v>978</v>
      </c>
      <c r="AN177" s="253" t="s">
        <v>978</v>
      </c>
      <c r="AO177" s="253" t="s">
        <v>978</v>
      </c>
      <c r="AP177" s="253" t="s">
        <v>978</v>
      </c>
      <c r="AQ177" s="253" t="s">
        <v>978</v>
      </c>
      <c r="AR177" s="253" t="s">
        <v>978</v>
      </c>
      <c r="AS177" s="253" t="s">
        <v>978</v>
      </c>
      <c r="AT177" s="253" t="s">
        <v>978</v>
      </c>
      <c r="AU177" s="253" t="s">
        <v>978</v>
      </c>
      <c r="AV177" s="253" t="s">
        <v>978</v>
      </c>
      <c r="AW177" s="253" t="s">
        <v>978</v>
      </c>
      <c r="AX177" s="253" t="s">
        <v>978</v>
      </c>
      <c r="AY177" s="253" t="s">
        <v>978</v>
      </c>
      <c r="AZ177" s="253" t="s">
        <v>978</v>
      </c>
      <c r="BA177" s="253" t="s">
        <v>978</v>
      </c>
      <c r="BB177" s="253" t="s">
        <v>978</v>
      </c>
      <c r="BC177" s="128"/>
      <c r="BD177" s="128"/>
      <c r="BE177" s="254" t="s">
        <v>868</v>
      </c>
      <c r="BF177" s="254" t="s">
        <v>868</v>
      </c>
      <c r="BG177" s="254" t="s">
        <v>870</v>
      </c>
      <c r="BH177" s="254" t="s">
        <v>870</v>
      </c>
      <c r="BI177" s="254" t="s">
        <v>868</v>
      </c>
      <c r="BJ177" s="254" t="s">
        <v>870</v>
      </c>
      <c r="BK177" s="254" t="s">
        <v>868</v>
      </c>
      <c r="BL177" s="320" t="s">
        <v>870</v>
      </c>
      <c r="BM177" s="320" t="s">
        <v>868</v>
      </c>
      <c r="BN177" s="320" t="s">
        <v>868</v>
      </c>
      <c r="BO177" s="320" t="s">
        <v>868</v>
      </c>
      <c r="BP177" s="320" t="s">
        <v>868</v>
      </c>
    </row>
    <row r="178" spans="1:68" ht="45">
      <c r="A178" s="196" t="s">
        <v>1160</v>
      </c>
      <c r="B178" s="196" t="s">
        <v>864</v>
      </c>
      <c r="C178" s="196" t="s">
        <v>1179</v>
      </c>
      <c r="D178" s="196" t="s">
        <v>1196</v>
      </c>
      <c r="E178" s="230" t="str">
        <f>VLOOKUP(D178,'2026 NPI'!D:L,2,0)</f>
        <v>No</v>
      </c>
      <c r="F178" s="198" t="str">
        <f>VLOOKUP(D178,'2026 NPI'!D:L,3,0)</f>
        <v>HP ProBook 4 G2a 16 inch Notebook PC AI Edition​</v>
      </c>
      <c r="G178" s="282">
        <f>VLOOKUP(D178,'2026 NPI'!D:L,5,0)</f>
        <v>46038</v>
      </c>
      <c r="H178" s="282">
        <f>VLOOKUP(D178,'2026 NPI'!D:L,6,0)</f>
        <v>46059</v>
      </c>
      <c r="I178" s="235"/>
      <c r="K178" s="253" t="s">
        <v>868</v>
      </c>
      <c r="L178" s="253" t="s">
        <v>868</v>
      </c>
      <c r="M178" s="253" t="s">
        <v>868</v>
      </c>
      <c r="N178" s="253" t="s">
        <v>868</v>
      </c>
      <c r="O178" s="253"/>
      <c r="P178" s="253"/>
      <c r="Q178" s="253"/>
      <c r="R178" s="253"/>
      <c r="S178" s="253"/>
      <c r="T178" s="253"/>
      <c r="U178" s="253"/>
      <c r="V178" s="253"/>
      <c r="W178" s="253"/>
      <c r="X178" s="253"/>
      <c r="Y178" s="253"/>
      <c r="Z178" s="253"/>
      <c r="AA178" s="253"/>
      <c r="AB178" s="254"/>
      <c r="AC178" s="254"/>
      <c r="AD178" s="254"/>
      <c r="AE178" s="254"/>
      <c r="AF178" s="254"/>
      <c r="AG178" s="254"/>
      <c r="AH178" s="254"/>
      <c r="AI178" s="253" t="s">
        <v>868</v>
      </c>
      <c r="AJ178" s="253" t="s">
        <v>978</v>
      </c>
      <c r="AK178" s="253" t="s">
        <v>978</v>
      </c>
      <c r="AL178" s="253" t="s">
        <v>978</v>
      </c>
      <c r="AM178" s="253" t="s">
        <v>978</v>
      </c>
      <c r="AN178" s="253" t="s">
        <v>978</v>
      </c>
      <c r="AO178" s="253" t="s">
        <v>978</v>
      </c>
      <c r="AP178" s="253" t="s">
        <v>978</v>
      </c>
      <c r="AQ178" s="253" t="s">
        <v>978</v>
      </c>
      <c r="AR178" s="253" t="s">
        <v>978</v>
      </c>
      <c r="AS178" s="253" t="s">
        <v>978</v>
      </c>
      <c r="AT178" s="253" t="s">
        <v>978</v>
      </c>
      <c r="AU178" s="253" t="s">
        <v>978</v>
      </c>
      <c r="AV178" s="253" t="s">
        <v>978</v>
      </c>
      <c r="AW178" s="253" t="s">
        <v>978</v>
      </c>
      <c r="AX178" s="253" t="s">
        <v>978</v>
      </c>
      <c r="AY178" s="253" t="s">
        <v>978</v>
      </c>
      <c r="AZ178" s="253" t="s">
        <v>978</v>
      </c>
      <c r="BA178" s="253" t="s">
        <v>978</v>
      </c>
      <c r="BB178" s="253" t="s">
        <v>978</v>
      </c>
      <c r="BC178" s="128"/>
      <c r="BD178" s="128"/>
      <c r="BE178" s="254" t="s">
        <v>868</v>
      </c>
      <c r="BF178" s="254" t="s">
        <v>868</v>
      </c>
      <c r="BG178" s="254" t="s">
        <v>870</v>
      </c>
      <c r="BH178" s="254" t="s">
        <v>870</v>
      </c>
      <c r="BI178" s="254" t="s">
        <v>868</v>
      </c>
      <c r="BJ178" s="254" t="s">
        <v>870</v>
      </c>
      <c r="BK178" s="254" t="s">
        <v>868</v>
      </c>
      <c r="BL178" s="320" t="s">
        <v>870</v>
      </c>
      <c r="BM178" s="320" t="s">
        <v>868</v>
      </c>
      <c r="BN178" s="320" t="s">
        <v>868</v>
      </c>
      <c r="BO178" s="320" t="s">
        <v>868</v>
      </c>
      <c r="BP178" s="320" t="s">
        <v>868</v>
      </c>
    </row>
    <row r="179" spans="1:68" ht="45">
      <c r="A179" s="196" t="s">
        <v>1160</v>
      </c>
      <c r="B179" s="196" t="s">
        <v>899</v>
      </c>
      <c r="C179" s="196" t="s">
        <v>1166</v>
      </c>
      <c r="D179" s="196" t="s">
        <v>1197</v>
      </c>
      <c r="E179" s="230" t="str">
        <f>VLOOKUP(D179,'2026 NPI'!D:L,2,0)</f>
        <v>Yes</v>
      </c>
      <c r="F179" s="198" t="str">
        <f>VLOOKUP(D179,'2026 NPI'!D:L,3,0)</f>
        <v>HP EliteDesk 8 Mini G2a Desktop Next Gen AI PC</v>
      </c>
      <c r="G179" s="282">
        <f>VLOOKUP(D179,'2026 NPI'!D:L,5,0)</f>
        <v>46052</v>
      </c>
      <c r="H179" s="282">
        <f>VLOOKUP(D179,'2026 NPI'!D:L,6,0)</f>
        <v>46079</v>
      </c>
      <c r="I179" s="235"/>
      <c r="K179" s="253" t="s">
        <v>870</v>
      </c>
      <c r="L179" s="253" t="s">
        <v>868</v>
      </c>
      <c r="M179" s="253" t="s">
        <v>868</v>
      </c>
      <c r="N179" s="253" t="s">
        <v>868</v>
      </c>
      <c r="O179" s="253"/>
      <c r="P179" s="253"/>
      <c r="Q179" s="253"/>
      <c r="R179" s="253"/>
      <c r="S179" s="253"/>
      <c r="T179" s="253"/>
      <c r="U179" s="253"/>
      <c r="V179" s="253"/>
      <c r="W179" s="253"/>
      <c r="X179" s="253"/>
      <c r="Y179" s="253"/>
      <c r="Z179" s="253"/>
      <c r="AA179" s="253"/>
      <c r="AB179" s="254"/>
      <c r="AC179" s="254"/>
      <c r="AD179" s="254"/>
      <c r="AE179" s="254"/>
      <c r="AF179" s="254"/>
      <c r="AG179" s="254"/>
      <c r="AH179" s="254"/>
      <c r="AI179" s="254" t="s">
        <v>870</v>
      </c>
      <c r="AJ179" s="253" t="s">
        <v>978</v>
      </c>
      <c r="AK179" s="253" t="s">
        <v>978</v>
      </c>
      <c r="AL179" s="253" t="s">
        <v>978</v>
      </c>
      <c r="AM179" s="253" t="s">
        <v>978</v>
      </c>
      <c r="AN179" s="253" t="s">
        <v>978</v>
      </c>
      <c r="AO179" s="253" t="s">
        <v>978</v>
      </c>
      <c r="AP179" s="253" t="s">
        <v>978</v>
      </c>
      <c r="AQ179" s="253" t="s">
        <v>978</v>
      </c>
      <c r="AR179" s="253" t="s">
        <v>978</v>
      </c>
      <c r="AS179" s="253" t="s">
        <v>978</v>
      </c>
      <c r="AT179" s="253" t="s">
        <v>978</v>
      </c>
      <c r="AU179" s="253" t="s">
        <v>978</v>
      </c>
      <c r="AV179" s="253" t="s">
        <v>978</v>
      </c>
      <c r="AW179" s="253" t="s">
        <v>978</v>
      </c>
      <c r="AX179" s="253" t="s">
        <v>978</v>
      </c>
      <c r="AY179" s="253" t="s">
        <v>978</v>
      </c>
      <c r="AZ179" s="253" t="s">
        <v>978</v>
      </c>
      <c r="BA179" s="253" t="s">
        <v>978</v>
      </c>
      <c r="BB179" s="253" t="s">
        <v>978</v>
      </c>
      <c r="BC179" s="128"/>
      <c r="BD179" s="128"/>
      <c r="BE179" s="254" t="s">
        <v>870</v>
      </c>
      <c r="BF179" s="254" t="s">
        <v>870</v>
      </c>
      <c r="BG179" s="254" t="s">
        <v>870</v>
      </c>
      <c r="BH179" s="254" t="s">
        <v>870</v>
      </c>
      <c r="BI179" s="254" t="s">
        <v>868</v>
      </c>
      <c r="BJ179" s="254" t="s">
        <v>870</v>
      </c>
      <c r="BK179" s="254" t="s">
        <v>870</v>
      </c>
      <c r="BL179" s="320" t="s">
        <v>870</v>
      </c>
      <c r="BM179" s="320" t="s">
        <v>868</v>
      </c>
      <c r="BN179" s="320" t="s">
        <v>868</v>
      </c>
      <c r="BO179" s="320" t="s">
        <v>870</v>
      </c>
      <c r="BP179" s="320" t="s">
        <v>870</v>
      </c>
    </row>
    <row r="180" spans="1:68">
      <c r="A180" s="196" t="s">
        <v>1160</v>
      </c>
      <c r="B180" s="196" t="s">
        <v>899</v>
      </c>
      <c r="C180" s="196" t="s">
        <v>1198</v>
      </c>
      <c r="D180" s="196" t="s">
        <v>1199</v>
      </c>
      <c r="E180" s="230" t="str">
        <f>VLOOKUP(D180,'2026 NPI'!D:L,2,0)</f>
        <v>No</v>
      </c>
      <c r="F180" s="198" t="str">
        <f>VLOOKUP(D180,'2026 NPI'!D:L,3,0)</f>
        <v>HP Engage One G2 AiO​</v>
      </c>
      <c r="G180" s="282">
        <f>VLOOKUP(D180,'2026 NPI'!D:L,5,0)</f>
        <v>46084</v>
      </c>
      <c r="H180" s="282">
        <f>VLOOKUP(D180,'2026 NPI'!D:L,6,0)</f>
        <v>46105</v>
      </c>
      <c r="I180" s="235"/>
      <c r="K180" s="253" t="s">
        <v>868</v>
      </c>
      <c r="L180" s="253" t="s">
        <v>868</v>
      </c>
      <c r="M180" s="253" t="s">
        <v>868</v>
      </c>
      <c r="N180" s="253" t="s">
        <v>868</v>
      </c>
      <c r="O180" s="253"/>
      <c r="P180" s="253"/>
      <c r="Q180" s="253"/>
      <c r="R180" s="253"/>
      <c r="S180" s="253"/>
      <c r="T180" s="253"/>
      <c r="U180" s="253"/>
      <c r="V180" s="253"/>
      <c r="W180" s="253"/>
      <c r="X180" s="253"/>
      <c r="Y180" s="253"/>
      <c r="Z180" s="253"/>
      <c r="AA180" s="253"/>
      <c r="AB180" s="254"/>
      <c r="AC180" s="254"/>
      <c r="AD180" s="254"/>
      <c r="AE180" s="254"/>
      <c r="AF180" s="254"/>
      <c r="AG180" s="254"/>
      <c r="AH180" s="254"/>
      <c r="AI180" s="254" t="s">
        <v>870</v>
      </c>
      <c r="AJ180" s="253" t="s">
        <v>978</v>
      </c>
      <c r="AK180" s="253" t="s">
        <v>978</v>
      </c>
      <c r="AL180" s="253" t="s">
        <v>978</v>
      </c>
      <c r="AM180" s="253" t="s">
        <v>978</v>
      </c>
      <c r="AN180" s="253" t="s">
        <v>978</v>
      </c>
      <c r="AO180" s="253" t="s">
        <v>978</v>
      </c>
      <c r="AP180" s="253" t="s">
        <v>978</v>
      </c>
      <c r="AQ180" s="253" t="s">
        <v>978</v>
      </c>
      <c r="AR180" s="253" t="s">
        <v>978</v>
      </c>
      <c r="AS180" s="253" t="s">
        <v>978</v>
      </c>
      <c r="AT180" s="253" t="s">
        <v>978</v>
      </c>
      <c r="AU180" s="253" t="s">
        <v>978</v>
      </c>
      <c r="AV180" s="253" t="s">
        <v>978</v>
      </c>
      <c r="AW180" s="253" t="s">
        <v>978</v>
      </c>
      <c r="AX180" s="253" t="s">
        <v>978</v>
      </c>
      <c r="AY180" s="253" t="s">
        <v>978</v>
      </c>
      <c r="AZ180" s="253" t="s">
        <v>978</v>
      </c>
      <c r="BA180" s="253" t="s">
        <v>978</v>
      </c>
      <c r="BB180" s="253" t="s">
        <v>978</v>
      </c>
      <c r="BC180" s="128"/>
      <c r="BD180" s="128"/>
      <c r="BE180" s="254" t="s">
        <v>870</v>
      </c>
      <c r="BF180" s="254" t="s">
        <v>870</v>
      </c>
      <c r="BG180" s="254" t="s">
        <v>870</v>
      </c>
      <c r="BH180" s="254" t="s">
        <v>870</v>
      </c>
      <c r="BI180" s="254" t="s">
        <v>868</v>
      </c>
      <c r="BJ180" s="254" t="s">
        <v>870</v>
      </c>
      <c r="BK180" s="254" t="s">
        <v>870</v>
      </c>
      <c r="BL180" s="320" t="s">
        <v>870</v>
      </c>
      <c r="BM180" s="320" t="s">
        <v>868</v>
      </c>
      <c r="BN180" s="320" t="s">
        <v>868</v>
      </c>
      <c r="BO180" s="320" t="s">
        <v>870</v>
      </c>
      <c r="BP180" s="320" t="s">
        <v>870</v>
      </c>
    </row>
    <row r="181" spans="1:68" ht="60">
      <c r="A181" s="196" t="s">
        <v>1160</v>
      </c>
      <c r="B181" s="196" t="s">
        <v>864</v>
      </c>
      <c r="C181" s="196" t="s">
        <v>1176</v>
      </c>
      <c r="D181" s="196" t="s">
        <v>1200</v>
      </c>
      <c r="E181" s="230" t="str">
        <f>VLOOKUP(D181,'2026 NPI'!D:L,2,0)</f>
        <v>Yes</v>
      </c>
      <c r="F181" s="198" t="str">
        <f>VLOOKUP(D181,'2026 NPI'!D:L,3,0)</f>
        <v>HP EliteBook 6 G2q 14 inch Notebook Next Gen AI PC​</v>
      </c>
      <c r="G181" s="282">
        <f>VLOOKUP(D181,'2026 NPI'!D:L,5,0)</f>
        <v>46094</v>
      </c>
      <c r="H181" s="282">
        <f>VLOOKUP(D181,'2026 NPI'!D:L,6,0)</f>
        <v>46121</v>
      </c>
      <c r="I181" s="235"/>
      <c r="K181" s="253" t="s">
        <v>870</v>
      </c>
      <c r="L181" s="253" t="s">
        <v>868</v>
      </c>
      <c r="M181" s="253" t="s">
        <v>868</v>
      </c>
      <c r="N181" s="253" t="s">
        <v>868</v>
      </c>
      <c r="O181" s="253"/>
      <c r="P181" s="253"/>
      <c r="Q181" s="253"/>
      <c r="R181" s="253"/>
      <c r="S181" s="253"/>
      <c r="T181" s="253"/>
      <c r="U181" s="253"/>
      <c r="V181" s="253"/>
      <c r="W181" s="253"/>
      <c r="X181" s="253"/>
      <c r="Y181" s="253"/>
      <c r="Z181" s="253"/>
      <c r="AA181" s="253"/>
      <c r="AB181" s="254"/>
      <c r="AC181" s="254"/>
      <c r="AD181" s="254"/>
      <c r="AE181" s="254"/>
      <c r="AF181" s="254"/>
      <c r="AG181" s="254"/>
      <c r="AH181" s="254"/>
      <c r="AI181" s="253" t="s">
        <v>868</v>
      </c>
      <c r="AJ181" s="253" t="s">
        <v>978</v>
      </c>
      <c r="AK181" s="253" t="s">
        <v>978</v>
      </c>
      <c r="AL181" s="253" t="s">
        <v>978</v>
      </c>
      <c r="AM181" s="253" t="s">
        <v>978</v>
      </c>
      <c r="AN181" s="253" t="s">
        <v>978</v>
      </c>
      <c r="AO181" s="253" t="s">
        <v>978</v>
      </c>
      <c r="AP181" s="253" t="s">
        <v>978</v>
      </c>
      <c r="AQ181" s="253" t="s">
        <v>978</v>
      </c>
      <c r="AR181" s="253" t="s">
        <v>978</v>
      </c>
      <c r="AS181" s="253" t="s">
        <v>978</v>
      </c>
      <c r="AT181" s="253" t="s">
        <v>978</v>
      </c>
      <c r="AU181" s="253" t="s">
        <v>978</v>
      </c>
      <c r="AV181" s="253" t="s">
        <v>978</v>
      </c>
      <c r="AW181" s="253" t="s">
        <v>978</v>
      </c>
      <c r="AX181" s="253" t="s">
        <v>978</v>
      </c>
      <c r="AY181" s="253" t="s">
        <v>978</v>
      </c>
      <c r="AZ181" s="253" t="s">
        <v>978</v>
      </c>
      <c r="BA181" s="253" t="s">
        <v>978</v>
      </c>
      <c r="BB181" s="253" t="s">
        <v>978</v>
      </c>
      <c r="BC181" s="128"/>
      <c r="BD181" s="128"/>
      <c r="BE181" s="254" t="s">
        <v>868</v>
      </c>
      <c r="BF181" s="254" t="s">
        <v>868</v>
      </c>
      <c r="BG181" s="254" t="s">
        <v>870</v>
      </c>
      <c r="BH181" s="254" t="s">
        <v>870</v>
      </c>
      <c r="BI181" s="254" t="s">
        <v>868</v>
      </c>
      <c r="BJ181" s="254" t="s">
        <v>870</v>
      </c>
      <c r="BK181" s="254" t="s">
        <v>868</v>
      </c>
      <c r="BL181" s="320" t="s">
        <v>870</v>
      </c>
      <c r="BM181" s="320" t="s">
        <v>868</v>
      </c>
      <c r="BN181" s="320" t="s">
        <v>868</v>
      </c>
      <c r="BO181" s="320" t="s">
        <v>868</v>
      </c>
      <c r="BP181" s="320" t="s">
        <v>868</v>
      </c>
    </row>
    <row r="182" spans="1:68" ht="45">
      <c r="A182" s="196" t="s">
        <v>1160</v>
      </c>
      <c r="B182" s="196" t="s">
        <v>899</v>
      </c>
      <c r="C182" s="196" t="s">
        <v>1166</v>
      </c>
      <c r="D182" s="196" t="s">
        <v>1201</v>
      </c>
      <c r="E182" s="230" t="str">
        <f>VLOOKUP(D182,'2026 NPI'!D:L,2,0)</f>
        <v>Yes</v>
      </c>
      <c r="F182" s="198" t="str">
        <f>VLOOKUP(D182,'2026 NPI'!D:L,3,0)</f>
        <v>HP EliteDesk 8 SFF G2a Desktop Next Gen AI PC</v>
      </c>
      <c r="G182" s="282">
        <f>VLOOKUP(D182,'2026 NPI'!D:L,5,0)</f>
        <v>46125</v>
      </c>
      <c r="H182" s="282">
        <f>VLOOKUP(D182,'2026 NPI'!D:L,6,0)</f>
        <v>46146</v>
      </c>
      <c r="I182" s="235"/>
      <c r="K182" s="253" t="s">
        <v>870</v>
      </c>
      <c r="L182" s="253" t="s">
        <v>868</v>
      </c>
      <c r="M182" s="253" t="s">
        <v>868</v>
      </c>
      <c r="N182" s="253" t="s">
        <v>868</v>
      </c>
      <c r="O182" s="253"/>
      <c r="P182" s="253"/>
      <c r="Q182" s="253"/>
      <c r="R182" s="253"/>
      <c r="S182" s="253"/>
      <c r="T182" s="253"/>
      <c r="U182" s="253"/>
      <c r="V182" s="253"/>
      <c r="W182" s="253"/>
      <c r="X182" s="253"/>
      <c r="Y182" s="253"/>
      <c r="Z182" s="253"/>
      <c r="AA182" s="253"/>
      <c r="AB182" s="254"/>
      <c r="AC182" s="254"/>
      <c r="AD182" s="254"/>
      <c r="AE182" s="254"/>
      <c r="AF182" s="254"/>
      <c r="AG182" s="254"/>
      <c r="AH182" s="254"/>
      <c r="AI182" s="254" t="s">
        <v>870</v>
      </c>
      <c r="AJ182" s="253" t="s">
        <v>978</v>
      </c>
      <c r="AK182" s="253" t="s">
        <v>978</v>
      </c>
      <c r="AL182" s="253" t="s">
        <v>978</v>
      </c>
      <c r="AM182" s="253" t="s">
        <v>978</v>
      </c>
      <c r="AN182" s="253" t="s">
        <v>978</v>
      </c>
      <c r="AO182" s="253" t="s">
        <v>978</v>
      </c>
      <c r="AP182" s="253" t="s">
        <v>978</v>
      </c>
      <c r="AQ182" s="253" t="s">
        <v>978</v>
      </c>
      <c r="AR182" s="253" t="s">
        <v>978</v>
      </c>
      <c r="AS182" s="253" t="s">
        <v>978</v>
      </c>
      <c r="AT182" s="253" t="s">
        <v>978</v>
      </c>
      <c r="AU182" s="253" t="s">
        <v>978</v>
      </c>
      <c r="AV182" s="253" t="s">
        <v>978</v>
      </c>
      <c r="AW182" s="253" t="s">
        <v>978</v>
      </c>
      <c r="AX182" s="253" t="s">
        <v>978</v>
      </c>
      <c r="AY182" s="253" t="s">
        <v>978</v>
      </c>
      <c r="AZ182" s="253" t="s">
        <v>978</v>
      </c>
      <c r="BA182" s="253" t="s">
        <v>978</v>
      </c>
      <c r="BB182" s="253" t="s">
        <v>978</v>
      </c>
      <c r="BC182" s="128"/>
      <c r="BD182" s="128"/>
      <c r="BE182" s="254" t="s">
        <v>870</v>
      </c>
      <c r="BF182" s="254" t="s">
        <v>870</v>
      </c>
      <c r="BG182" s="254" t="s">
        <v>870</v>
      </c>
      <c r="BH182" s="254" t="s">
        <v>870</v>
      </c>
      <c r="BI182" s="254" t="s">
        <v>868</v>
      </c>
      <c r="BJ182" s="254" t="s">
        <v>870</v>
      </c>
      <c r="BK182" s="254" t="s">
        <v>870</v>
      </c>
      <c r="BL182" s="320" t="s">
        <v>870</v>
      </c>
      <c r="BM182" s="320" t="s">
        <v>868</v>
      </c>
      <c r="BN182" s="320" t="s">
        <v>868</v>
      </c>
      <c r="BO182" s="320" t="s">
        <v>870</v>
      </c>
      <c r="BP182" s="320" t="s">
        <v>870</v>
      </c>
    </row>
    <row r="183" spans="1:68" ht="30">
      <c r="A183" s="196" t="s">
        <v>1160</v>
      </c>
      <c r="B183" s="196" t="s">
        <v>899</v>
      </c>
      <c r="C183" s="196" t="s">
        <v>1202</v>
      </c>
      <c r="D183" s="196" t="s">
        <v>1203</v>
      </c>
      <c r="E183" s="230" t="str">
        <f>VLOOKUP(D183,'2026 NPI'!D:L,2,0)</f>
        <v>Yes</v>
      </c>
      <c r="F183" s="198" t="str">
        <f>VLOOKUP(D183,'2026 NPI'!D:L,3,0)</f>
        <v>HP ProDesk 2 Mini G2i Desktop AI PC</v>
      </c>
      <c r="G183" s="282">
        <f>VLOOKUP(D183,'2026 NPI'!D:L,5,0)</f>
        <v>46188</v>
      </c>
      <c r="H183" s="282">
        <f>VLOOKUP(D183,'2026 NPI'!D:L,6,0)</f>
        <v>46209</v>
      </c>
      <c r="I183" s="235"/>
      <c r="K183" s="253" t="s">
        <v>870</v>
      </c>
      <c r="L183" s="253" t="s">
        <v>868</v>
      </c>
      <c r="M183" s="253" t="s">
        <v>868</v>
      </c>
      <c r="N183" s="253" t="s">
        <v>868</v>
      </c>
      <c r="O183" s="253"/>
      <c r="P183" s="253"/>
      <c r="Q183" s="253"/>
      <c r="R183" s="253"/>
      <c r="S183" s="253"/>
      <c r="T183" s="253"/>
      <c r="U183" s="253"/>
      <c r="V183" s="253"/>
      <c r="W183" s="253"/>
      <c r="X183" s="253"/>
      <c r="Y183" s="253"/>
      <c r="Z183" s="253"/>
      <c r="AA183" s="253"/>
      <c r="AB183" s="254"/>
      <c r="AC183" s="254"/>
      <c r="AD183" s="254"/>
      <c r="AE183" s="254"/>
      <c r="AF183" s="254"/>
      <c r="AG183" s="254"/>
      <c r="AH183" s="254"/>
      <c r="AI183" s="254" t="s">
        <v>870</v>
      </c>
      <c r="AJ183" s="253" t="s">
        <v>978</v>
      </c>
      <c r="AK183" s="253" t="s">
        <v>978</v>
      </c>
      <c r="AL183" s="253" t="s">
        <v>978</v>
      </c>
      <c r="AM183" s="253" t="s">
        <v>978</v>
      </c>
      <c r="AN183" s="253" t="s">
        <v>978</v>
      </c>
      <c r="AO183" s="253" t="s">
        <v>978</v>
      </c>
      <c r="AP183" s="253" t="s">
        <v>978</v>
      </c>
      <c r="AQ183" s="253" t="s">
        <v>978</v>
      </c>
      <c r="AR183" s="253" t="s">
        <v>978</v>
      </c>
      <c r="AS183" s="253" t="s">
        <v>978</v>
      </c>
      <c r="AT183" s="253" t="s">
        <v>978</v>
      </c>
      <c r="AU183" s="253" t="s">
        <v>978</v>
      </c>
      <c r="AV183" s="253" t="s">
        <v>978</v>
      </c>
      <c r="AW183" s="253" t="s">
        <v>978</v>
      </c>
      <c r="AX183" s="253" t="s">
        <v>978</v>
      </c>
      <c r="AY183" s="253" t="s">
        <v>978</v>
      </c>
      <c r="AZ183" s="253" t="s">
        <v>978</v>
      </c>
      <c r="BA183" s="253" t="s">
        <v>978</v>
      </c>
      <c r="BB183" s="253" t="s">
        <v>978</v>
      </c>
      <c r="BC183" s="128"/>
      <c r="BD183" s="128"/>
      <c r="BE183" s="254" t="s">
        <v>870</v>
      </c>
      <c r="BF183" s="254" t="s">
        <v>870</v>
      </c>
      <c r="BG183" s="254" t="s">
        <v>870</v>
      </c>
      <c r="BH183" s="254" t="s">
        <v>870</v>
      </c>
      <c r="BI183" s="254" t="s">
        <v>868</v>
      </c>
      <c r="BJ183" s="254" t="s">
        <v>870</v>
      </c>
      <c r="BK183" s="254" t="s">
        <v>870</v>
      </c>
      <c r="BL183" s="320" t="s">
        <v>870</v>
      </c>
      <c r="BM183" s="320" t="s">
        <v>868</v>
      </c>
      <c r="BN183" s="320" t="s">
        <v>868</v>
      </c>
      <c r="BO183" s="320" t="s">
        <v>870</v>
      </c>
      <c r="BP183" s="320" t="s">
        <v>870</v>
      </c>
    </row>
    <row r="184" spans="1:68" ht="30">
      <c r="A184" s="196" t="s">
        <v>1160</v>
      </c>
      <c r="B184" s="196" t="s">
        <v>864</v>
      </c>
      <c r="C184" s="196" t="s">
        <v>1176</v>
      </c>
      <c r="D184" s="196" t="s">
        <v>1204</v>
      </c>
      <c r="E184" s="230" t="str">
        <f>VLOOKUP(D184,'2026 NPI'!D:L,2,0)</f>
        <v>No</v>
      </c>
      <c r="F184" s="198" t="str">
        <f>VLOOKUP(D184,'2026 NPI'!D:L,3,0)</f>
        <v>HP EliteBook 6 G2i 14 inch Notebook PC AI Edition​</v>
      </c>
      <c r="G184" s="282">
        <f>VLOOKUP(D184,'2026 NPI'!D:L,5,0)</f>
        <v>46189</v>
      </c>
      <c r="H184" s="282">
        <f>VLOOKUP(D184,'2026 NPI'!D:L,6,0)</f>
        <v>46211</v>
      </c>
      <c r="I184" s="235"/>
      <c r="K184" s="253" t="s">
        <v>868</v>
      </c>
      <c r="L184" s="253" t="s">
        <v>868</v>
      </c>
      <c r="M184" s="253" t="s">
        <v>868</v>
      </c>
      <c r="N184" s="253" t="s">
        <v>868</v>
      </c>
      <c r="O184" s="253"/>
      <c r="P184" s="253"/>
      <c r="Q184" s="253"/>
      <c r="R184" s="253"/>
      <c r="S184" s="253"/>
      <c r="T184" s="253"/>
      <c r="U184" s="253"/>
      <c r="V184" s="253"/>
      <c r="W184" s="253"/>
      <c r="X184" s="253"/>
      <c r="Y184" s="253"/>
      <c r="Z184" s="253"/>
      <c r="AA184" s="253"/>
      <c r="AB184" s="254"/>
      <c r="AC184" s="254"/>
      <c r="AD184" s="254"/>
      <c r="AE184" s="254"/>
      <c r="AF184" s="254"/>
      <c r="AG184" s="254"/>
      <c r="AH184" s="254"/>
      <c r="AI184" s="253" t="s">
        <v>868</v>
      </c>
      <c r="AJ184" s="253" t="s">
        <v>978</v>
      </c>
      <c r="AK184" s="253" t="s">
        <v>978</v>
      </c>
      <c r="AL184" s="253" t="s">
        <v>978</v>
      </c>
      <c r="AM184" s="253" t="s">
        <v>978</v>
      </c>
      <c r="AN184" s="253" t="s">
        <v>978</v>
      </c>
      <c r="AO184" s="253" t="s">
        <v>978</v>
      </c>
      <c r="AP184" s="253" t="s">
        <v>978</v>
      </c>
      <c r="AQ184" s="253" t="s">
        <v>978</v>
      </c>
      <c r="AR184" s="253" t="s">
        <v>978</v>
      </c>
      <c r="AS184" s="253" t="s">
        <v>978</v>
      </c>
      <c r="AT184" s="253" t="s">
        <v>978</v>
      </c>
      <c r="AU184" s="253" t="s">
        <v>978</v>
      </c>
      <c r="AV184" s="253" t="s">
        <v>978</v>
      </c>
      <c r="AW184" s="253" t="s">
        <v>978</v>
      </c>
      <c r="AX184" s="253" t="s">
        <v>978</v>
      </c>
      <c r="AY184" s="253" t="s">
        <v>978</v>
      </c>
      <c r="AZ184" s="253" t="s">
        <v>978</v>
      </c>
      <c r="BA184" s="253" t="s">
        <v>978</v>
      </c>
      <c r="BB184" s="253" t="s">
        <v>978</v>
      </c>
      <c r="BC184" s="128"/>
      <c r="BD184" s="128"/>
      <c r="BE184" s="254" t="s">
        <v>868</v>
      </c>
      <c r="BF184" s="254" t="s">
        <v>868</v>
      </c>
      <c r="BG184" s="254" t="s">
        <v>870</v>
      </c>
      <c r="BH184" s="254" t="s">
        <v>870</v>
      </c>
      <c r="BI184" s="254" t="s">
        <v>868</v>
      </c>
      <c r="BJ184" s="254" t="s">
        <v>870</v>
      </c>
      <c r="BK184" s="254" t="s">
        <v>868</v>
      </c>
      <c r="BL184" s="320" t="s">
        <v>870</v>
      </c>
      <c r="BM184" s="320" t="s">
        <v>868</v>
      </c>
      <c r="BN184" s="320" t="s">
        <v>868</v>
      </c>
      <c r="BO184" s="320" t="s">
        <v>868</v>
      </c>
      <c r="BP184" s="320" t="s">
        <v>868</v>
      </c>
    </row>
    <row r="185" spans="1:68" ht="30">
      <c r="A185" s="196" t="s">
        <v>1160</v>
      </c>
      <c r="B185" s="196" t="s">
        <v>864</v>
      </c>
      <c r="C185" s="196" t="s">
        <v>1176</v>
      </c>
      <c r="D185" s="196" t="s">
        <v>1205</v>
      </c>
      <c r="E185" s="230" t="str">
        <f>VLOOKUP(D185,'2026 NPI'!D:L,2,0)</f>
        <v>No</v>
      </c>
      <c r="F185" s="198" t="str">
        <f>VLOOKUP(D185,'2026 NPI'!D:L,3,0)</f>
        <v>HP EliteBook 6 G2i 14 inch Notebook PC AI Edition​</v>
      </c>
      <c r="G185" s="282">
        <f>VLOOKUP(D185,'2026 NPI'!D:L,5,0)</f>
        <v>46189</v>
      </c>
      <c r="H185" s="282">
        <f>VLOOKUP(D185,'2026 NPI'!D:L,6,0)</f>
        <v>46211</v>
      </c>
      <c r="I185" s="235"/>
      <c r="K185" s="253" t="s">
        <v>868</v>
      </c>
      <c r="L185" s="253" t="s">
        <v>868</v>
      </c>
      <c r="M185" s="253" t="s">
        <v>868</v>
      </c>
      <c r="N185" s="253" t="s">
        <v>868</v>
      </c>
      <c r="O185" s="253"/>
      <c r="P185" s="253"/>
      <c r="Q185" s="253"/>
      <c r="R185" s="253"/>
      <c r="S185" s="253"/>
      <c r="T185" s="253"/>
      <c r="U185" s="253"/>
      <c r="V185" s="253"/>
      <c r="W185" s="253"/>
      <c r="X185" s="253"/>
      <c r="Y185" s="253"/>
      <c r="Z185" s="253"/>
      <c r="AA185" s="253"/>
      <c r="AB185" s="254"/>
      <c r="AC185" s="254"/>
      <c r="AD185" s="254"/>
      <c r="AE185" s="254"/>
      <c r="AF185" s="254"/>
      <c r="AG185" s="254"/>
      <c r="AH185" s="254"/>
      <c r="AI185" s="253" t="s">
        <v>868</v>
      </c>
      <c r="AJ185" s="253" t="s">
        <v>978</v>
      </c>
      <c r="AK185" s="253" t="s">
        <v>978</v>
      </c>
      <c r="AL185" s="253" t="s">
        <v>978</v>
      </c>
      <c r="AM185" s="253" t="s">
        <v>978</v>
      </c>
      <c r="AN185" s="253" t="s">
        <v>978</v>
      </c>
      <c r="AO185" s="253" t="s">
        <v>978</v>
      </c>
      <c r="AP185" s="253" t="s">
        <v>978</v>
      </c>
      <c r="AQ185" s="253" t="s">
        <v>978</v>
      </c>
      <c r="AR185" s="253" t="s">
        <v>978</v>
      </c>
      <c r="AS185" s="253" t="s">
        <v>978</v>
      </c>
      <c r="AT185" s="253" t="s">
        <v>978</v>
      </c>
      <c r="AU185" s="253" t="s">
        <v>978</v>
      </c>
      <c r="AV185" s="253" t="s">
        <v>978</v>
      </c>
      <c r="AW185" s="253" t="s">
        <v>978</v>
      </c>
      <c r="AX185" s="253" t="s">
        <v>978</v>
      </c>
      <c r="AY185" s="253" t="s">
        <v>978</v>
      </c>
      <c r="AZ185" s="253" t="s">
        <v>978</v>
      </c>
      <c r="BA185" s="253" t="s">
        <v>978</v>
      </c>
      <c r="BB185" s="253" t="s">
        <v>978</v>
      </c>
      <c r="BC185" s="128"/>
      <c r="BD185" s="128"/>
      <c r="BE185" s="254" t="s">
        <v>868</v>
      </c>
      <c r="BF185" s="254" t="s">
        <v>868</v>
      </c>
      <c r="BG185" s="254" t="s">
        <v>870</v>
      </c>
      <c r="BH185" s="254" t="s">
        <v>870</v>
      </c>
      <c r="BI185" s="254" t="s">
        <v>868</v>
      </c>
      <c r="BJ185" s="254" t="s">
        <v>870</v>
      </c>
      <c r="BK185" s="254" t="s">
        <v>868</v>
      </c>
      <c r="BL185" s="320" t="s">
        <v>870</v>
      </c>
      <c r="BM185" s="320" t="s">
        <v>868</v>
      </c>
      <c r="BN185" s="320" t="s">
        <v>868</v>
      </c>
      <c r="BO185" s="320" t="s">
        <v>868</v>
      </c>
      <c r="BP185" s="320" t="s">
        <v>868</v>
      </c>
    </row>
    <row r="186" spans="1:68" ht="30">
      <c r="A186" s="196" t="s">
        <v>1160</v>
      </c>
      <c r="B186" s="196" t="s">
        <v>864</v>
      </c>
      <c r="C186" s="196" t="s">
        <v>1179</v>
      </c>
      <c r="D186" s="196" t="s">
        <v>1206</v>
      </c>
      <c r="E186" s="230" t="str">
        <f>VLOOKUP(D186,'2026 NPI'!D:L,2,0)</f>
        <v>No</v>
      </c>
      <c r="F186" s="198" t="str">
        <f>VLOOKUP(D186,'2026 NPI'!D:L,3,0)</f>
        <v>HP ProBook 4 G2i 13 inch Notebook PC AI Edition​</v>
      </c>
      <c r="G186" s="282">
        <f>VLOOKUP(D186,'2026 NPI'!D:L,5,0)</f>
        <v>46189</v>
      </c>
      <c r="H186" s="282">
        <f>VLOOKUP(D186,'2026 NPI'!D:L,6,0)</f>
        <v>46211</v>
      </c>
      <c r="I186" s="235"/>
      <c r="K186" s="253" t="s">
        <v>868</v>
      </c>
      <c r="L186" s="253" t="s">
        <v>868</v>
      </c>
      <c r="M186" s="253" t="s">
        <v>868</v>
      </c>
      <c r="N186" s="253" t="s">
        <v>868</v>
      </c>
      <c r="O186" s="253"/>
      <c r="P186" s="253"/>
      <c r="Q186" s="253"/>
      <c r="R186" s="253"/>
      <c r="S186" s="253"/>
      <c r="T186" s="253"/>
      <c r="U186" s="253"/>
      <c r="V186" s="253"/>
      <c r="W186" s="253"/>
      <c r="X186" s="253"/>
      <c r="Y186" s="253"/>
      <c r="Z186" s="253"/>
      <c r="AA186" s="253"/>
      <c r="AB186" s="254"/>
      <c r="AC186" s="254"/>
      <c r="AD186" s="254"/>
      <c r="AE186" s="254"/>
      <c r="AF186" s="254"/>
      <c r="AG186" s="254"/>
      <c r="AH186" s="254"/>
      <c r="AI186" s="253" t="s">
        <v>868</v>
      </c>
      <c r="AJ186" s="253" t="s">
        <v>978</v>
      </c>
      <c r="AK186" s="253" t="s">
        <v>978</v>
      </c>
      <c r="AL186" s="253" t="s">
        <v>978</v>
      </c>
      <c r="AM186" s="253" t="s">
        <v>978</v>
      </c>
      <c r="AN186" s="253" t="s">
        <v>978</v>
      </c>
      <c r="AO186" s="253" t="s">
        <v>978</v>
      </c>
      <c r="AP186" s="253" t="s">
        <v>978</v>
      </c>
      <c r="AQ186" s="253" t="s">
        <v>978</v>
      </c>
      <c r="AR186" s="253" t="s">
        <v>978</v>
      </c>
      <c r="AS186" s="253" t="s">
        <v>978</v>
      </c>
      <c r="AT186" s="253" t="s">
        <v>978</v>
      </c>
      <c r="AU186" s="253" t="s">
        <v>978</v>
      </c>
      <c r="AV186" s="253" t="s">
        <v>978</v>
      </c>
      <c r="AW186" s="253" t="s">
        <v>978</v>
      </c>
      <c r="AX186" s="253" t="s">
        <v>978</v>
      </c>
      <c r="AY186" s="253" t="s">
        <v>978</v>
      </c>
      <c r="AZ186" s="253" t="s">
        <v>978</v>
      </c>
      <c r="BA186" s="253" t="s">
        <v>978</v>
      </c>
      <c r="BB186" s="253" t="s">
        <v>978</v>
      </c>
      <c r="BC186" s="128"/>
      <c r="BD186" s="128"/>
      <c r="BE186" s="254" t="s">
        <v>868</v>
      </c>
      <c r="BF186" s="254" t="s">
        <v>868</v>
      </c>
      <c r="BG186" s="254" t="s">
        <v>870</v>
      </c>
      <c r="BH186" s="254" t="s">
        <v>870</v>
      </c>
      <c r="BI186" s="254" t="s">
        <v>868</v>
      </c>
      <c r="BJ186" s="254" t="s">
        <v>870</v>
      </c>
      <c r="BK186" s="254" t="s">
        <v>868</v>
      </c>
      <c r="BL186" s="320" t="s">
        <v>870</v>
      </c>
      <c r="BM186" s="320" t="s">
        <v>868</v>
      </c>
      <c r="BN186" s="320" t="s">
        <v>868</v>
      </c>
      <c r="BO186" s="320" t="s">
        <v>868</v>
      </c>
      <c r="BP186" s="320" t="s">
        <v>868</v>
      </c>
    </row>
    <row r="187" spans="1:68" ht="30">
      <c r="A187" s="196" t="s">
        <v>1160</v>
      </c>
      <c r="B187" s="196" t="s">
        <v>864</v>
      </c>
      <c r="C187" s="196" t="s">
        <v>1179</v>
      </c>
      <c r="D187" s="196" t="s">
        <v>1207</v>
      </c>
      <c r="E187" s="230" t="str">
        <f>VLOOKUP(D187,'2026 NPI'!D:L,2,0)</f>
        <v>No</v>
      </c>
      <c r="F187" s="198" t="str">
        <f>VLOOKUP(D187,'2026 NPI'!D:L,3,0)</f>
        <v>HP ProBook 4 G2i 14 inch Notebook PC AI Edition​</v>
      </c>
      <c r="G187" s="282">
        <f>VLOOKUP(D187,'2026 NPI'!D:L,5,0)</f>
        <v>46189</v>
      </c>
      <c r="H187" s="282">
        <f>VLOOKUP(D187,'2026 NPI'!D:L,6,0)</f>
        <v>46211</v>
      </c>
      <c r="I187" s="235"/>
      <c r="K187" s="253" t="s">
        <v>868</v>
      </c>
      <c r="L187" s="253" t="s">
        <v>868</v>
      </c>
      <c r="M187" s="253" t="s">
        <v>868</v>
      </c>
      <c r="N187" s="253" t="s">
        <v>868</v>
      </c>
      <c r="O187" s="253"/>
      <c r="P187" s="253"/>
      <c r="Q187" s="253"/>
      <c r="R187" s="253"/>
      <c r="S187" s="253"/>
      <c r="T187" s="253"/>
      <c r="U187" s="253"/>
      <c r="V187" s="253"/>
      <c r="W187" s="253"/>
      <c r="X187" s="253"/>
      <c r="Y187" s="253"/>
      <c r="Z187" s="253"/>
      <c r="AA187" s="253"/>
      <c r="AB187" s="254"/>
      <c r="AC187" s="254"/>
      <c r="AD187" s="254"/>
      <c r="AE187" s="254"/>
      <c r="AF187" s="254"/>
      <c r="AG187" s="254"/>
      <c r="AH187" s="254"/>
      <c r="AI187" s="253" t="s">
        <v>868</v>
      </c>
      <c r="AJ187" s="253" t="s">
        <v>978</v>
      </c>
      <c r="AK187" s="253" t="s">
        <v>978</v>
      </c>
      <c r="AL187" s="253" t="s">
        <v>978</v>
      </c>
      <c r="AM187" s="253" t="s">
        <v>978</v>
      </c>
      <c r="AN187" s="253" t="s">
        <v>978</v>
      </c>
      <c r="AO187" s="253" t="s">
        <v>978</v>
      </c>
      <c r="AP187" s="253" t="s">
        <v>978</v>
      </c>
      <c r="AQ187" s="253" t="s">
        <v>978</v>
      </c>
      <c r="AR187" s="253" t="s">
        <v>978</v>
      </c>
      <c r="AS187" s="253" t="s">
        <v>978</v>
      </c>
      <c r="AT187" s="253" t="s">
        <v>978</v>
      </c>
      <c r="AU187" s="253" t="s">
        <v>978</v>
      </c>
      <c r="AV187" s="253" t="s">
        <v>978</v>
      </c>
      <c r="AW187" s="253" t="s">
        <v>978</v>
      </c>
      <c r="AX187" s="253" t="s">
        <v>978</v>
      </c>
      <c r="AY187" s="253" t="s">
        <v>978</v>
      </c>
      <c r="AZ187" s="253" t="s">
        <v>978</v>
      </c>
      <c r="BA187" s="253" t="s">
        <v>978</v>
      </c>
      <c r="BB187" s="253" t="s">
        <v>978</v>
      </c>
      <c r="BC187" s="128"/>
      <c r="BD187" s="128"/>
      <c r="BE187" s="254" t="s">
        <v>868</v>
      </c>
      <c r="BF187" s="254" t="s">
        <v>868</v>
      </c>
      <c r="BG187" s="254" t="s">
        <v>870</v>
      </c>
      <c r="BH187" s="254" t="s">
        <v>870</v>
      </c>
      <c r="BI187" s="254" t="s">
        <v>868</v>
      </c>
      <c r="BJ187" s="254" t="s">
        <v>870</v>
      </c>
      <c r="BK187" s="254" t="s">
        <v>868</v>
      </c>
      <c r="BL187" s="320" t="s">
        <v>870</v>
      </c>
      <c r="BM187" s="320" t="s">
        <v>868</v>
      </c>
      <c r="BN187" s="320" t="s">
        <v>868</v>
      </c>
      <c r="BO187" s="320" t="s">
        <v>868</v>
      </c>
      <c r="BP187" s="320" t="s">
        <v>868</v>
      </c>
    </row>
    <row r="188" spans="1:68" ht="30">
      <c r="A188" s="196" t="s">
        <v>1160</v>
      </c>
      <c r="B188" s="196" t="s">
        <v>864</v>
      </c>
      <c r="C188" s="196" t="s">
        <v>1179</v>
      </c>
      <c r="D188" s="196" t="s">
        <v>1208</v>
      </c>
      <c r="E188" s="230" t="str">
        <f>VLOOKUP(D188,'2026 NPI'!D:L,2,0)</f>
        <v>No</v>
      </c>
      <c r="F188" s="198" t="str">
        <f>VLOOKUP(D188,'2026 NPI'!D:L,3,0)</f>
        <v>HP ProBook 4 G2i 16 inch Notebook PC AI Edition​</v>
      </c>
      <c r="G188" s="282">
        <f>VLOOKUP(D188,'2026 NPI'!D:L,5,0)</f>
        <v>46189</v>
      </c>
      <c r="H188" s="282">
        <f>VLOOKUP(D188,'2026 NPI'!D:L,6,0)</f>
        <v>46211</v>
      </c>
      <c r="I188" s="235"/>
      <c r="K188" s="253" t="s">
        <v>868</v>
      </c>
      <c r="L188" s="253" t="s">
        <v>868</v>
      </c>
      <c r="M188" s="253" t="s">
        <v>868</v>
      </c>
      <c r="N188" s="253" t="s">
        <v>868</v>
      </c>
      <c r="O188" s="253"/>
      <c r="P188" s="253"/>
      <c r="Q188" s="253"/>
      <c r="R188" s="253"/>
      <c r="S188" s="253"/>
      <c r="T188" s="253"/>
      <c r="U188" s="253"/>
      <c r="V188" s="253"/>
      <c r="W188" s="253"/>
      <c r="X188" s="253"/>
      <c r="Y188" s="253"/>
      <c r="Z188" s="253"/>
      <c r="AA188" s="253"/>
      <c r="AB188" s="254"/>
      <c r="AC188" s="254"/>
      <c r="AD188" s="254"/>
      <c r="AE188" s="254"/>
      <c r="AF188" s="254"/>
      <c r="AG188" s="254"/>
      <c r="AH188" s="254"/>
      <c r="AI188" s="253" t="s">
        <v>868</v>
      </c>
      <c r="AJ188" s="253" t="s">
        <v>978</v>
      </c>
      <c r="AK188" s="253" t="s">
        <v>978</v>
      </c>
      <c r="AL188" s="253" t="s">
        <v>978</v>
      </c>
      <c r="AM188" s="253" t="s">
        <v>978</v>
      </c>
      <c r="AN188" s="253" t="s">
        <v>978</v>
      </c>
      <c r="AO188" s="253" t="s">
        <v>978</v>
      </c>
      <c r="AP188" s="253" t="s">
        <v>978</v>
      </c>
      <c r="AQ188" s="253" t="s">
        <v>978</v>
      </c>
      <c r="AR188" s="253" t="s">
        <v>978</v>
      </c>
      <c r="AS188" s="253" t="s">
        <v>978</v>
      </c>
      <c r="AT188" s="253" t="s">
        <v>978</v>
      </c>
      <c r="AU188" s="253" t="s">
        <v>978</v>
      </c>
      <c r="AV188" s="253" t="s">
        <v>978</v>
      </c>
      <c r="AW188" s="253" t="s">
        <v>978</v>
      </c>
      <c r="AX188" s="253" t="s">
        <v>978</v>
      </c>
      <c r="AY188" s="253" t="s">
        <v>978</v>
      </c>
      <c r="AZ188" s="253" t="s">
        <v>978</v>
      </c>
      <c r="BA188" s="253" t="s">
        <v>978</v>
      </c>
      <c r="BB188" s="253" t="s">
        <v>978</v>
      </c>
      <c r="BC188" s="128"/>
      <c r="BD188" s="128"/>
      <c r="BE188" s="254" t="s">
        <v>868</v>
      </c>
      <c r="BF188" s="254" t="s">
        <v>868</v>
      </c>
      <c r="BG188" s="254" t="s">
        <v>870</v>
      </c>
      <c r="BH188" s="254" t="s">
        <v>870</v>
      </c>
      <c r="BI188" s="254" t="s">
        <v>868</v>
      </c>
      <c r="BJ188" s="254" t="s">
        <v>870</v>
      </c>
      <c r="BK188" s="254" t="s">
        <v>868</v>
      </c>
      <c r="BL188" s="320" t="s">
        <v>870</v>
      </c>
      <c r="BM188" s="320" t="s">
        <v>868</v>
      </c>
      <c r="BN188" s="320" t="s">
        <v>868</v>
      </c>
      <c r="BO188" s="320" t="s">
        <v>868</v>
      </c>
      <c r="BP188" s="320" t="s">
        <v>868</v>
      </c>
    </row>
    <row r="189" spans="1:68" ht="30">
      <c r="A189" s="196" t="s">
        <v>1160</v>
      </c>
      <c r="B189" s="196" t="s">
        <v>864</v>
      </c>
      <c r="C189" s="196" t="s">
        <v>1179</v>
      </c>
      <c r="D189" s="196" t="s">
        <v>1209</v>
      </c>
      <c r="E189" s="230" t="str">
        <f>VLOOKUP(D189,'2026 NPI'!D:L,2,0)</f>
        <v>No</v>
      </c>
      <c r="F189" s="198" t="str">
        <f>VLOOKUP(D189,'2026 NPI'!D:L,3,0)</f>
        <v>HP ProBook 4 Flip G2i 13 inch Notebook PC AI Edition​</v>
      </c>
      <c r="G189" s="282">
        <f>VLOOKUP(D189,'2026 NPI'!D:L,5,0)</f>
        <v>46189</v>
      </c>
      <c r="H189" s="282">
        <f>VLOOKUP(D189,'2026 NPI'!D:L,6,0)</f>
        <v>46211</v>
      </c>
      <c r="I189" s="235"/>
      <c r="K189" s="253" t="s">
        <v>868</v>
      </c>
      <c r="L189" s="253" t="s">
        <v>868</v>
      </c>
      <c r="M189" s="253" t="s">
        <v>868</v>
      </c>
      <c r="N189" s="253" t="s">
        <v>868</v>
      </c>
      <c r="O189" s="253"/>
      <c r="P189" s="253"/>
      <c r="Q189" s="253"/>
      <c r="R189" s="253"/>
      <c r="S189" s="253"/>
      <c r="T189" s="253"/>
      <c r="U189" s="253"/>
      <c r="V189" s="253"/>
      <c r="W189" s="253"/>
      <c r="X189" s="253"/>
      <c r="Y189" s="253"/>
      <c r="Z189" s="253"/>
      <c r="AA189" s="253"/>
      <c r="AB189" s="254"/>
      <c r="AC189" s="254"/>
      <c r="AD189" s="254"/>
      <c r="AE189" s="254"/>
      <c r="AF189" s="254"/>
      <c r="AG189" s="254"/>
      <c r="AH189" s="254"/>
      <c r="AI189" s="253" t="s">
        <v>868</v>
      </c>
      <c r="AJ189" s="253" t="s">
        <v>978</v>
      </c>
      <c r="AK189" s="253" t="s">
        <v>978</v>
      </c>
      <c r="AL189" s="253" t="s">
        <v>978</v>
      </c>
      <c r="AM189" s="253" t="s">
        <v>978</v>
      </c>
      <c r="AN189" s="253" t="s">
        <v>978</v>
      </c>
      <c r="AO189" s="253" t="s">
        <v>978</v>
      </c>
      <c r="AP189" s="253" t="s">
        <v>978</v>
      </c>
      <c r="AQ189" s="253" t="s">
        <v>978</v>
      </c>
      <c r="AR189" s="253" t="s">
        <v>978</v>
      </c>
      <c r="AS189" s="253" t="s">
        <v>978</v>
      </c>
      <c r="AT189" s="253" t="s">
        <v>978</v>
      </c>
      <c r="AU189" s="253" t="s">
        <v>978</v>
      </c>
      <c r="AV189" s="253" t="s">
        <v>978</v>
      </c>
      <c r="AW189" s="253" t="s">
        <v>978</v>
      </c>
      <c r="AX189" s="253" t="s">
        <v>978</v>
      </c>
      <c r="AY189" s="253" t="s">
        <v>978</v>
      </c>
      <c r="AZ189" s="253" t="s">
        <v>978</v>
      </c>
      <c r="BA189" s="253" t="s">
        <v>978</v>
      </c>
      <c r="BB189" s="253" t="s">
        <v>978</v>
      </c>
      <c r="BC189" s="128"/>
      <c r="BD189" s="128"/>
      <c r="BE189" s="254" t="s">
        <v>868</v>
      </c>
      <c r="BF189" s="254" t="s">
        <v>868</v>
      </c>
      <c r="BG189" s="254" t="s">
        <v>870</v>
      </c>
      <c r="BH189" s="254" t="s">
        <v>870</v>
      </c>
      <c r="BI189" s="254" t="s">
        <v>868</v>
      </c>
      <c r="BJ189" s="254" t="s">
        <v>868</v>
      </c>
      <c r="BK189" s="254" t="s">
        <v>868</v>
      </c>
      <c r="BL189" s="320" t="s">
        <v>870</v>
      </c>
      <c r="BM189" s="320" t="s">
        <v>868</v>
      </c>
      <c r="BN189" s="320" t="s">
        <v>868</v>
      </c>
      <c r="BO189" s="320" t="s">
        <v>868</v>
      </c>
      <c r="BP189" s="320" t="s">
        <v>868</v>
      </c>
    </row>
    <row r="190" spans="1:68" ht="30">
      <c r="A190" s="196" t="s">
        <v>1160</v>
      </c>
      <c r="B190" s="196" t="s">
        <v>864</v>
      </c>
      <c r="C190" s="196" t="s">
        <v>1162</v>
      </c>
      <c r="D190" s="196" t="s">
        <v>1210</v>
      </c>
      <c r="E190" s="230" t="str">
        <f>VLOOKUP(D190,'2026 NPI'!D:L,2,0)</f>
        <v>N/A</v>
      </c>
      <c r="F190" s="198" t="str">
        <f>VLOOKUP(D190,'2026 NPI'!D:L,3,0)</f>
        <v>HP ElitePad G2i 13 inch Notebook Next Gen AI PC​</v>
      </c>
      <c r="G190" s="282">
        <f>VLOOKUP(D190,'2026 NPI'!D:L,5,0)</f>
        <v>46210</v>
      </c>
      <c r="H190" s="282">
        <f>VLOOKUP(D190,'2026 NPI'!D:L,6,0)</f>
        <v>46231</v>
      </c>
      <c r="I190" s="235"/>
      <c r="K190" s="253"/>
      <c r="L190" s="253" t="s">
        <v>868</v>
      </c>
      <c r="M190" s="253" t="s">
        <v>868</v>
      </c>
      <c r="N190" s="253" t="s">
        <v>868</v>
      </c>
      <c r="O190" s="253"/>
      <c r="P190" s="253"/>
      <c r="Q190" s="253"/>
      <c r="R190" s="253"/>
      <c r="S190" s="253"/>
      <c r="T190" s="253"/>
      <c r="U190" s="253"/>
      <c r="V190" s="253"/>
      <c r="W190" s="253"/>
      <c r="X190" s="253"/>
      <c r="Y190" s="253"/>
      <c r="Z190" s="253"/>
      <c r="AA190" s="253"/>
      <c r="AB190" s="254"/>
      <c r="AC190" s="254"/>
      <c r="AD190" s="254"/>
      <c r="AE190" s="254"/>
      <c r="AF190" s="254"/>
      <c r="AG190" s="254"/>
      <c r="AH190" s="254"/>
      <c r="AI190" s="253" t="s">
        <v>868</v>
      </c>
      <c r="AJ190" s="253" t="s">
        <v>978</v>
      </c>
      <c r="AK190" s="253" t="s">
        <v>978</v>
      </c>
      <c r="AL190" s="253" t="s">
        <v>978</v>
      </c>
      <c r="AM190" s="253" t="s">
        <v>978</v>
      </c>
      <c r="AN190" s="253" t="s">
        <v>978</v>
      </c>
      <c r="AO190" s="253" t="s">
        <v>978</v>
      </c>
      <c r="AP190" s="253" t="s">
        <v>978</v>
      </c>
      <c r="AQ190" s="253" t="s">
        <v>978</v>
      </c>
      <c r="AR190" s="253" t="s">
        <v>978</v>
      </c>
      <c r="AS190" s="253" t="s">
        <v>978</v>
      </c>
      <c r="AT190" s="253" t="s">
        <v>978</v>
      </c>
      <c r="AU190" s="253" t="s">
        <v>978</v>
      </c>
      <c r="AV190" s="253" t="s">
        <v>978</v>
      </c>
      <c r="AW190" s="253" t="s">
        <v>978</v>
      </c>
      <c r="AX190" s="253" t="s">
        <v>978</v>
      </c>
      <c r="AY190" s="253" t="s">
        <v>978</v>
      </c>
      <c r="AZ190" s="253" t="s">
        <v>978</v>
      </c>
      <c r="BA190" s="253" t="s">
        <v>978</v>
      </c>
      <c r="BB190" s="253" t="s">
        <v>978</v>
      </c>
      <c r="BC190" s="128"/>
      <c r="BD190" s="128"/>
      <c r="BE190" s="254" t="s">
        <v>868</v>
      </c>
      <c r="BF190" s="254" t="s">
        <v>868</v>
      </c>
      <c r="BG190" s="254" t="s">
        <v>868</v>
      </c>
      <c r="BH190" s="254" t="s">
        <v>868</v>
      </c>
      <c r="BI190" s="254" t="s">
        <v>868</v>
      </c>
      <c r="BJ190" s="254" t="s">
        <v>868</v>
      </c>
      <c r="BK190" s="254" t="s">
        <v>868</v>
      </c>
      <c r="BL190" s="320" t="s">
        <v>870</v>
      </c>
      <c r="BM190" s="320" t="s">
        <v>868</v>
      </c>
      <c r="BN190" s="320" t="s">
        <v>868</v>
      </c>
      <c r="BO190" s="320" t="s">
        <v>868</v>
      </c>
      <c r="BP190" s="320" t="s">
        <v>868</v>
      </c>
    </row>
    <row r="191" spans="1:68" ht="30">
      <c r="A191" s="196" t="s">
        <v>1160</v>
      </c>
      <c r="B191" s="196" t="s">
        <v>864</v>
      </c>
      <c r="C191" s="196" t="s">
        <v>1211</v>
      </c>
      <c r="D191" s="196" t="s">
        <v>1212</v>
      </c>
      <c r="E191" s="230" t="str">
        <f>VLOOKUP(D191,'2026 NPI'!D:L,2,0)</f>
        <v>No</v>
      </c>
      <c r="F191" s="198" t="str">
        <f>VLOOKUP(D191,'2026 NPI'!D:L,3,0)</f>
        <v>Ultra HP ZBook Ultra G1a 16 inch Mobile Workstation PC</v>
      </c>
      <c r="G191" s="282" t="str">
        <f>VLOOKUP(D191,'2026 NPI'!D:L,5,0)</f>
        <v>N/A</v>
      </c>
      <c r="H191" s="282" t="str">
        <f>VLOOKUP(D191,'2026 NPI'!D:L,6,0)</f>
        <v>N/A</v>
      </c>
      <c r="I191" s="235"/>
    </row>
  </sheetData>
  <sheetProtection algorithmName="SHA-512" hashValue="jqkN5CNVro+YH1awnp4F1EToJ+/PspfuJ/LlFlU5pYsv5wcwd2HfXPq967XEOCQIpyS+kkgcSF7zQ+95sYOTZA==" saltValue="aHiSXSxsCptv9CBE/LcO8g==" spinCount="100000" sheet="1" sort="0" autoFilter="0"/>
  <phoneticPr fontId="29" type="noConversion"/>
  <conditionalFormatting sqref="K1 K2:BB2 BE2:BP2">
    <cfRule type="cellIs" dxfId="910" priority="320" operator="equal">
      <formula>"y"</formula>
    </cfRule>
    <cfRule type="cellIs" dxfId="909" priority="321" operator="equal">
      <formula>"n"</formula>
    </cfRule>
  </conditionalFormatting>
  <conditionalFormatting sqref="K145:AL146">
    <cfRule type="cellIs" dxfId="908" priority="24" operator="equal">
      <formula>"Y"</formula>
    </cfRule>
  </conditionalFormatting>
  <conditionalFormatting sqref="K4:BO91 K92:BG92 BH92:BO93 Z93:BG93 K93:X139 Z94:BO110 Z111:BN118 Z119:BM119 Z120:BL139 BN127:BO135 BN137:BO139 K140:K143 L140:X144 Z140:BB144">
    <cfRule type="cellIs" dxfId="907" priority="273" operator="equal">
      <formula>"Y"</formula>
    </cfRule>
  </conditionalFormatting>
  <conditionalFormatting sqref="Y93:Y144">
    <cfRule type="cellIs" dxfId="906" priority="107" operator="equal">
      <formula>"Y"</formula>
    </cfRule>
  </conditionalFormatting>
  <conditionalFormatting sqref="Z148:BB190">
    <cfRule type="cellIs" dxfId="905" priority="93" operator="equal">
      <formula>"Y"</formula>
    </cfRule>
  </conditionalFormatting>
  <conditionalFormatting sqref="Z147:BD147 K147:Y190">
    <cfRule type="cellIs" dxfId="904" priority="20" operator="equal">
      <formula>"Y"</formula>
    </cfRule>
  </conditionalFormatting>
  <conditionalFormatting sqref="AB1:BB1">
    <cfRule type="cellIs" dxfId="903" priority="316" operator="equal">
      <formula>"y"</formula>
    </cfRule>
    <cfRule type="cellIs" dxfId="902" priority="317" operator="equal">
      <formula>"n"</formula>
    </cfRule>
  </conditionalFormatting>
  <conditionalFormatting sqref="AO145:AS146">
    <cfRule type="cellIs" dxfId="901" priority="21" operator="equal">
      <formula>"Y"</formula>
    </cfRule>
  </conditionalFormatting>
  <conditionalFormatting sqref="AX145:AX146">
    <cfRule type="cellIs" dxfId="900" priority="23" operator="equal">
      <formula>"Y"</formula>
    </cfRule>
  </conditionalFormatting>
  <conditionalFormatting sqref="AZ145:AZ146">
    <cfRule type="cellIs" dxfId="899" priority="22" operator="equal">
      <formula>"Y"</formula>
    </cfRule>
  </conditionalFormatting>
  <conditionalFormatting sqref="BE140:BL190">
    <cfRule type="cellIs" dxfId="898" priority="8" operator="equal">
      <formula>"Y"</formula>
    </cfRule>
  </conditionalFormatting>
  <conditionalFormatting sqref="BM119:BM190">
    <cfRule type="cellIs" dxfId="897" priority="14" operator="equal">
      <formula>"Y"</formula>
    </cfRule>
  </conditionalFormatting>
  <conditionalFormatting sqref="BN4:BN16">
    <cfRule type="cellIs" dxfId="896" priority="177" operator="equal">
      <formula>"Y"</formula>
    </cfRule>
  </conditionalFormatting>
  <conditionalFormatting sqref="BN18:BN23">
    <cfRule type="cellIs" dxfId="895" priority="171" operator="equal">
      <formula>"Y"</formula>
    </cfRule>
  </conditionalFormatting>
  <conditionalFormatting sqref="BN38:BN39">
    <cfRule type="cellIs" dxfId="894" priority="169" operator="equal">
      <formula>"Y"</formula>
    </cfRule>
  </conditionalFormatting>
  <conditionalFormatting sqref="BN43:BN48">
    <cfRule type="cellIs" dxfId="893" priority="163" operator="equal">
      <formula>"Y"</formula>
    </cfRule>
  </conditionalFormatting>
  <conditionalFormatting sqref="BN50:BN59">
    <cfRule type="cellIs" dxfId="892" priority="190" operator="equal">
      <formula>"Y"</formula>
    </cfRule>
  </conditionalFormatting>
  <conditionalFormatting sqref="BN71:BN89">
    <cfRule type="cellIs" dxfId="891" priority="197" operator="equal">
      <formula>"Y"</formula>
    </cfRule>
  </conditionalFormatting>
  <conditionalFormatting sqref="BN93:BN94">
    <cfRule type="cellIs" dxfId="890" priority="267" operator="equal">
      <formula>"Y"</formula>
    </cfRule>
  </conditionalFormatting>
  <conditionalFormatting sqref="BN99:BN117">
    <cfRule type="cellIs" dxfId="889" priority="246" operator="equal">
      <formula>"Y"</formula>
    </cfRule>
  </conditionalFormatting>
  <conditionalFormatting sqref="BN119:BN143">
    <cfRule type="cellIs" dxfId="888" priority="18" operator="equal">
      <formula>"Y"</formula>
    </cfRule>
  </conditionalFormatting>
  <conditionalFormatting sqref="BN91:BO91">
    <cfRule type="cellIs" dxfId="887" priority="272" operator="equal">
      <formula>"Y"</formula>
    </cfRule>
  </conditionalFormatting>
  <conditionalFormatting sqref="BN144:BO190">
    <cfRule type="cellIs" dxfId="886" priority="1" operator="equal">
      <formula>"Y"</formula>
    </cfRule>
  </conditionalFormatting>
  <conditionalFormatting sqref="BO111:BO126">
    <cfRule type="cellIs" dxfId="885" priority="4" operator="equal">
      <formula>"Y"</formula>
    </cfRule>
  </conditionalFormatting>
  <conditionalFormatting sqref="BO136">
    <cfRule type="cellIs" dxfId="884" priority="3" operator="equal">
      <formula>"Y"</formula>
    </cfRule>
  </conditionalFormatting>
  <conditionalFormatting sqref="BO140:BO143">
    <cfRule type="cellIs" dxfId="883" priority="2" operator="equal">
      <formula>"Y"</formula>
    </cfRule>
  </conditionalFormatting>
  <conditionalFormatting sqref="BP4:BP190">
    <cfRule type="cellIs" dxfId="882" priority="33" operator="equal">
      <formula>"Y"</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6C39-9615-4722-A2E3-F6DFC315E753}">
  <dimension ref="B1:CE61"/>
  <sheetViews>
    <sheetView zoomScale="55" zoomScaleNormal="55" workbookViewId="0">
      <pane xSplit="13" ySplit="17" topLeftCell="AN18" activePane="bottomRight" state="frozen"/>
      <selection pane="bottomRight" activeCell="B18" sqref="B18"/>
      <selection pane="bottomLeft" activeCell="A18" sqref="A18"/>
      <selection pane="topRight" activeCell="N1" sqref="N1"/>
    </sheetView>
  </sheetViews>
  <sheetFormatPr defaultColWidth="10.42578125" defaultRowHeight="15"/>
  <cols>
    <col min="1" max="1" width="4.5703125" style="7" customWidth="1"/>
    <col min="2" max="2" width="17.140625" style="7" customWidth="1"/>
    <col min="3" max="3" width="33.7109375" style="7" bestFit="1" customWidth="1"/>
    <col min="4" max="5" width="33.7109375" style="7" customWidth="1"/>
    <col min="6" max="6" width="58.5703125" style="8" bestFit="1" customWidth="1"/>
    <col min="7" max="7" width="18" style="8" customWidth="1"/>
    <col min="8" max="9" width="16.28515625" style="8" bestFit="1" customWidth="1"/>
    <col min="10" max="11" width="16.28515625" style="8" customWidth="1"/>
    <col min="12" max="12" width="15" style="8" customWidth="1"/>
    <col min="13" max="13" width="25" style="8" customWidth="1"/>
    <col min="14" max="16" width="23.85546875" style="7" bestFit="1" customWidth="1"/>
    <col min="17" max="17" width="24.7109375" style="7" bestFit="1" customWidth="1"/>
    <col min="18" max="18" width="26.28515625" style="7" bestFit="1" customWidth="1"/>
    <col min="19" max="19" width="23.85546875" style="7" bestFit="1" customWidth="1"/>
    <col min="20" max="23" width="26.28515625" style="7" bestFit="1" customWidth="1"/>
    <col min="24" max="24" width="17.85546875" style="7" customWidth="1"/>
    <col min="25" max="25" width="26.28515625" style="7" bestFit="1" customWidth="1"/>
    <col min="26" max="26" width="24.7109375" style="7" bestFit="1" customWidth="1"/>
    <col min="27" max="31" width="26.28515625" style="7" bestFit="1" customWidth="1"/>
    <col min="32" max="32" width="27.7109375" style="7" bestFit="1" customWidth="1"/>
    <col min="33" max="33" width="23.85546875" style="7" bestFit="1" customWidth="1"/>
    <col min="34" max="34" width="17.85546875" style="7" customWidth="1"/>
    <col min="35" max="35" width="26.28515625" style="7" bestFit="1" customWidth="1"/>
    <col min="36" max="37" width="27.7109375" style="7" bestFit="1" customWidth="1"/>
    <col min="38" max="39" width="17.85546875" style="7" customWidth="1"/>
    <col min="40" max="40" width="27.7109375" style="7" customWidth="1"/>
    <col min="41" max="41" width="27.7109375" style="7" bestFit="1" customWidth="1"/>
    <col min="42" max="83" width="17.85546875" style="7" customWidth="1"/>
    <col min="84" max="16384" width="10.42578125" style="7"/>
  </cols>
  <sheetData>
    <row r="1" spans="2:83" ht="39.75">
      <c r="B1" s="6" t="s">
        <v>1213</v>
      </c>
    </row>
    <row r="2" spans="2:83" ht="39.75">
      <c r="B2" s="6"/>
    </row>
    <row r="3" spans="2:83" ht="18.75" customHeight="1">
      <c r="B3" s="17"/>
      <c r="F3" s="366" t="s">
        <v>0</v>
      </c>
      <c r="G3" s="366"/>
      <c r="H3" s="366"/>
      <c r="I3" s="366"/>
      <c r="J3" s="366"/>
      <c r="K3" s="366"/>
      <c r="L3" s="366"/>
      <c r="M3" s="366"/>
    </row>
    <row r="4" spans="2:83" ht="18.75" customHeight="1">
      <c r="B4" s="17"/>
      <c r="F4" s="365" t="s">
        <v>1214</v>
      </c>
      <c r="G4" s="365"/>
      <c r="H4" s="365"/>
      <c r="I4" s="365"/>
      <c r="J4" s="365"/>
      <c r="K4" s="365"/>
      <c r="L4" s="365"/>
      <c r="M4" s="365"/>
    </row>
    <row r="5" spans="2:83" ht="18.75" customHeight="1">
      <c r="B5" s="6"/>
      <c r="F5" s="365" t="s">
        <v>1215</v>
      </c>
      <c r="G5" s="365"/>
      <c r="H5" s="365"/>
      <c r="I5" s="365"/>
      <c r="J5" s="365"/>
      <c r="K5" s="365"/>
      <c r="L5" s="365"/>
      <c r="M5" s="365"/>
    </row>
    <row r="6" spans="2:83" ht="18.75" customHeight="1">
      <c r="B6" s="6"/>
      <c r="F6" s="367" t="s">
        <v>1216</v>
      </c>
      <c r="G6" s="367"/>
      <c r="H6" s="367"/>
      <c r="I6" s="367"/>
      <c r="J6" s="367"/>
      <c r="K6" s="367"/>
      <c r="L6" s="367"/>
      <c r="M6" s="367"/>
    </row>
    <row r="7" spans="2:83" ht="18.75" customHeight="1">
      <c r="F7" s="366" t="s">
        <v>33</v>
      </c>
      <c r="G7" s="366"/>
      <c r="H7" s="366"/>
      <c r="I7" s="366"/>
      <c r="J7" s="366"/>
      <c r="K7" s="366"/>
      <c r="L7" s="366"/>
      <c r="M7" s="366"/>
    </row>
    <row r="8" spans="2:83" ht="18.75" customHeight="1">
      <c r="F8" s="365" t="s">
        <v>1217</v>
      </c>
      <c r="G8" s="365"/>
      <c r="H8" s="365"/>
      <c r="I8" s="365"/>
      <c r="J8" s="365"/>
      <c r="K8" s="365"/>
      <c r="L8" s="365"/>
      <c r="M8" s="365"/>
    </row>
    <row r="9" spans="2:83" ht="21.75" customHeight="1">
      <c r="F9" s="365" t="s">
        <v>1218</v>
      </c>
      <c r="G9" s="365"/>
      <c r="H9" s="365"/>
      <c r="I9" s="365"/>
      <c r="J9" s="365"/>
      <c r="K9" s="365"/>
      <c r="L9" s="365"/>
      <c r="M9" s="365"/>
      <c r="AC9" s="322" t="s">
        <v>770</v>
      </c>
      <c r="AD9" s="322" t="s">
        <v>782</v>
      </c>
      <c r="AE9" s="322" t="s">
        <v>792</v>
      </c>
      <c r="AF9" s="322" t="s">
        <v>795</v>
      </c>
      <c r="AI9" s="322" t="s">
        <v>808</v>
      </c>
      <c r="AJ9" s="322" t="s">
        <v>815</v>
      </c>
      <c r="AK9" s="322" t="s">
        <v>815</v>
      </c>
      <c r="AN9" s="322" t="s">
        <v>830</v>
      </c>
    </row>
    <row r="10" spans="2:83" ht="30">
      <c r="F10" s="365" t="s">
        <v>1219</v>
      </c>
      <c r="G10" s="365"/>
      <c r="H10" s="365"/>
      <c r="I10" s="365"/>
      <c r="J10" s="365"/>
      <c r="K10" s="365"/>
      <c r="L10" s="365"/>
      <c r="M10" s="365"/>
      <c r="N10" s="11"/>
      <c r="O10" s="11"/>
      <c r="P10" s="11"/>
      <c r="Q10" s="49"/>
      <c r="R10" s="49"/>
      <c r="S10" s="49"/>
      <c r="T10" s="49"/>
      <c r="U10" s="322" t="s">
        <v>720</v>
      </c>
      <c r="V10" s="322" t="s">
        <v>727</v>
      </c>
      <c r="W10" s="322" t="s">
        <v>730</v>
      </c>
      <c r="Y10" s="322" t="s">
        <v>741</v>
      </c>
      <c r="Z10" s="322" t="s">
        <v>749</v>
      </c>
      <c r="AA10" s="322" t="s">
        <v>756</v>
      </c>
      <c r="AB10" s="322" t="s">
        <v>756</v>
      </c>
      <c r="AC10" s="322" t="s">
        <v>762</v>
      </c>
      <c r="AD10" s="322" t="s">
        <v>774</v>
      </c>
      <c r="AE10" s="322" t="s">
        <v>789</v>
      </c>
      <c r="AF10" s="322" t="s">
        <v>795</v>
      </c>
      <c r="AG10" s="49"/>
      <c r="AI10" s="322" t="s">
        <v>805</v>
      </c>
      <c r="AJ10" s="322" t="s">
        <v>812</v>
      </c>
      <c r="AK10" s="322" t="s">
        <v>812</v>
      </c>
      <c r="AN10" s="322" t="s">
        <v>826</v>
      </c>
      <c r="AO10" s="322" t="s">
        <v>838</v>
      </c>
    </row>
    <row r="11" spans="2:83" ht="34.5" customHeight="1">
      <c r="F11" s="365" t="s">
        <v>1220</v>
      </c>
      <c r="G11" s="365"/>
      <c r="H11" s="365"/>
      <c r="I11" s="365"/>
      <c r="J11" s="365"/>
      <c r="K11" s="365"/>
      <c r="L11" s="365"/>
      <c r="M11" s="365"/>
      <c r="N11" s="11"/>
      <c r="O11" s="322" t="s">
        <v>700</v>
      </c>
      <c r="P11" s="322" t="s">
        <v>704</v>
      </c>
      <c r="Q11" s="322" t="s">
        <v>708</v>
      </c>
      <c r="R11" s="322" t="s">
        <v>712</v>
      </c>
      <c r="T11" s="322" t="s">
        <v>716</v>
      </c>
      <c r="U11" s="322" t="s">
        <v>724</v>
      </c>
      <c r="V11" s="49"/>
      <c r="W11" s="322" t="s">
        <v>734</v>
      </c>
      <c r="Y11" s="322" t="s">
        <v>745</v>
      </c>
      <c r="Z11" s="49"/>
      <c r="AA11" s="49"/>
      <c r="AB11" s="49"/>
      <c r="AO11" s="322" t="s">
        <v>834</v>
      </c>
    </row>
    <row r="12" spans="2:83" ht="18">
      <c r="F12" s="367" t="s">
        <v>1216</v>
      </c>
      <c r="G12" s="367"/>
      <c r="H12" s="367"/>
      <c r="I12" s="367"/>
      <c r="J12" s="367"/>
      <c r="K12" s="367"/>
      <c r="L12" s="367"/>
      <c r="M12" s="367"/>
      <c r="O12" s="322" t="s">
        <v>1221</v>
      </c>
      <c r="P12" s="322" t="s">
        <v>1222</v>
      </c>
      <c r="Q12" s="322" t="s">
        <v>1223</v>
      </c>
      <c r="U12" s="322" t="s">
        <v>1224</v>
      </c>
      <c r="V12" s="322" t="s">
        <v>1225</v>
      </c>
      <c r="W12" s="49"/>
      <c r="Y12" s="49"/>
      <c r="Z12" s="322" t="s">
        <v>1226</v>
      </c>
      <c r="AA12" s="322" t="s">
        <v>1227</v>
      </c>
      <c r="AD12" s="322" t="s">
        <v>1228</v>
      </c>
    </row>
    <row r="13" spans="2:83">
      <c r="F13" s="12"/>
    </row>
    <row r="14" spans="2:83" s="13" customFormat="1" ht="39.75">
      <c r="F14" s="14"/>
      <c r="G14" s="15"/>
      <c r="H14" s="15"/>
      <c r="I14" s="15"/>
      <c r="J14" s="15"/>
      <c r="K14" s="15"/>
      <c r="L14" s="15"/>
      <c r="M14" s="15"/>
    </row>
    <row r="15" spans="2:83">
      <c r="F15" s="22"/>
      <c r="G15" s="23"/>
      <c r="H15" s="23"/>
      <c r="I15" s="23"/>
      <c r="J15" s="23"/>
      <c r="K15" s="23"/>
      <c r="L15" s="23"/>
      <c r="M15" s="23"/>
    </row>
    <row r="16" spans="2:83" s="13" customFormat="1" ht="18">
      <c r="B16" s="25" t="s">
        <v>855</v>
      </c>
      <c r="C16" s="26" t="s">
        <v>856</v>
      </c>
      <c r="D16" s="27" t="s">
        <v>857</v>
      </c>
      <c r="E16" s="27" t="s">
        <v>858</v>
      </c>
      <c r="F16" s="28" t="s">
        <v>859</v>
      </c>
      <c r="G16" s="28" t="s">
        <v>1229</v>
      </c>
      <c r="H16" s="28" t="s">
        <v>860</v>
      </c>
      <c r="I16" s="29" t="s">
        <v>861</v>
      </c>
      <c r="J16" s="29" t="s">
        <v>1230</v>
      </c>
      <c r="K16" s="29" t="s">
        <v>1231</v>
      </c>
      <c r="L16" s="29" t="s">
        <v>1232</v>
      </c>
      <c r="M16" s="29" t="s">
        <v>140</v>
      </c>
      <c r="N16" s="362" t="s">
        <v>1233</v>
      </c>
      <c r="O16" s="363"/>
      <c r="P16" s="363"/>
      <c r="Q16" s="363"/>
      <c r="R16" s="364"/>
      <c r="S16" s="359" t="s">
        <v>1234</v>
      </c>
      <c r="T16" s="360"/>
      <c r="U16" s="360"/>
      <c r="V16" s="360"/>
      <c r="W16" s="361"/>
      <c r="X16" s="370" t="s">
        <v>1235</v>
      </c>
      <c r="Y16" s="371"/>
      <c r="Z16" s="371"/>
      <c r="AA16" s="371"/>
      <c r="AB16" s="372"/>
      <c r="AC16" s="373" t="s">
        <v>1236</v>
      </c>
      <c r="AD16" s="374"/>
      <c r="AE16" s="374"/>
      <c r="AF16" s="374"/>
      <c r="AG16" s="374"/>
      <c r="AH16" s="368" t="s">
        <v>1237</v>
      </c>
      <c r="AI16" s="368"/>
      <c r="AJ16" s="368"/>
      <c r="AK16" s="368"/>
      <c r="AL16" s="369"/>
      <c r="AM16" s="362" t="s">
        <v>1238</v>
      </c>
      <c r="AN16" s="363"/>
      <c r="AO16" s="363"/>
      <c r="AP16" s="363"/>
      <c r="AQ16" s="364"/>
      <c r="AR16" s="359" t="s">
        <v>1239</v>
      </c>
      <c r="AS16" s="360"/>
      <c r="AT16" s="360"/>
      <c r="AU16" s="360"/>
      <c r="AV16" s="361"/>
      <c r="AW16" s="362" t="s">
        <v>1240</v>
      </c>
      <c r="AX16" s="363"/>
      <c r="AY16" s="363"/>
      <c r="AZ16" s="363"/>
      <c r="BA16" s="364"/>
      <c r="BB16" s="359" t="s">
        <v>1241</v>
      </c>
      <c r="BC16" s="360"/>
      <c r="BD16" s="360"/>
      <c r="BE16" s="360"/>
      <c r="BF16" s="361"/>
      <c r="BG16" s="370" t="s">
        <v>1242</v>
      </c>
      <c r="BH16" s="371"/>
      <c r="BI16" s="371"/>
      <c r="BJ16" s="371"/>
      <c r="BK16" s="372"/>
      <c r="BL16" s="373" t="s">
        <v>1243</v>
      </c>
      <c r="BM16" s="374"/>
      <c r="BN16" s="374"/>
      <c r="BO16" s="374"/>
      <c r="BP16" s="374"/>
      <c r="BQ16" s="368" t="s">
        <v>1244</v>
      </c>
      <c r="BR16" s="368"/>
      <c r="BS16" s="368"/>
      <c r="BT16" s="368"/>
      <c r="BU16" s="369"/>
      <c r="BV16" s="362" t="s">
        <v>1245</v>
      </c>
      <c r="BW16" s="363"/>
      <c r="BX16" s="363"/>
      <c r="BY16" s="363"/>
      <c r="BZ16" s="364"/>
      <c r="CA16" s="359" t="s">
        <v>1246</v>
      </c>
      <c r="CB16" s="360"/>
      <c r="CC16" s="360"/>
      <c r="CD16" s="360"/>
      <c r="CE16" s="361"/>
    </row>
    <row r="17" spans="2:83" s="21" customFormat="1" ht="18">
      <c r="B17" s="30"/>
      <c r="C17" s="31"/>
      <c r="D17" s="32"/>
      <c r="E17" s="32"/>
      <c r="F17" s="33"/>
      <c r="G17" s="33"/>
      <c r="H17" s="33"/>
      <c r="I17" s="34"/>
      <c r="J17" s="34"/>
      <c r="K17" s="34"/>
      <c r="L17" s="29" t="s">
        <v>856</v>
      </c>
      <c r="M17" s="29" t="s">
        <v>1247</v>
      </c>
      <c r="N17" s="39" t="s">
        <v>1248</v>
      </c>
      <c r="O17" s="40" t="s">
        <v>1249</v>
      </c>
      <c r="P17" s="40" t="s">
        <v>1250</v>
      </c>
      <c r="Q17" s="40" t="s">
        <v>1251</v>
      </c>
      <c r="R17" s="39" t="s">
        <v>1252</v>
      </c>
      <c r="S17" s="41" t="s">
        <v>1248</v>
      </c>
      <c r="T17" s="42" t="s">
        <v>1249</v>
      </c>
      <c r="U17" s="42" t="s">
        <v>1250</v>
      </c>
      <c r="V17" s="42" t="s">
        <v>1251</v>
      </c>
      <c r="W17" s="42" t="s">
        <v>1252</v>
      </c>
      <c r="X17" s="45" t="s">
        <v>1248</v>
      </c>
      <c r="Y17" s="46" t="s">
        <v>1249</v>
      </c>
      <c r="Z17" s="44" t="s">
        <v>1250</v>
      </c>
      <c r="AA17" s="44" t="s">
        <v>1251</v>
      </c>
      <c r="AB17" s="44" t="s">
        <v>1252</v>
      </c>
      <c r="AC17" s="35" t="s">
        <v>1248</v>
      </c>
      <c r="AD17" s="36" t="s">
        <v>1249</v>
      </c>
      <c r="AE17" s="36" t="s">
        <v>1250</v>
      </c>
      <c r="AF17" s="36" t="s">
        <v>1251</v>
      </c>
      <c r="AG17" s="36" t="s">
        <v>1252</v>
      </c>
      <c r="AH17" s="37" t="s">
        <v>1248</v>
      </c>
      <c r="AI17" s="38" t="s">
        <v>1249</v>
      </c>
      <c r="AJ17" s="38" t="s">
        <v>1250</v>
      </c>
      <c r="AK17" s="38" t="s">
        <v>1251</v>
      </c>
      <c r="AL17" s="38" t="s">
        <v>1252</v>
      </c>
      <c r="AM17" s="39" t="s">
        <v>1248</v>
      </c>
      <c r="AN17" s="40" t="s">
        <v>1249</v>
      </c>
      <c r="AO17" s="40" t="s">
        <v>1250</v>
      </c>
      <c r="AP17" s="40" t="s">
        <v>1251</v>
      </c>
      <c r="AQ17" s="39" t="s">
        <v>1252</v>
      </c>
      <c r="AR17" s="41" t="s">
        <v>1248</v>
      </c>
      <c r="AS17" s="42" t="s">
        <v>1249</v>
      </c>
      <c r="AT17" s="42" t="s">
        <v>1250</v>
      </c>
      <c r="AU17" s="42" t="s">
        <v>1251</v>
      </c>
      <c r="AV17" s="42" t="s">
        <v>1252</v>
      </c>
      <c r="AW17" s="39" t="s">
        <v>1248</v>
      </c>
      <c r="AX17" s="40" t="s">
        <v>1249</v>
      </c>
      <c r="AY17" s="40" t="s">
        <v>1250</v>
      </c>
      <c r="AZ17" s="40" t="s">
        <v>1251</v>
      </c>
      <c r="BA17" s="39" t="s">
        <v>1252</v>
      </c>
      <c r="BB17" s="41" t="s">
        <v>1248</v>
      </c>
      <c r="BC17" s="42" t="s">
        <v>1249</v>
      </c>
      <c r="BD17" s="42" t="s">
        <v>1250</v>
      </c>
      <c r="BE17" s="42" t="s">
        <v>1251</v>
      </c>
      <c r="BF17" s="42" t="s">
        <v>1252</v>
      </c>
      <c r="BG17" s="43" t="s">
        <v>1248</v>
      </c>
      <c r="BH17" s="44" t="s">
        <v>1249</v>
      </c>
      <c r="BI17" s="44" t="s">
        <v>1250</v>
      </c>
      <c r="BJ17" s="44" t="s">
        <v>1251</v>
      </c>
      <c r="BK17" s="44" t="s">
        <v>1252</v>
      </c>
      <c r="BL17" s="35" t="s">
        <v>1248</v>
      </c>
      <c r="BM17" s="36" t="s">
        <v>1249</v>
      </c>
      <c r="BN17" s="36" t="s">
        <v>1250</v>
      </c>
      <c r="BO17" s="36" t="s">
        <v>1251</v>
      </c>
      <c r="BP17" s="36" t="s">
        <v>1252</v>
      </c>
      <c r="BQ17" s="37" t="s">
        <v>1248</v>
      </c>
      <c r="BR17" s="38" t="s">
        <v>1249</v>
      </c>
      <c r="BS17" s="38" t="s">
        <v>1250</v>
      </c>
      <c r="BT17" s="38" t="s">
        <v>1251</v>
      </c>
      <c r="BU17" s="38" t="s">
        <v>1252</v>
      </c>
      <c r="BV17" s="39" t="s">
        <v>1248</v>
      </c>
      <c r="BW17" s="40" t="s">
        <v>1249</v>
      </c>
      <c r="BX17" s="40" t="s">
        <v>1250</v>
      </c>
      <c r="BY17" s="40" t="s">
        <v>1251</v>
      </c>
      <c r="BZ17" s="39" t="s">
        <v>1252</v>
      </c>
      <c r="CA17" s="41" t="s">
        <v>1248</v>
      </c>
      <c r="CB17" s="42" t="s">
        <v>1249</v>
      </c>
      <c r="CC17" s="42" t="s">
        <v>1250</v>
      </c>
      <c r="CD17" s="42" t="s">
        <v>1251</v>
      </c>
      <c r="CE17" s="42" t="s">
        <v>1252</v>
      </c>
    </row>
    <row r="18" spans="2:83" ht="45">
      <c r="B18" s="47" t="s">
        <v>864</v>
      </c>
      <c r="C18" s="48" t="s">
        <v>1253</v>
      </c>
      <c r="D18" s="48" t="s">
        <v>1161</v>
      </c>
      <c r="E18" s="49" t="s">
        <v>1254</v>
      </c>
      <c r="F18" s="344" t="s">
        <v>1255</v>
      </c>
      <c r="G18" s="273">
        <v>45862</v>
      </c>
      <c r="H18" s="273">
        <v>45975</v>
      </c>
      <c r="I18" s="273">
        <v>45996</v>
      </c>
      <c r="J18" s="273">
        <v>46017</v>
      </c>
      <c r="K18" s="273">
        <v>46059</v>
      </c>
      <c r="L18" s="343" t="s">
        <v>1256</v>
      </c>
      <c r="M18" s="343" t="s">
        <v>1257</v>
      </c>
      <c r="AO18" s="137" t="s">
        <v>860</v>
      </c>
      <c r="AR18" s="55" t="s">
        <v>861</v>
      </c>
    </row>
    <row r="19" spans="2:83" ht="45">
      <c r="B19" s="47" t="s">
        <v>864</v>
      </c>
      <c r="C19" s="48" t="s">
        <v>1162</v>
      </c>
      <c r="D19" s="48" t="s">
        <v>1163</v>
      </c>
      <c r="E19" s="49" t="s">
        <v>1258</v>
      </c>
      <c r="F19" s="344" t="s">
        <v>1259</v>
      </c>
      <c r="G19" s="273">
        <v>45827</v>
      </c>
      <c r="H19" s="273">
        <v>45975</v>
      </c>
      <c r="I19" s="273">
        <v>45996</v>
      </c>
      <c r="J19" s="273">
        <v>46017</v>
      </c>
      <c r="K19" s="273">
        <v>45687</v>
      </c>
      <c r="L19" s="343" t="s">
        <v>1256</v>
      </c>
      <c r="M19" s="343" t="s">
        <v>1257</v>
      </c>
      <c r="P19" s="219"/>
      <c r="S19" s="219"/>
      <c r="AR19" s="137" t="s">
        <v>860</v>
      </c>
      <c r="AU19" s="55" t="s">
        <v>861</v>
      </c>
    </row>
    <row r="20" spans="2:83" ht="45">
      <c r="B20" s="47" t="s">
        <v>864</v>
      </c>
      <c r="C20" s="48" t="s">
        <v>1162</v>
      </c>
      <c r="D20" s="48" t="s">
        <v>1164</v>
      </c>
      <c r="E20" s="49" t="s">
        <v>1258</v>
      </c>
      <c r="F20" s="344" t="s">
        <v>1260</v>
      </c>
      <c r="G20" s="273">
        <v>45827</v>
      </c>
      <c r="H20" s="273">
        <v>45975</v>
      </c>
      <c r="I20" s="273">
        <v>45996</v>
      </c>
      <c r="J20" s="273">
        <v>46017</v>
      </c>
      <c r="K20" s="273">
        <v>45687</v>
      </c>
      <c r="L20" s="343" t="s">
        <v>1256</v>
      </c>
      <c r="M20" s="343" t="s">
        <v>1257</v>
      </c>
      <c r="U20" s="219"/>
      <c r="Y20" s="219"/>
      <c r="AR20" s="137" t="s">
        <v>860</v>
      </c>
      <c r="AU20" s="55" t="s">
        <v>861</v>
      </c>
    </row>
    <row r="21" spans="2:83" ht="45">
      <c r="B21" s="47" t="s">
        <v>864</v>
      </c>
      <c r="C21" s="48" t="s">
        <v>1162</v>
      </c>
      <c r="D21" s="48" t="s">
        <v>1165</v>
      </c>
      <c r="E21" s="49" t="s">
        <v>1258</v>
      </c>
      <c r="F21" s="344" t="s">
        <v>1261</v>
      </c>
      <c r="G21" s="273">
        <v>45911</v>
      </c>
      <c r="H21" s="273">
        <v>46014</v>
      </c>
      <c r="I21" s="273">
        <v>46035</v>
      </c>
      <c r="J21" s="273">
        <v>46056</v>
      </c>
      <c r="K21" s="273">
        <v>46094</v>
      </c>
      <c r="L21" s="358" t="s">
        <v>1262</v>
      </c>
      <c r="M21" s="358" t="s">
        <v>1263</v>
      </c>
      <c r="U21" s="219"/>
      <c r="Y21" s="219"/>
      <c r="AU21" s="137" t="s">
        <v>860</v>
      </c>
      <c r="AY21" s="55" t="s">
        <v>861</v>
      </c>
    </row>
    <row r="22" spans="2:83" ht="45">
      <c r="B22" s="47" t="s">
        <v>864</v>
      </c>
      <c r="C22" s="48" t="s">
        <v>1166</v>
      </c>
      <c r="D22" s="48" t="s">
        <v>1167</v>
      </c>
      <c r="E22" s="49" t="s">
        <v>1258</v>
      </c>
      <c r="F22" s="344" t="s">
        <v>1264</v>
      </c>
      <c r="G22" s="273">
        <v>45911</v>
      </c>
      <c r="H22" s="273">
        <v>46014</v>
      </c>
      <c r="I22" s="273">
        <v>46037</v>
      </c>
      <c r="J22" s="273">
        <v>46058</v>
      </c>
      <c r="K22" s="273">
        <v>46101</v>
      </c>
      <c r="L22" s="358" t="s">
        <v>1262</v>
      </c>
      <c r="M22" s="358" t="s">
        <v>1263</v>
      </c>
      <c r="U22" s="219"/>
      <c r="Y22" s="219"/>
      <c r="AU22" s="137" t="s">
        <v>860</v>
      </c>
      <c r="AY22" s="55" t="s">
        <v>861</v>
      </c>
    </row>
    <row r="23" spans="2:83" ht="45">
      <c r="B23" s="47" t="s">
        <v>864</v>
      </c>
      <c r="C23" s="48" t="s">
        <v>1166</v>
      </c>
      <c r="D23" s="48" t="s">
        <v>1168</v>
      </c>
      <c r="E23" s="49" t="s">
        <v>1258</v>
      </c>
      <c r="F23" s="344" t="s">
        <v>1265</v>
      </c>
      <c r="G23" s="273">
        <v>45911</v>
      </c>
      <c r="H23" s="273">
        <v>46014</v>
      </c>
      <c r="I23" s="273">
        <v>46037</v>
      </c>
      <c r="J23" s="273">
        <v>46058</v>
      </c>
      <c r="K23" s="273">
        <v>46101</v>
      </c>
      <c r="L23" s="358" t="s">
        <v>1262</v>
      </c>
      <c r="M23" s="358" t="s">
        <v>1263</v>
      </c>
      <c r="U23" s="219"/>
      <c r="Y23" s="219"/>
      <c r="AU23" s="137" t="s">
        <v>860</v>
      </c>
      <c r="AY23" s="55" t="s">
        <v>861</v>
      </c>
    </row>
    <row r="24" spans="2:83" ht="45">
      <c r="B24" s="47" t="s">
        <v>864</v>
      </c>
      <c r="C24" s="48" t="s">
        <v>1166</v>
      </c>
      <c r="D24" s="48" t="s">
        <v>1169</v>
      </c>
      <c r="E24" s="49" t="s">
        <v>1258</v>
      </c>
      <c r="F24" s="344" t="s">
        <v>1266</v>
      </c>
      <c r="G24" s="273">
        <v>45911</v>
      </c>
      <c r="H24" s="273">
        <v>46014</v>
      </c>
      <c r="I24" s="273">
        <v>46037</v>
      </c>
      <c r="J24" s="273">
        <v>46058</v>
      </c>
      <c r="K24" s="273">
        <v>46101</v>
      </c>
      <c r="L24" s="358" t="s">
        <v>1262</v>
      </c>
      <c r="M24" s="358" t="s">
        <v>1263</v>
      </c>
      <c r="V24" s="219"/>
      <c r="Z24" s="219"/>
      <c r="AU24" s="137" t="s">
        <v>860</v>
      </c>
      <c r="AY24" s="55" t="s">
        <v>861</v>
      </c>
    </row>
    <row r="25" spans="2:83" ht="45">
      <c r="B25" s="47" t="s">
        <v>864</v>
      </c>
      <c r="C25" s="48" t="s">
        <v>1166</v>
      </c>
      <c r="D25" s="48" t="s">
        <v>1170</v>
      </c>
      <c r="E25" s="49" t="s">
        <v>1258</v>
      </c>
      <c r="F25" s="344" t="s">
        <v>1267</v>
      </c>
      <c r="G25" s="273">
        <v>45911</v>
      </c>
      <c r="H25" s="273">
        <v>46014</v>
      </c>
      <c r="I25" s="273">
        <v>46037</v>
      </c>
      <c r="J25" s="273">
        <v>46058</v>
      </c>
      <c r="K25" s="273">
        <v>46101</v>
      </c>
      <c r="L25" s="358" t="s">
        <v>1262</v>
      </c>
      <c r="M25" s="358" t="s">
        <v>1263</v>
      </c>
      <c r="V25" s="219"/>
      <c r="Z25" s="219"/>
      <c r="AU25" s="137" t="s">
        <v>860</v>
      </c>
      <c r="AY25" s="55" t="s">
        <v>861</v>
      </c>
    </row>
    <row r="26" spans="2:83" ht="45">
      <c r="B26" s="47" t="s">
        <v>864</v>
      </c>
      <c r="C26" s="48" t="s">
        <v>1171</v>
      </c>
      <c r="D26" s="48" t="s">
        <v>1172</v>
      </c>
      <c r="E26" s="49" t="s">
        <v>1254</v>
      </c>
      <c r="F26" s="344" t="s">
        <v>1268</v>
      </c>
      <c r="G26" s="273">
        <v>45911</v>
      </c>
      <c r="H26" s="273">
        <v>46014</v>
      </c>
      <c r="I26" s="273">
        <v>46037</v>
      </c>
      <c r="J26" s="273">
        <v>46058</v>
      </c>
      <c r="K26" s="273">
        <v>46101</v>
      </c>
      <c r="L26" s="358" t="s">
        <v>1262</v>
      </c>
      <c r="M26" s="358" t="s">
        <v>1263</v>
      </c>
      <c r="V26" s="219"/>
      <c r="Z26" s="219"/>
      <c r="AU26" s="137" t="s">
        <v>860</v>
      </c>
      <c r="AY26" s="55" t="s">
        <v>861</v>
      </c>
    </row>
    <row r="27" spans="2:83" ht="45">
      <c r="B27" s="47" t="s">
        <v>864</v>
      </c>
      <c r="C27" s="48" t="s">
        <v>1171</v>
      </c>
      <c r="D27" s="48" t="s">
        <v>1173</v>
      </c>
      <c r="E27" s="49" t="s">
        <v>1254</v>
      </c>
      <c r="F27" s="344" t="s">
        <v>1269</v>
      </c>
      <c r="G27" s="273">
        <v>45911</v>
      </c>
      <c r="H27" s="273">
        <v>46014</v>
      </c>
      <c r="I27" s="273">
        <v>46037</v>
      </c>
      <c r="J27" s="273">
        <v>46058</v>
      </c>
      <c r="K27" s="273">
        <v>46101</v>
      </c>
      <c r="L27" s="358" t="s">
        <v>1262</v>
      </c>
      <c r="M27" s="358" t="s">
        <v>1263</v>
      </c>
      <c r="V27" s="219"/>
      <c r="Z27" s="219"/>
      <c r="AU27" s="137" t="s">
        <v>860</v>
      </c>
      <c r="AY27" s="55" t="s">
        <v>861</v>
      </c>
    </row>
    <row r="28" spans="2:83" ht="45">
      <c r="B28" s="130" t="s">
        <v>899</v>
      </c>
      <c r="C28" s="131" t="s">
        <v>1166</v>
      </c>
      <c r="D28" s="131" t="s">
        <v>1174</v>
      </c>
      <c r="E28" s="132" t="s">
        <v>1258</v>
      </c>
      <c r="F28" s="284" t="s">
        <v>1270</v>
      </c>
      <c r="G28" s="273">
        <v>45932</v>
      </c>
      <c r="H28" s="273">
        <v>46020</v>
      </c>
      <c r="I28" s="273">
        <v>46041</v>
      </c>
      <c r="J28" s="273">
        <v>46059</v>
      </c>
      <c r="K28" s="273">
        <v>46111</v>
      </c>
      <c r="L28" s="358" t="s">
        <v>1262</v>
      </c>
      <c r="M28" s="358" t="s">
        <v>1263</v>
      </c>
      <c r="AV28" s="137" t="s">
        <v>860</v>
      </c>
      <c r="AZ28" s="55" t="s">
        <v>861</v>
      </c>
    </row>
    <row r="29" spans="2:83" ht="45">
      <c r="B29" s="47" t="s">
        <v>864</v>
      </c>
      <c r="C29" s="48" t="s">
        <v>1176</v>
      </c>
      <c r="D29" s="48" t="s">
        <v>1177</v>
      </c>
      <c r="E29" s="49" t="s">
        <v>1258</v>
      </c>
      <c r="F29" s="344" t="s">
        <v>1271</v>
      </c>
      <c r="G29" s="273">
        <v>45911</v>
      </c>
      <c r="H29" s="273">
        <v>46014</v>
      </c>
      <c r="I29" s="273">
        <v>46042</v>
      </c>
      <c r="J29" s="273">
        <v>46063</v>
      </c>
      <c r="K29" s="273">
        <v>46101</v>
      </c>
      <c r="L29" s="358" t="s">
        <v>1262</v>
      </c>
      <c r="M29" s="358" t="s">
        <v>1263</v>
      </c>
      <c r="AU29" s="137" t="s">
        <v>860</v>
      </c>
      <c r="AZ29" s="55" t="s">
        <v>861</v>
      </c>
    </row>
    <row r="30" spans="2:83" ht="45">
      <c r="B30" s="47" t="s">
        <v>864</v>
      </c>
      <c r="C30" s="48" t="s">
        <v>1176</v>
      </c>
      <c r="D30" s="48" t="s">
        <v>1178</v>
      </c>
      <c r="E30" s="49" t="s">
        <v>1258</v>
      </c>
      <c r="F30" s="344" t="s">
        <v>1272</v>
      </c>
      <c r="G30" s="273">
        <v>45911</v>
      </c>
      <c r="H30" s="273">
        <v>46014</v>
      </c>
      <c r="I30" s="273">
        <v>46042</v>
      </c>
      <c r="J30" s="273">
        <v>46063</v>
      </c>
      <c r="K30" s="273">
        <v>46101</v>
      </c>
      <c r="L30" s="358" t="s">
        <v>1262</v>
      </c>
      <c r="M30" s="358" t="s">
        <v>1263</v>
      </c>
      <c r="AU30" s="137" t="s">
        <v>860</v>
      </c>
      <c r="AZ30" s="55" t="s">
        <v>861</v>
      </c>
    </row>
    <row r="31" spans="2:83" ht="45">
      <c r="B31" s="47" t="s">
        <v>864</v>
      </c>
      <c r="C31" s="111" t="s">
        <v>1179</v>
      </c>
      <c r="D31" s="111" t="s">
        <v>1180</v>
      </c>
      <c r="E31" s="112" t="s">
        <v>1258</v>
      </c>
      <c r="F31" s="284" t="s">
        <v>1273</v>
      </c>
      <c r="G31" s="273">
        <v>45911</v>
      </c>
      <c r="H31" s="273">
        <v>46014</v>
      </c>
      <c r="I31" s="273">
        <v>46042</v>
      </c>
      <c r="J31" s="273">
        <v>46063</v>
      </c>
      <c r="K31" s="273">
        <v>46101</v>
      </c>
      <c r="L31" s="358" t="s">
        <v>1262</v>
      </c>
      <c r="M31" s="358" t="s">
        <v>1263</v>
      </c>
      <c r="AU31" s="137" t="s">
        <v>860</v>
      </c>
      <c r="AZ31" s="55" t="s">
        <v>861</v>
      </c>
    </row>
    <row r="32" spans="2:83" ht="45">
      <c r="B32" s="47" t="s">
        <v>864</v>
      </c>
      <c r="C32" s="111" t="s">
        <v>1179</v>
      </c>
      <c r="D32" s="111" t="s">
        <v>1181</v>
      </c>
      <c r="E32" s="112" t="s">
        <v>1258</v>
      </c>
      <c r="F32" s="284" t="s">
        <v>1274</v>
      </c>
      <c r="G32" s="273">
        <v>45911</v>
      </c>
      <c r="H32" s="273">
        <v>46014</v>
      </c>
      <c r="I32" s="273">
        <v>46042</v>
      </c>
      <c r="J32" s="273">
        <v>46063</v>
      </c>
      <c r="K32" s="273">
        <v>46101</v>
      </c>
      <c r="L32" s="358" t="s">
        <v>1262</v>
      </c>
      <c r="M32" s="358" t="s">
        <v>1263</v>
      </c>
      <c r="AU32" s="137" t="s">
        <v>860</v>
      </c>
      <c r="AZ32" s="55" t="s">
        <v>861</v>
      </c>
    </row>
    <row r="33" spans="2:57" ht="45">
      <c r="B33" s="47" t="s">
        <v>864</v>
      </c>
      <c r="C33" s="48" t="s">
        <v>1162</v>
      </c>
      <c r="D33" s="48" t="s">
        <v>1182</v>
      </c>
      <c r="E33" s="49" t="s">
        <v>1258</v>
      </c>
      <c r="F33" s="344" t="s">
        <v>1259</v>
      </c>
      <c r="G33" s="273">
        <v>45883</v>
      </c>
      <c r="H33" s="273">
        <v>46024</v>
      </c>
      <c r="I33" s="273">
        <v>46045</v>
      </c>
      <c r="J33" s="273">
        <v>46066</v>
      </c>
      <c r="K33" s="273">
        <v>46101</v>
      </c>
      <c r="L33" s="358" t="s">
        <v>1262</v>
      </c>
      <c r="M33" s="358" t="s">
        <v>1263</v>
      </c>
      <c r="P33" s="219"/>
      <c r="Q33" s="219"/>
      <c r="S33" s="219"/>
      <c r="T33" s="219"/>
      <c r="AW33" s="137" t="s">
        <v>860</v>
      </c>
      <c r="AZ33" s="55" t="s">
        <v>861</v>
      </c>
    </row>
    <row r="34" spans="2:57" ht="45">
      <c r="B34" s="47" t="s">
        <v>864</v>
      </c>
      <c r="C34" s="48" t="s">
        <v>1162</v>
      </c>
      <c r="D34" s="48" t="s">
        <v>1183</v>
      </c>
      <c r="E34" s="49" t="s">
        <v>1258</v>
      </c>
      <c r="F34" s="344" t="s">
        <v>1260</v>
      </c>
      <c r="G34" s="273">
        <v>45883</v>
      </c>
      <c r="H34" s="273">
        <v>46024</v>
      </c>
      <c r="I34" s="273">
        <v>46045</v>
      </c>
      <c r="J34" s="273">
        <v>46066</v>
      </c>
      <c r="K34" s="273">
        <v>46101</v>
      </c>
      <c r="L34" s="358" t="s">
        <v>1262</v>
      </c>
      <c r="M34" s="358" t="s">
        <v>1263</v>
      </c>
      <c r="U34" s="219"/>
      <c r="Y34" s="219"/>
      <c r="AW34" s="137" t="s">
        <v>860</v>
      </c>
      <c r="AZ34" s="55" t="s">
        <v>861</v>
      </c>
    </row>
    <row r="35" spans="2:57" ht="45">
      <c r="B35" s="47" t="s">
        <v>864</v>
      </c>
      <c r="C35" s="48" t="s">
        <v>1166</v>
      </c>
      <c r="D35" s="48" t="s">
        <v>1184</v>
      </c>
      <c r="E35" s="49" t="s">
        <v>1258</v>
      </c>
      <c r="F35" s="344" t="s">
        <v>1275</v>
      </c>
      <c r="G35" s="273">
        <v>45939</v>
      </c>
      <c r="H35" s="273">
        <v>46027</v>
      </c>
      <c r="I35" s="273">
        <v>46048</v>
      </c>
      <c r="J35" s="273">
        <v>46084</v>
      </c>
      <c r="K35" s="273">
        <v>46114</v>
      </c>
      <c r="L35" s="358" t="s">
        <v>1262</v>
      </c>
      <c r="M35" s="358" t="s">
        <v>1263</v>
      </c>
      <c r="X35" s="219"/>
      <c r="AA35" s="219"/>
      <c r="AX35" s="137" t="s">
        <v>860</v>
      </c>
      <c r="BA35" s="55" t="s">
        <v>861</v>
      </c>
    </row>
    <row r="36" spans="2:57" ht="45">
      <c r="B36" s="47" t="s">
        <v>864</v>
      </c>
      <c r="C36" s="48" t="s">
        <v>1166</v>
      </c>
      <c r="D36" s="48" t="s">
        <v>1185</v>
      </c>
      <c r="E36" s="49" t="s">
        <v>1258</v>
      </c>
      <c r="F36" s="344" t="s">
        <v>1276</v>
      </c>
      <c r="G36" s="273">
        <v>45939</v>
      </c>
      <c r="H36" s="273">
        <v>46027</v>
      </c>
      <c r="I36" s="273">
        <v>46048</v>
      </c>
      <c r="J36" s="273">
        <v>46084</v>
      </c>
      <c r="K36" s="273">
        <v>46114</v>
      </c>
      <c r="L36" s="358" t="s">
        <v>1262</v>
      </c>
      <c r="M36" s="358" t="s">
        <v>1263</v>
      </c>
      <c r="AX36" s="137" t="s">
        <v>860</v>
      </c>
      <c r="BA36" s="55" t="s">
        <v>861</v>
      </c>
    </row>
    <row r="37" spans="2:57" ht="45">
      <c r="B37" s="47" t="s">
        <v>864</v>
      </c>
      <c r="C37" s="48" t="s">
        <v>1171</v>
      </c>
      <c r="D37" s="48" t="s">
        <v>1186</v>
      </c>
      <c r="E37" s="49" t="s">
        <v>1254</v>
      </c>
      <c r="F37" s="344" t="s">
        <v>1277</v>
      </c>
      <c r="G37" s="273">
        <v>45939</v>
      </c>
      <c r="H37" s="273">
        <v>46027</v>
      </c>
      <c r="I37" s="273">
        <v>46048</v>
      </c>
      <c r="J37" s="273">
        <v>46084</v>
      </c>
      <c r="K37" s="273">
        <v>46114</v>
      </c>
      <c r="L37" s="358" t="s">
        <v>1262</v>
      </c>
      <c r="M37" s="358" t="s">
        <v>1263</v>
      </c>
      <c r="AX37" s="137" t="s">
        <v>860</v>
      </c>
      <c r="BA37" s="55" t="s">
        <v>861</v>
      </c>
    </row>
    <row r="38" spans="2:57" ht="45">
      <c r="B38" s="47" t="s">
        <v>864</v>
      </c>
      <c r="C38" s="48" t="s">
        <v>1162</v>
      </c>
      <c r="D38" s="48" t="s">
        <v>1187</v>
      </c>
      <c r="E38" s="49" t="s">
        <v>1258</v>
      </c>
      <c r="F38" s="344" t="s">
        <v>1278</v>
      </c>
      <c r="G38" s="273">
        <v>45884</v>
      </c>
      <c r="H38" s="273">
        <v>46038</v>
      </c>
      <c r="I38" s="273">
        <v>46052</v>
      </c>
      <c r="J38" s="273">
        <v>46066</v>
      </c>
      <c r="K38" s="273">
        <v>46108</v>
      </c>
      <c r="L38" s="358" t="s">
        <v>1262</v>
      </c>
      <c r="M38" s="358" t="s">
        <v>1263</v>
      </c>
      <c r="U38" s="219"/>
      <c r="Y38" s="219"/>
      <c r="AY38" s="137" t="s">
        <v>860</v>
      </c>
      <c r="BA38" s="55" t="s">
        <v>861</v>
      </c>
    </row>
    <row r="39" spans="2:57" ht="45">
      <c r="B39" s="47" t="s">
        <v>864</v>
      </c>
      <c r="C39" s="111" t="s">
        <v>1171</v>
      </c>
      <c r="D39" s="111" t="s">
        <v>1188</v>
      </c>
      <c r="E39" s="112" t="s">
        <v>1254</v>
      </c>
      <c r="F39" s="284" t="s">
        <v>1279</v>
      </c>
      <c r="G39" s="273">
        <v>45933</v>
      </c>
      <c r="H39" s="273">
        <v>46031</v>
      </c>
      <c r="I39" s="273">
        <v>46052</v>
      </c>
      <c r="J39" s="273">
        <v>46083</v>
      </c>
      <c r="K39" s="273">
        <v>46108</v>
      </c>
      <c r="L39" s="358" t="s">
        <v>1262</v>
      </c>
      <c r="M39" s="358" t="s">
        <v>1263</v>
      </c>
      <c r="AX39" s="137" t="s">
        <v>860</v>
      </c>
      <c r="BA39" s="55" t="s">
        <v>861</v>
      </c>
    </row>
    <row r="40" spans="2:57" ht="45">
      <c r="B40" s="47" t="s">
        <v>864</v>
      </c>
      <c r="C40" s="48" t="s">
        <v>1176</v>
      </c>
      <c r="D40" s="48" t="s">
        <v>1189</v>
      </c>
      <c r="E40" s="49" t="s">
        <v>1258</v>
      </c>
      <c r="F40" s="344" t="s">
        <v>1280</v>
      </c>
      <c r="G40" s="273">
        <v>45953</v>
      </c>
      <c r="H40" s="273">
        <v>46038</v>
      </c>
      <c r="I40" s="273">
        <v>46059</v>
      </c>
      <c r="J40" s="273">
        <v>46087</v>
      </c>
      <c r="K40" s="273">
        <v>46114</v>
      </c>
      <c r="L40" s="358" t="s">
        <v>1262</v>
      </c>
      <c r="M40" s="358" t="s">
        <v>1263</v>
      </c>
      <c r="AY40" s="137" t="s">
        <v>860</v>
      </c>
      <c r="BB40" s="55" t="s">
        <v>861</v>
      </c>
    </row>
    <row r="41" spans="2:57" ht="45">
      <c r="B41" s="47" t="s">
        <v>864</v>
      </c>
      <c r="C41" s="48" t="s">
        <v>1176</v>
      </c>
      <c r="D41" s="48" t="s">
        <v>1190</v>
      </c>
      <c r="E41" s="49" t="s">
        <v>1258</v>
      </c>
      <c r="F41" s="344" t="s">
        <v>1281</v>
      </c>
      <c r="G41" s="273">
        <v>45953</v>
      </c>
      <c r="H41" s="273">
        <v>46038</v>
      </c>
      <c r="I41" s="273">
        <v>46059</v>
      </c>
      <c r="J41" s="273">
        <v>46087</v>
      </c>
      <c r="K41" s="273">
        <v>46114</v>
      </c>
      <c r="L41" s="358" t="s">
        <v>1262</v>
      </c>
      <c r="M41" s="358" t="s">
        <v>1263</v>
      </c>
      <c r="AY41" s="137" t="s">
        <v>860</v>
      </c>
      <c r="BB41" s="55" t="s">
        <v>861</v>
      </c>
    </row>
    <row r="42" spans="2:57" ht="45">
      <c r="B42" s="47" t="s">
        <v>864</v>
      </c>
      <c r="C42" s="116" t="s">
        <v>1176</v>
      </c>
      <c r="D42" s="116" t="s">
        <v>1191</v>
      </c>
      <c r="E42" s="116" t="s">
        <v>1254</v>
      </c>
      <c r="F42" s="345" t="s">
        <v>1282</v>
      </c>
      <c r="G42" s="273">
        <v>45953</v>
      </c>
      <c r="H42" s="273">
        <v>46038</v>
      </c>
      <c r="I42" s="273">
        <v>46059</v>
      </c>
      <c r="J42" s="273">
        <v>46087</v>
      </c>
      <c r="K42" s="273">
        <v>46114</v>
      </c>
      <c r="L42" s="358" t="s">
        <v>1262</v>
      </c>
      <c r="M42" s="358" t="s">
        <v>1263</v>
      </c>
      <c r="AY42" s="137" t="s">
        <v>860</v>
      </c>
      <c r="BB42" s="55" t="s">
        <v>861</v>
      </c>
    </row>
    <row r="43" spans="2:57" ht="45">
      <c r="B43" s="47" t="s">
        <v>864</v>
      </c>
      <c r="C43" s="116" t="s">
        <v>1176</v>
      </c>
      <c r="D43" s="116" t="s">
        <v>1192</v>
      </c>
      <c r="E43" s="116" t="s">
        <v>1254</v>
      </c>
      <c r="F43" s="345" t="s">
        <v>1283</v>
      </c>
      <c r="G43" s="273">
        <v>45953</v>
      </c>
      <c r="H43" s="273">
        <v>46038</v>
      </c>
      <c r="I43" s="273">
        <v>46059</v>
      </c>
      <c r="J43" s="273">
        <v>46087</v>
      </c>
      <c r="K43" s="273">
        <v>46114</v>
      </c>
      <c r="L43" s="358" t="s">
        <v>1262</v>
      </c>
      <c r="M43" s="358" t="s">
        <v>1263</v>
      </c>
      <c r="AY43" s="137" t="s">
        <v>860</v>
      </c>
      <c r="BB43" s="55" t="s">
        <v>861</v>
      </c>
    </row>
    <row r="44" spans="2:57" ht="45">
      <c r="B44" s="47" t="s">
        <v>864</v>
      </c>
      <c r="C44" s="7" t="s">
        <v>1179</v>
      </c>
      <c r="D44" s="7" t="s">
        <v>1193</v>
      </c>
      <c r="E44" s="7" t="s">
        <v>1258</v>
      </c>
      <c r="F44" s="346" t="s">
        <v>1284</v>
      </c>
      <c r="G44" s="273">
        <v>45953</v>
      </c>
      <c r="H44" s="273">
        <v>46038</v>
      </c>
      <c r="I44" s="273">
        <v>46059</v>
      </c>
      <c r="J44" s="273">
        <v>46087</v>
      </c>
      <c r="K44" s="273">
        <v>46114</v>
      </c>
      <c r="L44" s="358" t="s">
        <v>1262</v>
      </c>
      <c r="M44" s="358" t="s">
        <v>1263</v>
      </c>
      <c r="AY44" s="137" t="s">
        <v>860</v>
      </c>
      <c r="BB44" s="55" t="s">
        <v>861</v>
      </c>
    </row>
    <row r="45" spans="2:57" ht="45">
      <c r="B45" s="47" t="s">
        <v>864</v>
      </c>
      <c r="C45" s="7" t="s">
        <v>1179</v>
      </c>
      <c r="D45" s="7" t="s">
        <v>1194</v>
      </c>
      <c r="E45" s="7" t="s">
        <v>1258</v>
      </c>
      <c r="F45" s="346" t="s">
        <v>1285</v>
      </c>
      <c r="G45" s="273">
        <v>45953</v>
      </c>
      <c r="H45" s="273">
        <v>46038</v>
      </c>
      <c r="I45" s="273">
        <v>46059</v>
      </c>
      <c r="J45" s="273">
        <v>46087</v>
      </c>
      <c r="K45" s="273">
        <v>46114</v>
      </c>
      <c r="L45" s="358" t="s">
        <v>1262</v>
      </c>
      <c r="M45" s="358" t="s">
        <v>1263</v>
      </c>
      <c r="AY45" s="137" t="s">
        <v>860</v>
      </c>
      <c r="BB45" s="55" t="s">
        <v>861</v>
      </c>
    </row>
    <row r="46" spans="2:57" ht="45">
      <c r="B46" s="47" t="s">
        <v>864</v>
      </c>
      <c r="C46" s="7" t="s">
        <v>1179</v>
      </c>
      <c r="D46" s="7" t="s">
        <v>1195</v>
      </c>
      <c r="E46" s="7" t="s">
        <v>1254</v>
      </c>
      <c r="F46" s="346" t="s">
        <v>1286</v>
      </c>
      <c r="G46" s="273">
        <v>45953</v>
      </c>
      <c r="H46" s="273">
        <v>46038</v>
      </c>
      <c r="I46" s="273">
        <v>46059</v>
      </c>
      <c r="J46" s="273">
        <v>46087</v>
      </c>
      <c r="K46" s="273">
        <v>46114</v>
      </c>
      <c r="L46" s="358" t="s">
        <v>1262</v>
      </c>
      <c r="M46" s="358" t="s">
        <v>1263</v>
      </c>
      <c r="AY46" s="137" t="s">
        <v>860</v>
      </c>
      <c r="BB46" s="55" t="s">
        <v>861</v>
      </c>
    </row>
    <row r="47" spans="2:57" ht="45">
      <c r="B47" s="47" t="s">
        <v>864</v>
      </c>
      <c r="C47" s="7" t="s">
        <v>1179</v>
      </c>
      <c r="D47" s="7" t="s">
        <v>1196</v>
      </c>
      <c r="E47" s="7" t="s">
        <v>1254</v>
      </c>
      <c r="F47" s="346" t="s">
        <v>1287</v>
      </c>
      <c r="G47" s="273">
        <v>45953</v>
      </c>
      <c r="H47" s="273">
        <v>46038</v>
      </c>
      <c r="I47" s="273">
        <v>46059</v>
      </c>
      <c r="J47" s="273">
        <v>46087</v>
      </c>
      <c r="K47" s="273">
        <v>46114</v>
      </c>
      <c r="L47" s="358" t="s">
        <v>1262</v>
      </c>
      <c r="M47" s="358" t="s">
        <v>1263</v>
      </c>
      <c r="AY47" s="137" t="s">
        <v>860</v>
      </c>
      <c r="BB47" s="55" t="s">
        <v>861</v>
      </c>
    </row>
    <row r="48" spans="2:57" ht="45">
      <c r="B48" s="130" t="s">
        <v>899</v>
      </c>
      <c r="C48" s="8" t="s">
        <v>1166</v>
      </c>
      <c r="D48" s="8" t="s">
        <v>1197</v>
      </c>
      <c r="E48" s="8" t="s">
        <v>1258</v>
      </c>
      <c r="F48" s="346" t="s">
        <v>1288</v>
      </c>
      <c r="G48" s="273">
        <v>45985</v>
      </c>
      <c r="H48" s="273">
        <v>46052</v>
      </c>
      <c r="I48" s="273">
        <v>46079</v>
      </c>
      <c r="J48" s="273">
        <v>46101</v>
      </c>
      <c r="K48" s="273">
        <v>46140</v>
      </c>
      <c r="L48" s="358" t="s">
        <v>1262</v>
      </c>
      <c r="M48" s="358" t="s">
        <v>1263</v>
      </c>
      <c r="BA48" s="137" t="s">
        <v>860</v>
      </c>
      <c r="BE48" s="55" t="s">
        <v>861</v>
      </c>
    </row>
    <row r="49" spans="2:83" ht="90">
      <c r="B49" s="130" t="s">
        <v>899</v>
      </c>
      <c r="C49" s="8"/>
      <c r="D49" s="8" t="s">
        <v>1175</v>
      </c>
      <c r="E49" s="8" t="s">
        <v>1254</v>
      </c>
      <c r="F49" s="346" t="s">
        <v>1289</v>
      </c>
      <c r="G49" s="273">
        <v>45932</v>
      </c>
      <c r="H49" s="273">
        <v>46048</v>
      </c>
      <c r="I49" s="273">
        <v>46083</v>
      </c>
      <c r="J49" s="273">
        <v>46101</v>
      </c>
      <c r="K49" s="273">
        <v>46181</v>
      </c>
      <c r="L49" s="358" t="s">
        <v>1262</v>
      </c>
      <c r="M49" s="358" t="s">
        <v>1263</v>
      </c>
      <c r="BA49" s="137" t="s">
        <v>860</v>
      </c>
      <c r="BG49" s="55" t="s">
        <v>861</v>
      </c>
    </row>
    <row r="50" spans="2:83" ht="45">
      <c r="B50" s="130" t="s">
        <v>899</v>
      </c>
      <c r="C50" s="8" t="s">
        <v>1198</v>
      </c>
      <c r="D50" s="8" t="s">
        <v>1199</v>
      </c>
      <c r="E50" s="8" t="s">
        <v>1254</v>
      </c>
      <c r="F50" s="346" t="s">
        <v>1290</v>
      </c>
      <c r="G50" s="273">
        <v>45932</v>
      </c>
      <c r="H50" s="273">
        <v>46084</v>
      </c>
      <c r="I50" s="273">
        <v>46105</v>
      </c>
      <c r="J50" s="273">
        <v>46128</v>
      </c>
      <c r="K50" s="273">
        <v>46136</v>
      </c>
      <c r="L50" s="358" t="s">
        <v>1262</v>
      </c>
      <c r="M50" s="358" t="s">
        <v>1263</v>
      </c>
      <c r="BG50" s="137" t="s">
        <v>860</v>
      </c>
      <c r="BJ50" s="55" t="s">
        <v>861</v>
      </c>
    </row>
    <row r="51" spans="2:83" ht="45">
      <c r="B51" s="47" t="s">
        <v>864</v>
      </c>
      <c r="C51" s="116" t="s">
        <v>1176</v>
      </c>
      <c r="D51" s="116" t="s">
        <v>1200</v>
      </c>
      <c r="E51" s="116" t="s">
        <v>1258</v>
      </c>
      <c r="F51" s="345" t="s">
        <v>1291</v>
      </c>
      <c r="G51" s="273">
        <v>45981</v>
      </c>
      <c r="H51" s="273">
        <v>46094</v>
      </c>
      <c r="I51" s="273">
        <v>46121</v>
      </c>
      <c r="J51" s="273">
        <v>46142</v>
      </c>
      <c r="K51" s="273">
        <v>46185</v>
      </c>
      <c r="L51" s="358" t="s">
        <v>1262</v>
      </c>
      <c r="M51" s="358" t="s">
        <v>1263</v>
      </c>
      <c r="BM51" s="137" t="s">
        <v>860</v>
      </c>
      <c r="BP51" s="55" t="s">
        <v>861</v>
      </c>
    </row>
    <row r="52" spans="2:83" ht="45">
      <c r="B52" s="130" t="s">
        <v>899</v>
      </c>
      <c r="C52" s="8" t="s">
        <v>1166</v>
      </c>
      <c r="D52" s="8" t="s">
        <v>1201</v>
      </c>
      <c r="E52" s="8" t="s">
        <v>1258</v>
      </c>
      <c r="F52" s="346" t="s">
        <v>1292</v>
      </c>
      <c r="G52" s="273">
        <v>45985</v>
      </c>
      <c r="H52" s="273">
        <v>46125</v>
      </c>
      <c r="I52" s="273">
        <v>46146</v>
      </c>
      <c r="J52" s="273">
        <v>46167</v>
      </c>
      <c r="K52" s="273">
        <v>46191</v>
      </c>
      <c r="L52" s="358" t="s">
        <v>1262</v>
      </c>
      <c r="M52" s="358" t="s">
        <v>1263</v>
      </c>
      <c r="BM52" s="137" t="s">
        <v>860</v>
      </c>
      <c r="BQ52" s="55" t="s">
        <v>861</v>
      </c>
    </row>
    <row r="53" spans="2:83" ht="45">
      <c r="B53" s="130" t="s">
        <v>899</v>
      </c>
      <c r="C53" s="8" t="s">
        <v>1202</v>
      </c>
      <c r="D53" s="8" t="s">
        <v>1203</v>
      </c>
      <c r="E53" s="8" t="s">
        <v>1258</v>
      </c>
      <c r="F53" s="346" t="s">
        <v>1293</v>
      </c>
      <c r="G53" s="273">
        <v>46079</v>
      </c>
      <c r="H53" s="273">
        <v>46188</v>
      </c>
      <c r="I53" s="273">
        <v>46209</v>
      </c>
      <c r="J53" s="273">
        <v>46230</v>
      </c>
      <c r="K53" s="273">
        <v>46272</v>
      </c>
      <c r="L53" s="358" t="s">
        <v>1262</v>
      </c>
      <c r="M53" s="358" t="s">
        <v>1263</v>
      </c>
      <c r="BX53" s="137" t="s">
        <v>860</v>
      </c>
      <c r="CB53" s="55" t="s">
        <v>861</v>
      </c>
    </row>
    <row r="54" spans="2:83" ht="45">
      <c r="B54" s="47" t="s">
        <v>864</v>
      </c>
      <c r="C54" s="116" t="s">
        <v>1176</v>
      </c>
      <c r="D54" s="116" t="s">
        <v>1204</v>
      </c>
      <c r="E54" s="116" t="s">
        <v>1254</v>
      </c>
      <c r="F54" s="345" t="s">
        <v>1294</v>
      </c>
      <c r="G54" s="273">
        <v>46083</v>
      </c>
      <c r="H54" s="273">
        <v>46189</v>
      </c>
      <c r="I54" s="273">
        <v>46211</v>
      </c>
      <c r="J54" s="273">
        <v>46232</v>
      </c>
      <c r="K54" s="273">
        <v>46262</v>
      </c>
      <c r="L54" s="358" t="s">
        <v>1262</v>
      </c>
      <c r="M54" s="358" t="s">
        <v>1263</v>
      </c>
      <c r="BX54" s="137" t="s">
        <v>860</v>
      </c>
      <c r="CB54" s="55" t="s">
        <v>861</v>
      </c>
    </row>
    <row r="55" spans="2:83" ht="45">
      <c r="B55" s="116" t="s">
        <v>864</v>
      </c>
      <c r="C55" s="116" t="s">
        <v>1176</v>
      </c>
      <c r="D55" s="116" t="s">
        <v>1205</v>
      </c>
      <c r="E55" s="116" t="s">
        <v>1254</v>
      </c>
      <c r="F55" s="345" t="s">
        <v>1294</v>
      </c>
      <c r="G55" s="273">
        <v>46083</v>
      </c>
      <c r="H55" s="273">
        <v>46189</v>
      </c>
      <c r="I55" s="273">
        <v>46211</v>
      </c>
      <c r="J55" s="273">
        <v>46232</v>
      </c>
      <c r="K55" s="273">
        <v>46262</v>
      </c>
      <c r="L55" s="358" t="s">
        <v>1262</v>
      </c>
      <c r="M55" s="358" t="s">
        <v>1263</v>
      </c>
      <c r="BX55" s="137" t="s">
        <v>860</v>
      </c>
      <c r="CB55" s="55" t="s">
        <v>861</v>
      </c>
    </row>
    <row r="56" spans="2:83" ht="45">
      <c r="B56" s="116" t="s">
        <v>864</v>
      </c>
      <c r="C56" s="7" t="s">
        <v>1179</v>
      </c>
      <c r="D56" s="7" t="s">
        <v>1206</v>
      </c>
      <c r="E56" s="7" t="s">
        <v>1254</v>
      </c>
      <c r="F56" s="346" t="s">
        <v>1295</v>
      </c>
      <c r="G56" s="273">
        <v>46083</v>
      </c>
      <c r="H56" s="273">
        <v>46189</v>
      </c>
      <c r="I56" s="273">
        <v>46211</v>
      </c>
      <c r="J56" s="273">
        <v>46232</v>
      </c>
      <c r="K56" s="273">
        <v>46262</v>
      </c>
      <c r="L56" s="358" t="s">
        <v>1262</v>
      </c>
      <c r="M56" s="358" t="s">
        <v>1263</v>
      </c>
      <c r="BX56" s="137" t="s">
        <v>860</v>
      </c>
      <c r="CB56" s="55" t="s">
        <v>861</v>
      </c>
    </row>
    <row r="57" spans="2:83" ht="45">
      <c r="B57" s="116" t="s">
        <v>864</v>
      </c>
      <c r="C57" s="7" t="s">
        <v>1179</v>
      </c>
      <c r="D57" s="7" t="s">
        <v>1207</v>
      </c>
      <c r="E57" s="7" t="s">
        <v>1254</v>
      </c>
      <c r="F57" s="346" t="s">
        <v>1296</v>
      </c>
      <c r="G57" s="273">
        <v>46083</v>
      </c>
      <c r="H57" s="273">
        <v>46189</v>
      </c>
      <c r="I57" s="273">
        <v>46211</v>
      </c>
      <c r="J57" s="273">
        <v>46232</v>
      </c>
      <c r="K57" s="273">
        <v>46262</v>
      </c>
      <c r="L57" s="358" t="s">
        <v>1262</v>
      </c>
      <c r="M57" s="358" t="s">
        <v>1263</v>
      </c>
      <c r="BX57" s="137" t="s">
        <v>860</v>
      </c>
      <c r="CB57" s="55" t="s">
        <v>861</v>
      </c>
    </row>
    <row r="58" spans="2:83" ht="45">
      <c r="B58" s="116" t="s">
        <v>864</v>
      </c>
      <c r="C58" s="7" t="s">
        <v>1179</v>
      </c>
      <c r="D58" s="7" t="s">
        <v>1208</v>
      </c>
      <c r="E58" s="7" t="s">
        <v>1254</v>
      </c>
      <c r="F58" s="346" t="s">
        <v>1297</v>
      </c>
      <c r="G58" s="273">
        <v>46083</v>
      </c>
      <c r="H58" s="273">
        <v>46189</v>
      </c>
      <c r="I58" s="273">
        <v>46211</v>
      </c>
      <c r="J58" s="273">
        <v>46232</v>
      </c>
      <c r="K58" s="273">
        <v>46262</v>
      </c>
      <c r="L58" s="358" t="s">
        <v>1262</v>
      </c>
      <c r="M58" s="358" t="s">
        <v>1263</v>
      </c>
      <c r="BX58" s="137" t="s">
        <v>860</v>
      </c>
      <c r="CB58" s="55" t="s">
        <v>861</v>
      </c>
    </row>
    <row r="59" spans="2:83" ht="45">
      <c r="B59" s="116" t="s">
        <v>864</v>
      </c>
      <c r="C59" s="7" t="s">
        <v>1179</v>
      </c>
      <c r="D59" s="7" t="s">
        <v>1209</v>
      </c>
      <c r="E59" s="7" t="s">
        <v>1254</v>
      </c>
      <c r="F59" s="346" t="s">
        <v>1298</v>
      </c>
      <c r="G59" s="273">
        <v>46083</v>
      </c>
      <c r="H59" s="273">
        <v>46189</v>
      </c>
      <c r="I59" s="273">
        <v>46211</v>
      </c>
      <c r="J59" s="273">
        <v>46232</v>
      </c>
      <c r="K59" s="273">
        <v>46262</v>
      </c>
      <c r="L59" s="358" t="s">
        <v>1262</v>
      </c>
      <c r="M59" s="358" t="s">
        <v>1263</v>
      </c>
      <c r="BX59" s="137" t="s">
        <v>860</v>
      </c>
      <c r="CB59" s="55" t="s">
        <v>861</v>
      </c>
    </row>
    <row r="60" spans="2:83" ht="45">
      <c r="B60" s="116" t="s">
        <v>864</v>
      </c>
      <c r="C60" s="116" t="s">
        <v>1162</v>
      </c>
      <c r="D60" s="116" t="s">
        <v>1210</v>
      </c>
      <c r="E60" s="116" t="s">
        <v>1299</v>
      </c>
      <c r="F60" s="345" t="s">
        <v>1300</v>
      </c>
      <c r="G60" s="273">
        <v>46058</v>
      </c>
      <c r="H60" s="273">
        <v>46210</v>
      </c>
      <c r="I60" s="273">
        <v>46231</v>
      </c>
      <c r="J60" s="273">
        <v>46252</v>
      </c>
      <c r="K60" s="273">
        <v>46283</v>
      </c>
      <c r="L60" s="358" t="s">
        <v>1262</v>
      </c>
      <c r="M60" s="358" t="s">
        <v>1263</v>
      </c>
      <c r="CB60" s="137" t="s">
        <v>860</v>
      </c>
      <c r="CE60" s="55" t="s">
        <v>861</v>
      </c>
    </row>
    <row r="61" spans="2:83" ht="45">
      <c r="B61" s="116" t="s">
        <v>864</v>
      </c>
      <c r="C61" s="116" t="s">
        <v>1171</v>
      </c>
      <c r="D61" s="116" t="s">
        <v>1212</v>
      </c>
      <c r="E61" s="116" t="s">
        <v>1254</v>
      </c>
      <c r="F61" s="345" t="s">
        <v>1301</v>
      </c>
      <c r="G61" s="273" t="s">
        <v>1299</v>
      </c>
      <c r="H61" s="273" t="s">
        <v>1299</v>
      </c>
      <c r="I61" s="273" t="s">
        <v>1299</v>
      </c>
      <c r="J61" s="273" t="s">
        <v>1299</v>
      </c>
      <c r="K61" s="273" t="s">
        <v>1299</v>
      </c>
      <c r="L61" s="358" t="s">
        <v>1262</v>
      </c>
      <c r="M61" s="358" t="s">
        <v>1263</v>
      </c>
    </row>
  </sheetData>
  <sheetProtection algorithmName="SHA-512" hashValue="pGI5PzKAFi9cXfl5wUWrgf82G7ElWb4gHM4NxVW4Xb4BILGSOx/GunUFwrRaHSNcXk+t0LY6Ppa1s7YbJKdn0w==" saltValue="6t57av+VNj/EM/l/ztx/HQ==" spinCount="100000" sheet="1" sort="0" autoFilter="0"/>
  <autoFilter ref="B17:CE61" xr:uid="{FF2E6C39-9615-4722-A2E3-F6DFC315E753}">
    <sortState xmlns:xlrd2="http://schemas.microsoft.com/office/spreadsheetml/2017/richdata2" ref="B18:CE61">
      <sortCondition ref="I17:I61"/>
    </sortState>
  </autoFilter>
  <mergeCells count="24">
    <mergeCell ref="BQ16:BU16"/>
    <mergeCell ref="BV16:BZ16"/>
    <mergeCell ref="CA16:CE16"/>
    <mergeCell ref="X16:AB16"/>
    <mergeCell ref="F9:M9"/>
    <mergeCell ref="F10:M10"/>
    <mergeCell ref="F11:M11"/>
    <mergeCell ref="F12:M12"/>
    <mergeCell ref="N16:R16"/>
    <mergeCell ref="S16:W16"/>
    <mergeCell ref="BB16:BF16"/>
    <mergeCell ref="BG16:BK16"/>
    <mergeCell ref="BL16:BP16"/>
    <mergeCell ref="AC16:AG16"/>
    <mergeCell ref="AH16:AL16"/>
    <mergeCell ref="AM16:AQ16"/>
    <mergeCell ref="AR16:AV16"/>
    <mergeCell ref="AW16:BA16"/>
    <mergeCell ref="F8:M8"/>
    <mergeCell ref="F3:M3"/>
    <mergeCell ref="F4:M4"/>
    <mergeCell ref="F5:M5"/>
    <mergeCell ref="F6:M6"/>
    <mergeCell ref="F7:M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AABE-3AA4-480B-81B0-D308D733CAC2}">
  <dimension ref="B1:BU72"/>
  <sheetViews>
    <sheetView zoomScale="55" zoomScaleNormal="55" workbookViewId="0">
      <pane xSplit="13" ySplit="17" topLeftCell="AE18" activePane="bottomRight" state="frozen"/>
      <selection pane="bottomRight" activeCell="B18" sqref="B18"/>
      <selection pane="bottomLeft" activeCell="A18" sqref="A18"/>
      <selection pane="topRight" activeCell="N1" sqref="N1"/>
    </sheetView>
  </sheetViews>
  <sheetFormatPr defaultColWidth="10.42578125" defaultRowHeight="15"/>
  <cols>
    <col min="1" max="1" width="4.5703125" style="7" customWidth="1"/>
    <col min="2" max="2" width="17.140625" style="7" customWidth="1"/>
    <col min="3" max="3" width="33.7109375" style="7" bestFit="1" customWidth="1"/>
    <col min="4" max="5" width="33.7109375" style="7" customWidth="1"/>
    <col min="6" max="6" width="58.5703125" style="8" bestFit="1" customWidth="1"/>
    <col min="7" max="7" width="18" style="8" customWidth="1"/>
    <col min="8" max="9" width="16.28515625" style="8" bestFit="1" customWidth="1"/>
    <col min="10" max="11" width="16.28515625" style="8" customWidth="1"/>
    <col min="12" max="12" width="15" style="8" customWidth="1"/>
    <col min="13" max="13" width="25" style="8" customWidth="1"/>
    <col min="14" max="14" width="17.85546875" style="7" customWidth="1"/>
    <col min="15" max="15" width="26.28515625" style="7" bestFit="1" customWidth="1"/>
    <col min="16" max="16" width="24.7109375" style="7" bestFit="1" customWidth="1"/>
    <col min="17" max="21" width="26.28515625" style="7" bestFit="1" customWidth="1"/>
    <col min="22" max="24" width="17.85546875" style="7" customWidth="1"/>
    <col min="25" max="25" width="26.28515625" style="7" bestFit="1" customWidth="1"/>
    <col min="26" max="30" width="17.85546875" style="7" customWidth="1"/>
    <col min="31" max="31" width="27.7109375" style="7" bestFit="1" customWidth="1"/>
    <col min="32" max="73" width="17.85546875" style="7" customWidth="1"/>
    <col min="74" max="16384" width="10.42578125" style="7"/>
  </cols>
  <sheetData>
    <row r="1" spans="2:73" ht="39.75">
      <c r="B1" s="6" t="s">
        <v>1213</v>
      </c>
    </row>
    <row r="2" spans="2:73" ht="39.75">
      <c r="B2" s="6"/>
    </row>
    <row r="3" spans="2:73" ht="18.75" customHeight="1">
      <c r="B3" s="17"/>
      <c r="F3" s="366" t="s">
        <v>0</v>
      </c>
      <c r="G3" s="366"/>
      <c r="H3" s="366"/>
      <c r="I3" s="366"/>
      <c r="J3" s="366"/>
      <c r="K3" s="366"/>
      <c r="L3" s="366"/>
      <c r="M3" s="366"/>
    </row>
    <row r="4" spans="2:73" ht="18.75" customHeight="1">
      <c r="B4" s="17"/>
      <c r="F4" s="365" t="s">
        <v>1214</v>
      </c>
      <c r="G4" s="365"/>
      <c r="H4" s="365"/>
      <c r="I4" s="365"/>
      <c r="J4" s="365"/>
      <c r="K4" s="365"/>
      <c r="L4" s="365"/>
      <c r="M4" s="365"/>
    </row>
    <row r="5" spans="2:73" ht="18.75" customHeight="1">
      <c r="B5" s="6"/>
      <c r="F5" s="365" t="s">
        <v>1215</v>
      </c>
      <c r="G5" s="365"/>
      <c r="H5" s="365"/>
      <c r="I5" s="365"/>
      <c r="J5" s="365"/>
      <c r="K5" s="365"/>
      <c r="L5" s="365"/>
      <c r="M5" s="365"/>
    </row>
    <row r="6" spans="2:73" ht="18.75" customHeight="1">
      <c r="B6" s="6"/>
      <c r="F6" s="367" t="s">
        <v>1216</v>
      </c>
      <c r="G6" s="367"/>
      <c r="H6" s="367"/>
      <c r="I6" s="367"/>
      <c r="J6" s="367"/>
      <c r="K6" s="367"/>
      <c r="L6" s="367"/>
      <c r="M6" s="367"/>
    </row>
    <row r="7" spans="2:73" ht="18.75" customHeight="1">
      <c r="F7" s="366" t="s">
        <v>33</v>
      </c>
      <c r="G7" s="366"/>
      <c r="H7" s="366"/>
      <c r="I7" s="366"/>
      <c r="J7" s="366"/>
      <c r="K7" s="366"/>
      <c r="L7" s="366"/>
      <c r="M7" s="366"/>
    </row>
    <row r="8" spans="2:73" ht="18.75" customHeight="1">
      <c r="F8" s="365" t="s">
        <v>1217</v>
      </c>
      <c r="G8" s="365"/>
      <c r="H8" s="365"/>
      <c r="I8" s="365"/>
      <c r="J8" s="365"/>
      <c r="K8" s="365"/>
      <c r="L8" s="365"/>
      <c r="M8" s="365"/>
    </row>
    <row r="9" spans="2:73" ht="21.75" customHeight="1">
      <c r="F9" s="365" t="s">
        <v>1218</v>
      </c>
      <c r="G9" s="365"/>
      <c r="H9" s="365"/>
      <c r="I9" s="365"/>
      <c r="J9" s="365"/>
      <c r="K9" s="365"/>
      <c r="L9" s="365"/>
      <c r="M9" s="365"/>
    </row>
    <row r="10" spans="2:73" ht="18">
      <c r="F10" s="365" t="s">
        <v>1219</v>
      </c>
      <c r="G10" s="365"/>
      <c r="H10" s="365"/>
      <c r="I10" s="365"/>
      <c r="J10" s="365"/>
      <c r="K10" s="365"/>
      <c r="L10" s="365"/>
      <c r="M10" s="365"/>
      <c r="O10" s="49"/>
      <c r="P10" s="49"/>
      <c r="Q10" s="49"/>
      <c r="R10" s="49"/>
    </row>
    <row r="11" spans="2:73" ht="34.5" customHeight="1">
      <c r="F11" s="365" t="s">
        <v>1220</v>
      </c>
      <c r="G11" s="365"/>
      <c r="H11" s="365"/>
      <c r="I11" s="365"/>
      <c r="J11" s="365"/>
      <c r="K11" s="365"/>
      <c r="L11" s="365"/>
      <c r="M11" s="365"/>
      <c r="O11" s="49"/>
      <c r="P11" s="49"/>
      <c r="Q11" s="49"/>
      <c r="R11" s="49"/>
      <c r="T11" s="322" t="s">
        <v>778</v>
      </c>
      <c r="U11" s="322" t="s">
        <v>786</v>
      </c>
      <c r="Y11" s="322" t="s">
        <v>801</v>
      </c>
      <c r="AE11" s="322" t="s">
        <v>834</v>
      </c>
    </row>
    <row r="12" spans="2:73" ht="18">
      <c r="F12" s="367" t="s">
        <v>1216</v>
      </c>
      <c r="G12" s="367"/>
      <c r="H12" s="367"/>
      <c r="I12" s="367"/>
      <c r="J12" s="367"/>
      <c r="K12" s="367"/>
      <c r="L12" s="367"/>
      <c r="M12" s="367"/>
      <c r="O12" s="49"/>
      <c r="P12" s="49"/>
      <c r="Q12" s="49"/>
      <c r="T12" s="322" t="s">
        <v>1228</v>
      </c>
    </row>
    <row r="13" spans="2:73">
      <c r="F13" s="12"/>
    </row>
    <row r="14" spans="2:73" s="13" customFormat="1" ht="39.75">
      <c r="F14" s="14"/>
      <c r="G14" s="15"/>
      <c r="H14" s="15"/>
      <c r="I14" s="15"/>
      <c r="J14" s="15"/>
      <c r="K14" s="15"/>
      <c r="L14" s="15"/>
      <c r="M14" s="15"/>
    </row>
    <row r="15" spans="2:73">
      <c r="F15" s="22"/>
      <c r="G15" s="23"/>
      <c r="H15" s="23"/>
      <c r="I15" s="23"/>
      <c r="J15" s="23"/>
      <c r="K15" s="23"/>
      <c r="L15" s="23"/>
      <c r="M15" s="23"/>
    </row>
    <row r="16" spans="2:73" s="13" customFormat="1" ht="18">
      <c r="B16" s="25" t="s">
        <v>855</v>
      </c>
      <c r="C16" s="26" t="s">
        <v>856</v>
      </c>
      <c r="D16" s="27" t="s">
        <v>857</v>
      </c>
      <c r="E16" s="27" t="s">
        <v>858</v>
      </c>
      <c r="F16" s="28" t="s">
        <v>859</v>
      </c>
      <c r="G16" s="28" t="s">
        <v>1229</v>
      </c>
      <c r="H16" s="28" t="s">
        <v>860</v>
      </c>
      <c r="I16" s="29" t="s">
        <v>861</v>
      </c>
      <c r="J16" s="29" t="s">
        <v>1230</v>
      </c>
      <c r="K16" s="29" t="s">
        <v>1231</v>
      </c>
      <c r="L16" s="29" t="s">
        <v>1232</v>
      </c>
      <c r="M16" s="29" t="s">
        <v>140</v>
      </c>
      <c r="N16" s="370" t="s">
        <v>1235</v>
      </c>
      <c r="O16" s="371"/>
      <c r="P16" s="371"/>
      <c r="Q16" s="371"/>
      <c r="R16" s="372"/>
      <c r="S16" s="373" t="s">
        <v>1236</v>
      </c>
      <c r="T16" s="374"/>
      <c r="U16" s="374"/>
      <c r="V16" s="374"/>
      <c r="W16" s="374"/>
      <c r="X16" s="368" t="s">
        <v>1237</v>
      </c>
      <c r="Y16" s="368"/>
      <c r="Z16" s="368"/>
      <c r="AA16" s="368"/>
      <c r="AB16" s="369"/>
      <c r="AC16" s="362" t="s">
        <v>1238</v>
      </c>
      <c r="AD16" s="363"/>
      <c r="AE16" s="363"/>
      <c r="AF16" s="363"/>
      <c r="AG16" s="364"/>
      <c r="AH16" s="359" t="s">
        <v>1239</v>
      </c>
      <c r="AI16" s="360"/>
      <c r="AJ16" s="360"/>
      <c r="AK16" s="360"/>
      <c r="AL16" s="361"/>
      <c r="AM16" s="362" t="s">
        <v>1240</v>
      </c>
      <c r="AN16" s="363"/>
      <c r="AO16" s="363"/>
      <c r="AP16" s="363"/>
      <c r="AQ16" s="364"/>
      <c r="AR16" s="359" t="s">
        <v>1241</v>
      </c>
      <c r="AS16" s="360"/>
      <c r="AT16" s="360"/>
      <c r="AU16" s="360"/>
      <c r="AV16" s="361"/>
      <c r="AW16" s="370" t="s">
        <v>1242</v>
      </c>
      <c r="AX16" s="371"/>
      <c r="AY16" s="371"/>
      <c r="AZ16" s="371"/>
      <c r="BA16" s="372"/>
      <c r="BB16" s="373" t="s">
        <v>1243</v>
      </c>
      <c r="BC16" s="374"/>
      <c r="BD16" s="374"/>
      <c r="BE16" s="374"/>
      <c r="BF16" s="374"/>
      <c r="BG16" s="368" t="s">
        <v>1244</v>
      </c>
      <c r="BH16" s="368"/>
      <c r="BI16" s="368"/>
      <c r="BJ16" s="368"/>
      <c r="BK16" s="369"/>
      <c r="BL16" s="362" t="s">
        <v>1245</v>
      </c>
      <c r="BM16" s="363"/>
      <c r="BN16" s="363"/>
      <c r="BO16" s="363"/>
      <c r="BP16" s="364"/>
      <c r="BQ16" s="359" t="s">
        <v>1246</v>
      </c>
      <c r="BR16" s="360"/>
      <c r="BS16" s="360"/>
      <c r="BT16" s="360"/>
      <c r="BU16" s="361"/>
    </row>
    <row r="17" spans="2:73" s="21" customFormat="1" ht="18">
      <c r="B17" s="30"/>
      <c r="C17" s="31"/>
      <c r="D17" s="32"/>
      <c r="E17" s="32"/>
      <c r="F17" s="33"/>
      <c r="G17" s="33"/>
      <c r="H17" s="33"/>
      <c r="I17" s="34"/>
      <c r="J17" s="34"/>
      <c r="K17" s="34"/>
      <c r="L17" s="29" t="s">
        <v>856</v>
      </c>
      <c r="M17" s="29" t="s">
        <v>1247</v>
      </c>
      <c r="N17" s="45" t="s">
        <v>1248</v>
      </c>
      <c r="O17" s="46" t="s">
        <v>1249</v>
      </c>
      <c r="P17" s="44" t="s">
        <v>1250</v>
      </c>
      <c r="Q17" s="44" t="s">
        <v>1251</v>
      </c>
      <c r="R17" s="44" t="s">
        <v>1252</v>
      </c>
      <c r="S17" s="35" t="s">
        <v>1248</v>
      </c>
      <c r="T17" s="36" t="s">
        <v>1249</v>
      </c>
      <c r="U17" s="36" t="s">
        <v>1250</v>
      </c>
      <c r="V17" s="36" t="s">
        <v>1251</v>
      </c>
      <c r="W17" s="36" t="s">
        <v>1252</v>
      </c>
      <c r="X17" s="37" t="s">
        <v>1248</v>
      </c>
      <c r="Y17" s="38" t="s">
        <v>1249</v>
      </c>
      <c r="Z17" s="38" t="s">
        <v>1250</v>
      </c>
      <c r="AA17" s="38" t="s">
        <v>1251</v>
      </c>
      <c r="AB17" s="38" t="s">
        <v>1252</v>
      </c>
      <c r="AC17" s="39" t="s">
        <v>1248</v>
      </c>
      <c r="AD17" s="40" t="s">
        <v>1249</v>
      </c>
      <c r="AE17" s="40" t="s">
        <v>1250</v>
      </c>
      <c r="AF17" s="40" t="s">
        <v>1251</v>
      </c>
      <c r="AG17" s="39" t="s">
        <v>1252</v>
      </c>
      <c r="AH17" s="41" t="s">
        <v>1248</v>
      </c>
      <c r="AI17" s="42" t="s">
        <v>1249</v>
      </c>
      <c r="AJ17" s="42" t="s">
        <v>1250</v>
      </c>
      <c r="AK17" s="42" t="s">
        <v>1251</v>
      </c>
      <c r="AL17" s="42" t="s">
        <v>1252</v>
      </c>
      <c r="AM17" s="39" t="s">
        <v>1248</v>
      </c>
      <c r="AN17" s="40" t="s">
        <v>1249</v>
      </c>
      <c r="AO17" s="40" t="s">
        <v>1250</v>
      </c>
      <c r="AP17" s="40" t="s">
        <v>1251</v>
      </c>
      <c r="AQ17" s="39" t="s">
        <v>1252</v>
      </c>
      <c r="AR17" s="41" t="s">
        <v>1248</v>
      </c>
      <c r="AS17" s="42" t="s">
        <v>1249</v>
      </c>
      <c r="AT17" s="42" t="s">
        <v>1250</v>
      </c>
      <c r="AU17" s="42" t="s">
        <v>1251</v>
      </c>
      <c r="AV17" s="42" t="s">
        <v>1252</v>
      </c>
      <c r="AW17" s="43" t="s">
        <v>1248</v>
      </c>
      <c r="AX17" s="44" t="s">
        <v>1249</v>
      </c>
      <c r="AY17" s="44" t="s">
        <v>1250</v>
      </c>
      <c r="AZ17" s="44" t="s">
        <v>1251</v>
      </c>
      <c r="BA17" s="44" t="s">
        <v>1252</v>
      </c>
      <c r="BB17" s="35" t="s">
        <v>1248</v>
      </c>
      <c r="BC17" s="36" t="s">
        <v>1249</v>
      </c>
      <c r="BD17" s="36" t="s">
        <v>1250</v>
      </c>
      <c r="BE17" s="36" t="s">
        <v>1251</v>
      </c>
      <c r="BF17" s="36" t="s">
        <v>1252</v>
      </c>
      <c r="BG17" s="37" t="s">
        <v>1248</v>
      </c>
      <c r="BH17" s="38" t="s">
        <v>1249</v>
      </c>
      <c r="BI17" s="38" t="s">
        <v>1250</v>
      </c>
      <c r="BJ17" s="38" t="s">
        <v>1251</v>
      </c>
      <c r="BK17" s="38" t="s">
        <v>1252</v>
      </c>
      <c r="BL17" s="39" t="s">
        <v>1248</v>
      </c>
      <c r="BM17" s="40" t="s">
        <v>1249</v>
      </c>
      <c r="BN17" s="40" t="s">
        <v>1250</v>
      </c>
      <c r="BO17" s="40" t="s">
        <v>1251</v>
      </c>
      <c r="BP17" s="39" t="s">
        <v>1252</v>
      </c>
      <c r="BQ17" s="41" t="s">
        <v>1248</v>
      </c>
      <c r="BR17" s="42" t="s">
        <v>1249</v>
      </c>
      <c r="BS17" s="42" t="s">
        <v>1250</v>
      </c>
      <c r="BT17" s="42" t="s">
        <v>1251</v>
      </c>
      <c r="BU17" s="42" t="s">
        <v>1252</v>
      </c>
    </row>
    <row r="18" spans="2:73" ht="45">
      <c r="B18" s="47" t="s">
        <v>864</v>
      </c>
      <c r="C18" s="48" t="s">
        <v>1041</v>
      </c>
      <c r="D18" s="48" t="s">
        <v>1042</v>
      </c>
      <c r="E18" s="49" t="s">
        <v>1254</v>
      </c>
      <c r="F18" s="344" t="s">
        <v>1043</v>
      </c>
      <c r="G18" s="273">
        <v>45946</v>
      </c>
      <c r="H18" s="273" t="s">
        <v>1302</v>
      </c>
      <c r="I18" s="273">
        <v>46008</v>
      </c>
      <c r="J18" s="273">
        <v>46029</v>
      </c>
      <c r="K18" s="273">
        <v>46038</v>
      </c>
      <c r="L18" s="343" t="s">
        <v>1256</v>
      </c>
      <c r="M18" s="343" t="s">
        <v>1257</v>
      </c>
      <c r="AE18" s="219"/>
      <c r="AH18" s="219"/>
      <c r="AJ18" s="55" t="s">
        <v>861</v>
      </c>
    </row>
    <row r="19" spans="2:73" ht="45">
      <c r="B19" s="47" t="s">
        <v>864</v>
      </c>
      <c r="C19" s="48" t="s">
        <v>1037</v>
      </c>
      <c r="D19" s="48" t="s">
        <v>1054</v>
      </c>
      <c r="E19" s="49" t="s">
        <v>1254</v>
      </c>
      <c r="F19" s="344" t="s">
        <v>1055</v>
      </c>
      <c r="G19" s="273">
        <v>45946</v>
      </c>
      <c r="H19" s="273" t="s">
        <v>1302</v>
      </c>
      <c r="I19" s="273">
        <v>46008</v>
      </c>
      <c r="J19" s="273">
        <v>46029</v>
      </c>
      <c r="K19" s="273">
        <v>46038</v>
      </c>
      <c r="L19" s="343" t="s">
        <v>1256</v>
      </c>
      <c r="M19" s="343" t="s">
        <v>1257</v>
      </c>
      <c r="AJ19" s="55" t="s">
        <v>861</v>
      </c>
    </row>
    <row r="20" spans="2:73" ht="45">
      <c r="B20" s="47" t="s">
        <v>864</v>
      </c>
      <c r="C20" s="48" t="s">
        <v>1064</v>
      </c>
      <c r="D20" s="48" t="s">
        <v>1076</v>
      </c>
      <c r="E20" s="49" t="s">
        <v>1254</v>
      </c>
      <c r="F20" s="344" t="s">
        <v>1077</v>
      </c>
      <c r="G20" s="273">
        <v>45946</v>
      </c>
      <c r="H20" s="273" t="s">
        <v>1302</v>
      </c>
      <c r="I20" s="273">
        <v>46008</v>
      </c>
      <c r="J20" s="273">
        <v>46029</v>
      </c>
      <c r="K20" s="273">
        <v>46038</v>
      </c>
      <c r="L20" s="343" t="s">
        <v>1256</v>
      </c>
      <c r="M20" s="343" t="s">
        <v>1257</v>
      </c>
      <c r="AJ20" s="55" t="s">
        <v>861</v>
      </c>
    </row>
    <row r="21" spans="2:73" ht="45">
      <c r="B21" s="47" t="s">
        <v>864</v>
      </c>
      <c r="C21" s="48" t="s">
        <v>1064</v>
      </c>
      <c r="D21" s="48" t="s">
        <v>1078</v>
      </c>
      <c r="E21" s="49" t="s">
        <v>1254</v>
      </c>
      <c r="F21" s="344" t="s">
        <v>1079</v>
      </c>
      <c r="G21" s="273">
        <v>45946</v>
      </c>
      <c r="H21" s="273" t="s">
        <v>1302</v>
      </c>
      <c r="I21" s="273">
        <v>46008</v>
      </c>
      <c r="J21" s="273">
        <v>46029</v>
      </c>
      <c r="K21" s="273">
        <v>46038</v>
      </c>
      <c r="L21" s="343" t="s">
        <v>1256</v>
      </c>
      <c r="M21" s="343" t="s">
        <v>1257</v>
      </c>
      <c r="AJ21" s="55" t="s">
        <v>861</v>
      </c>
    </row>
    <row r="22" spans="2:73" ht="45">
      <c r="B22" s="47" t="s">
        <v>864</v>
      </c>
      <c r="C22" s="48" t="s">
        <v>1064</v>
      </c>
      <c r="D22" s="48" t="s">
        <v>1080</v>
      </c>
      <c r="E22" s="49" t="s">
        <v>1254</v>
      </c>
      <c r="F22" s="344" t="s">
        <v>1081</v>
      </c>
      <c r="G22" s="273">
        <v>45946</v>
      </c>
      <c r="H22" s="273" t="s">
        <v>1302</v>
      </c>
      <c r="I22" s="273">
        <v>46008</v>
      </c>
      <c r="J22" s="273">
        <v>46029</v>
      </c>
      <c r="K22" s="273">
        <v>46038</v>
      </c>
      <c r="L22" s="343" t="s">
        <v>1256</v>
      </c>
      <c r="M22" s="343" t="s">
        <v>1257</v>
      </c>
      <c r="AJ22" s="55" t="s">
        <v>861</v>
      </c>
    </row>
    <row r="23" spans="2:73" ht="45">
      <c r="B23" s="47" t="s">
        <v>864</v>
      </c>
      <c r="C23" s="48" t="s">
        <v>1064</v>
      </c>
      <c r="D23" s="48" t="s">
        <v>1082</v>
      </c>
      <c r="E23" s="49" t="s">
        <v>1254</v>
      </c>
      <c r="F23" s="344" t="s">
        <v>1083</v>
      </c>
      <c r="G23" s="273">
        <v>45946</v>
      </c>
      <c r="H23" s="273" t="s">
        <v>1302</v>
      </c>
      <c r="I23" s="273">
        <v>46008</v>
      </c>
      <c r="J23" s="273">
        <v>46029</v>
      </c>
      <c r="K23" s="273">
        <v>46038</v>
      </c>
      <c r="L23" s="343" t="s">
        <v>1256</v>
      </c>
      <c r="M23" s="343" t="s">
        <v>1257</v>
      </c>
      <c r="AJ23" s="55" t="s">
        <v>861</v>
      </c>
    </row>
    <row r="24" spans="2:73" ht="45">
      <c r="B24" s="47" t="s">
        <v>864</v>
      </c>
      <c r="C24" s="48" t="s">
        <v>1071</v>
      </c>
      <c r="D24" s="48" t="s">
        <v>1072</v>
      </c>
      <c r="E24" s="49" t="s">
        <v>1254</v>
      </c>
      <c r="F24" s="344" t="s">
        <v>1073</v>
      </c>
      <c r="G24" s="273">
        <v>45946</v>
      </c>
      <c r="H24" s="273" t="s">
        <v>1302</v>
      </c>
      <c r="I24" s="273">
        <v>46008</v>
      </c>
      <c r="J24" s="273">
        <v>46029</v>
      </c>
      <c r="K24" s="273">
        <v>46038</v>
      </c>
      <c r="L24" s="343" t="s">
        <v>1256</v>
      </c>
      <c r="M24" s="343" t="s">
        <v>1257</v>
      </c>
      <c r="AJ24" s="55" t="s">
        <v>861</v>
      </c>
    </row>
    <row r="25" spans="2:73" ht="45">
      <c r="B25" s="47" t="s">
        <v>864</v>
      </c>
      <c r="C25" s="48" t="s">
        <v>1071</v>
      </c>
      <c r="D25" s="48" t="s">
        <v>1074</v>
      </c>
      <c r="E25" s="49" t="s">
        <v>1254</v>
      </c>
      <c r="F25" s="344" t="s">
        <v>1075</v>
      </c>
      <c r="G25" s="273">
        <v>45946</v>
      </c>
      <c r="H25" s="273" t="s">
        <v>1302</v>
      </c>
      <c r="I25" s="273">
        <v>46008</v>
      </c>
      <c r="J25" s="273">
        <v>46029</v>
      </c>
      <c r="K25" s="273">
        <v>46038</v>
      </c>
      <c r="L25" s="343" t="s">
        <v>1256</v>
      </c>
      <c r="M25" s="343" t="s">
        <v>1257</v>
      </c>
      <c r="AJ25" s="55" t="s">
        <v>861</v>
      </c>
    </row>
    <row r="26" spans="2:73" ht="45">
      <c r="B26" s="47" t="s">
        <v>864</v>
      </c>
      <c r="C26" s="48" t="s">
        <v>1059</v>
      </c>
      <c r="D26" s="48" t="s">
        <v>1087</v>
      </c>
      <c r="E26" s="49" t="s">
        <v>1254</v>
      </c>
      <c r="F26" s="344" t="s">
        <v>1088</v>
      </c>
      <c r="G26" s="273">
        <v>45946</v>
      </c>
      <c r="H26" s="273" t="s">
        <v>1302</v>
      </c>
      <c r="I26" s="273">
        <v>46008</v>
      </c>
      <c r="J26" s="273">
        <v>46029</v>
      </c>
      <c r="K26" s="273">
        <v>46038</v>
      </c>
      <c r="L26" s="343" t="s">
        <v>1256</v>
      </c>
      <c r="M26" s="343" t="s">
        <v>1257</v>
      </c>
      <c r="AJ26" s="55" t="s">
        <v>861</v>
      </c>
    </row>
    <row r="27" spans="2:73" ht="45">
      <c r="B27" s="47" t="s">
        <v>864</v>
      </c>
      <c r="C27" s="48" t="s">
        <v>1059</v>
      </c>
      <c r="D27" s="48" t="s">
        <v>1089</v>
      </c>
      <c r="E27" s="49" t="s">
        <v>1254</v>
      </c>
      <c r="F27" s="344" t="s">
        <v>1090</v>
      </c>
      <c r="G27" s="273">
        <v>45946</v>
      </c>
      <c r="H27" s="273" t="s">
        <v>1302</v>
      </c>
      <c r="I27" s="273">
        <v>46008</v>
      </c>
      <c r="J27" s="273">
        <v>46029</v>
      </c>
      <c r="K27" s="273">
        <v>46038</v>
      </c>
      <c r="L27" s="343" t="s">
        <v>1256</v>
      </c>
      <c r="M27" s="343" t="s">
        <v>1257</v>
      </c>
      <c r="AJ27" s="55" t="s">
        <v>861</v>
      </c>
    </row>
    <row r="28" spans="2:73" ht="45">
      <c r="B28" s="47" t="s">
        <v>864</v>
      </c>
      <c r="C28" s="48" t="s">
        <v>1091</v>
      </c>
      <c r="D28" s="48" t="s">
        <v>1092</v>
      </c>
      <c r="E28" s="49" t="s">
        <v>1254</v>
      </c>
      <c r="F28" s="344" t="s">
        <v>1093</v>
      </c>
      <c r="G28" s="273">
        <v>45946</v>
      </c>
      <c r="H28" s="273" t="s">
        <v>1302</v>
      </c>
      <c r="I28" s="273">
        <v>46008</v>
      </c>
      <c r="J28" s="273">
        <v>46029</v>
      </c>
      <c r="K28" s="273">
        <v>46038</v>
      </c>
      <c r="L28" s="343" t="s">
        <v>1256</v>
      </c>
      <c r="M28" s="343" t="s">
        <v>1257</v>
      </c>
      <c r="AJ28" s="55" t="s">
        <v>861</v>
      </c>
    </row>
    <row r="29" spans="2:73" ht="45">
      <c r="B29" s="47" t="s">
        <v>864</v>
      </c>
      <c r="C29" s="48" t="s">
        <v>1084</v>
      </c>
      <c r="D29" s="48" t="s">
        <v>1085</v>
      </c>
      <c r="E29" s="49" t="s">
        <v>1254</v>
      </c>
      <c r="F29" s="344" t="s">
        <v>1086</v>
      </c>
      <c r="G29" s="273">
        <v>45946</v>
      </c>
      <c r="H29" s="273" t="s">
        <v>1302</v>
      </c>
      <c r="I29" s="273">
        <v>46008</v>
      </c>
      <c r="J29" s="273">
        <v>46029</v>
      </c>
      <c r="K29" s="273">
        <v>46038</v>
      </c>
      <c r="L29" s="343" t="s">
        <v>1256</v>
      </c>
      <c r="M29" s="343" t="s">
        <v>1257</v>
      </c>
      <c r="AJ29" s="55" t="s">
        <v>861</v>
      </c>
    </row>
    <row r="30" spans="2:73" ht="45">
      <c r="B30" s="47" t="s">
        <v>864</v>
      </c>
      <c r="C30" s="48" t="s">
        <v>1091</v>
      </c>
      <c r="D30" s="48" t="s">
        <v>1094</v>
      </c>
      <c r="E30" s="49" t="s">
        <v>1254</v>
      </c>
      <c r="F30" s="344" t="s">
        <v>1095</v>
      </c>
      <c r="G30" s="273">
        <v>45946</v>
      </c>
      <c r="H30" s="273" t="s">
        <v>1302</v>
      </c>
      <c r="I30" s="273">
        <v>46008</v>
      </c>
      <c r="J30" s="273">
        <v>46029</v>
      </c>
      <c r="K30" s="273">
        <v>46038</v>
      </c>
      <c r="L30" s="343" t="s">
        <v>1256</v>
      </c>
      <c r="M30" s="343" t="s">
        <v>1257</v>
      </c>
      <c r="AJ30" s="55" t="s">
        <v>861</v>
      </c>
    </row>
    <row r="31" spans="2:73" ht="45">
      <c r="B31" s="47" t="s">
        <v>864</v>
      </c>
      <c r="C31" s="48" t="s">
        <v>1102</v>
      </c>
      <c r="D31" s="48" t="s">
        <v>1158</v>
      </c>
      <c r="E31" s="49" t="s">
        <v>1258</v>
      </c>
      <c r="F31" s="344" t="s">
        <v>1159</v>
      </c>
      <c r="G31" s="273">
        <v>45946</v>
      </c>
      <c r="H31" s="273" t="s">
        <v>1302</v>
      </c>
      <c r="I31" s="273">
        <v>46008</v>
      </c>
      <c r="J31" s="273">
        <v>46029</v>
      </c>
      <c r="K31" s="273">
        <v>46038</v>
      </c>
      <c r="L31" s="343" t="s">
        <v>1256</v>
      </c>
      <c r="M31" s="343" t="s">
        <v>1257</v>
      </c>
      <c r="AJ31" s="55" t="s">
        <v>861</v>
      </c>
    </row>
    <row r="32" spans="2:73" ht="45">
      <c r="B32" s="47" t="s">
        <v>864</v>
      </c>
      <c r="C32" s="48" t="s">
        <v>1102</v>
      </c>
      <c r="D32" s="48" t="s">
        <v>1103</v>
      </c>
      <c r="E32" s="49" t="s">
        <v>1258</v>
      </c>
      <c r="F32" s="344" t="s">
        <v>1104</v>
      </c>
      <c r="G32" s="273">
        <v>45946</v>
      </c>
      <c r="H32" s="273" t="s">
        <v>1302</v>
      </c>
      <c r="I32" s="273">
        <v>46008</v>
      </c>
      <c r="J32" s="273">
        <v>46029</v>
      </c>
      <c r="K32" s="273">
        <v>46038</v>
      </c>
      <c r="L32" s="343" t="s">
        <v>1256</v>
      </c>
      <c r="M32" s="343" t="s">
        <v>1257</v>
      </c>
      <c r="AJ32" s="55" t="s">
        <v>861</v>
      </c>
    </row>
    <row r="33" spans="2:36" ht="45">
      <c r="B33" s="47" t="s">
        <v>864</v>
      </c>
      <c r="C33" s="48" t="s">
        <v>1059</v>
      </c>
      <c r="D33" s="48" t="s">
        <v>1109</v>
      </c>
      <c r="E33" s="49" t="s">
        <v>1254</v>
      </c>
      <c r="F33" s="344" t="s">
        <v>1110</v>
      </c>
      <c r="G33" s="273">
        <v>45946</v>
      </c>
      <c r="H33" s="273" t="s">
        <v>1302</v>
      </c>
      <c r="I33" s="273">
        <v>46008</v>
      </c>
      <c r="J33" s="273">
        <v>46029</v>
      </c>
      <c r="K33" s="273">
        <v>46038</v>
      </c>
      <c r="L33" s="343" t="s">
        <v>1256</v>
      </c>
      <c r="M33" s="343" t="s">
        <v>1257</v>
      </c>
      <c r="AJ33" s="55" t="s">
        <v>861</v>
      </c>
    </row>
    <row r="34" spans="2:36" ht="45">
      <c r="B34" s="47" t="s">
        <v>864</v>
      </c>
      <c r="C34" s="48" t="s">
        <v>1059</v>
      </c>
      <c r="D34" s="48" t="s">
        <v>1111</v>
      </c>
      <c r="E34" s="49" t="s">
        <v>1254</v>
      </c>
      <c r="F34" s="344" t="s">
        <v>1112</v>
      </c>
      <c r="G34" s="273">
        <v>45946</v>
      </c>
      <c r="H34" s="273" t="s">
        <v>1302</v>
      </c>
      <c r="I34" s="273">
        <v>46008</v>
      </c>
      <c r="J34" s="273">
        <v>46029</v>
      </c>
      <c r="K34" s="273">
        <v>46038</v>
      </c>
      <c r="L34" s="343" t="s">
        <v>1256</v>
      </c>
      <c r="M34" s="343" t="s">
        <v>1257</v>
      </c>
      <c r="AJ34" s="55" t="s">
        <v>861</v>
      </c>
    </row>
    <row r="35" spans="2:36" ht="45">
      <c r="B35" s="47" t="s">
        <v>864</v>
      </c>
      <c r="C35" s="48" t="s">
        <v>1084</v>
      </c>
      <c r="D35" s="48" t="s">
        <v>1105</v>
      </c>
      <c r="E35" s="49" t="s">
        <v>1254</v>
      </c>
      <c r="F35" s="344" t="s">
        <v>1106</v>
      </c>
      <c r="G35" s="273">
        <v>45946</v>
      </c>
      <c r="H35" s="273" t="s">
        <v>1302</v>
      </c>
      <c r="I35" s="273">
        <v>46008</v>
      </c>
      <c r="J35" s="273">
        <v>46029</v>
      </c>
      <c r="K35" s="273">
        <v>46038</v>
      </c>
      <c r="L35" s="343" t="s">
        <v>1256</v>
      </c>
      <c r="M35" s="343" t="s">
        <v>1257</v>
      </c>
      <c r="AJ35" s="55" t="s">
        <v>861</v>
      </c>
    </row>
    <row r="36" spans="2:36" ht="45">
      <c r="B36" s="47" t="s">
        <v>864</v>
      </c>
      <c r="C36" s="48" t="s">
        <v>1084</v>
      </c>
      <c r="D36" s="48" t="s">
        <v>1107</v>
      </c>
      <c r="E36" s="49" t="s">
        <v>1254</v>
      </c>
      <c r="F36" s="344" t="s">
        <v>1108</v>
      </c>
      <c r="G36" s="273">
        <v>45946</v>
      </c>
      <c r="H36" s="273" t="s">
        <v>1302</v>
      </c>
      <c r="I36" s="273">
        <v>46008</v>
      </c>
      <c r="J36" s="273">
        <v>46029</v>
      </c>
      <c r="K36" s="273">
        <v>46038</v>
      </c>
      <c r="L36" s="343" t="s">
        <v>1256</v>
      </c>
      <c r="M36" s="343" t="s">
        <v>1257</v>
      </c>
      <c r="AJ36" s="55" t="s">
        <v>861</v>
      </c>
    </row>
    <row r="37" spans="2:36" ht="45">
      <c r="B37" s="47" t="s">
        <v>864</v>
      </c>
      <c r="C37" s="48" t="s">
        <v>1059</v>
      </c>
      <c r="D37" s="48" t="s">
        <v>1148</v>
      </c>
      <c r="E37" s="49" t="s">
        <v>1254</v>
      </c>
      <c r="F37" s="344" t="s">
        <v>1149</v>
      </c>
      <c r="G37" s="273">
        <v>45946</v>
      </c>
      <c r="H37" s="273" t="s">
        <v>1302</v>
      </c>
      <c r="I37" s="273">
        <v>46008</v>
      </c>
      <c r="J37" s="273">
        <v>46029</v>
      </c>
      <c r="K37" s="273">
        <v>46038</v>
      </c>
      <c r="L37" s="343" t="s">
        <v>1256</v>
      </c>
      <c r="M37" s="343" t="s">
        <v>1257</v>
      </c>
      <c r="AJ37" s="55" t="s">
        <v>861</v>
      </c>
    </row>
    <row r="38" spans="2:36" ht="45">
      <c r="B38" s="47" t="s">
        <v>864</v>
      </c>
      <c r="C38" s="48" t="s">
        <v>1059</v>
      </c>
      <c r="D38" s="48" t="s">
        <v>1146</v>
      </c>
      <c r="E38" s="49" t="s">
        <v>1254</v>
      </c>
      <c r="F38" s="344" t="s">
        <v>1147</v>
      </c>
      <c r="G38" s="273">
        <v>45946</v>
      </c>
      <c r="H38" s="273" t="s">
        <v>1302</v>
      </c>
      <c r="I38" s="273">
        <v>46008</v>
      </c>
      <c r="J38" s="273">
        <v>46029</v>
      </c>
      <c r="K38" s="273">
        <v>46038</v>
      </c>
      <c r="L38" s="343" t="s">
        <v>1256</v>
      </c>
      <c r="M38" s="343" t="s">
        <v>1257</v>
      </c>
      <c r="AJ38" s="55" t="s">
        <v>861</v>
      </c>
    </row>
    <row r="39" spans="2:36" ht="45">
      <c r="B39" s="47" t="s">
        <v>864</v>
      </c>
      <c r="C39" s="48" t="s">
        <v>1084</v>
      </c>
      <c r="D39" s="48" t="s">
        <v>1156</v>
      </c>
      <c r="E39" s="49" t="s">
        <v>1254</v>
      </c>
      <c r="F39" s="344" t="s">
        <v>1157</v>
      </c>
      <c r="G39" s="273">
        <v>45946</v>
      </c>
      <c r="H39" s="273" t="s">
        <v>1302</v>
      </c>
      <c r="I39" s="273">
        <v>46008</v>
      </c>
      <c r="J39" s="273">
        <v>46029</v>
      </c>
      <c r="K39" s="273">
        <v>46038</v>
      </c>
      <c r="L39" s="343" t="s">
        <v>1256</v>
      </c>
      <c r="M39" s="343" t="s">
        <v>1257</v>
      </c>
      <c r="AJ39" s="55" t="s">
        <v>861</v>
      </c>
    </row>
    <row r="40" spans="2:36" ht="45">
      <c r="B40" s="47" t="s">
        <v>864</v>
      </c>
      <c r="C40" s="48" t="s">
        <v>1091</v>
      </c>
      <c r="D40" s="48" t="s">
        <v>1154</v>
      </c>
      <c r="E40" s="49" t="s">
        <v>1254</v>
      </c>
      <c r="F40" s="344" t="s">
        <v>1155</v>
      </c>
      <c r="G40" s="273">
        <v>45946</v>
      </c>
      <c r="H40" s="273" t="s">
        <v>1302</v>
      </c>
      <c r="I40" s="273">
        <v>46008</v>
      </c>
      <c r="J40" s="273">
        <v>46029</v>
      </c>
      <c r="K40" s="273">
        <v>46038</v>
      </c>
      <c r="L40" s="343" t="s">
        <v>1256</v>
      </c>
      <c r="M40" s="343" t="s">
        <v>1257</v>
      </c>
      <c r="AJ40" s="55" t="s">
        <v>861</v>
      </c>
    </row>
    <row r="41" spans="2:36" ht="45">
      <c r="B41" s="47" t="s">
        <v>864</v>
      </c>
      <c r="C41" s="48" t="s">
        <v>1064</v>
      </c>
      <c r="D41" s="48" t="s">
        <v>1121</v>
      </c>
      <c r="E41" s="49" t="s">
        <v>1254</v>
      </c>
      <c r="F41" s="344" t="s">
        <v>1122</v>
      </c>
      <c r="G41" s="273">
        <v>45946</v>
      </c>
      <c r="H41" s="273" t="s">
        <v>1302</v>
      </c>
      <c r="I41" s="273">
        <v>46008</v>
      </c>
      <c r="J41" s="273">
        <v>46029</v>
      </c>
      <c r="K41" s="273">
        <v>46038</v>
      </c>
      <c r="L41" s="343" t="s">
        <v>1256</v>
      </c>
      <c r="M41" s="343" t="s">
        <v>1257</v>
      </c>
      <c r="AJ41" s="55" t="s">
        <v>861</v>
      </c>
    </row>
    <row r="42" spans="2:36" ht="45">
      <c r="B42" s="47" t="s">
        <v>864</v>
      </c>
      <c r="C42" s="48" t="s">
        <v>1064</v>
      </c>
      <c r="D42" s="48" t="s">
        <v>1125</v>
      </c>
      <c r="E42" s="49" t="s">
        <v>1254</v>
      </c>
      <c r="F42" s="344" t="s">
        <v>1126</v>
      </c>
      <c r="G42" s="273">
        <v>45946</v>
      </c>
      <c r="H42" s="273" t="s">
        <v>1302</v>
      </c>
      <c r="I42" s="273">
        <v>46008</v>
      </c>
      <c r="J42" s="273">
        <v>46029</v>
      </c>
      <c r="K42" s="273">
        <v>46038</v>
      </c>
      <c r="L42" s="343" t="s">
        <v>1256</v>
      </c>
      <c r="M42" s="343" t="s">
        <v>1257</v>
      </c>
      <c r="AJ42" s="55" t="s">
        <v>861</v>
      </c>
    </row>
    <row r="43" spans="2:36" ht="45">
      <c r="B43" s="47" t="s">
        <v>864</v>
      </c>
      <c r="C43" s="48" t="s">
        <v>1064</v>
      </c>
      <c r="D43" s="48" t="s">
        <v>1129</v>
      </c>
      <c r="E43" s="49" t="s">
        <v>1254</v>
      </c>
      <c r="F43" s="344" t="s">
        <v>1130</v>
      </c>
      <c r="G43" s="273">
        <v>45946</v>
      </c>
      <c r="H43" s="273" t="s">
        <v>1302</v>
      </c>
      <c r="I43" s="273">
        <v>46008</v>
      </c>
      <c r="J43" s="273">
        <v>46029</v>
      </c>
      <c r="K43" s="273">
        <v>46038</v>
      </c>
      <c r="L43" s="343" t="s">
        <v>1256</v>
      </c>
      <c r="M43" s="343" t="s">
        <v>1257</v>
      </c>
      <c r="AJ43" s="55" t="s">
        <v>861</v>
      </c>
    </row>
    <row r="44" spans="2:36" ht="45">
      <c r="B44" s="47" t="s">
        <v>864</v>
      </c>
      <c r="C44" s="48" t="s">
        <v>1064</v>
      </c>
      <c r="D44" s="48" t="s">
        <v>1139</v>
      </c>
      <c r="E44" s="49" t="s">
        <v>1254</v>
      </c>
      <c r="F44" s="344" t="s">
        <v>1140</v>
      </c>
      <c r="G44" s="273">
        <v>45946</v>
      </c>
      <c r="H44" s="273" t="s">
        <v>1302</v>
      </c>
      <c r="I44" s="273">
        <v>46008</v>
      </c>
      <c r="J44" s="273">
        <v>46029</v>
      </c>
      <c r="K44" s="273">
        <v>46038</v>
      </c>
      <c r="L44" s="343" t="s">
        <v>1256</v>
      </c>
      <c r="M44" s="343" t="s">
        <v>1257</v>
      </c>
      <c r="AJ44" s="55" t="s">
        <v>861</v>
      </c>
    </row>
    <row r="45" spans="2:36" ht="45">
      <c r="B45" s="47" t="s">
        <v>864</v>
      </c>
      <c r="C45" s="48" t="s">
        <v>1056</v>
      </c>
      <c r="D45" s="48" t="s">
        <v>1119</v>
      </c>
      <c r="E45" s="49" t="s">
        <v>1254</v>
      </c>
      <c r="F45" s="344" t="s">
        <v>1120</v>
      </c>
      <c r="G45" s="273">
        <v>45946</v>
      </c>
      <c r="H45" s="273" t="s">
        <v>1302</v>
      </c>
      <c r="I45" s="273">
        <v>46008</v>
      </c>
      <c r="J45" s="273">
        <v>46029</v>
      </c>
      <c r="K45" s="273">
        <v>46038</v>
      </c>
      <c r="L45" s="343" t="s">
        <v>1256</v>
      </c>
      <c r="M45" s="343" t="s">
        <v>1257</v>
      </c>
      <c r="AJ45" s="55" t="s">
        <v>861</v>
      </c>
    </row>
    <row r="46" spans="2:36" ht="45">
      <c r="B46" s="47" t="s">
        <v>864</v>
      </c>
      <c r="C46" s="48" t="s">
        <v>1056</v>
      </c>
      <c r="D46" s="48" t="s">
        <v>1141</v>
      </c>
      <c r="E46" s="49" t="s">
        <v>1254</v>
      </c>
      <c r="F46" s="344" t="s">
        <v>1142</v>
      </c>
      <c r="G46" s="273">
        <v>45946</v>
      </c>
      <c r="H46" s="273" t="s">
        <v>1302</v>
      </c>
      <c r="I46" s="273">
        <v>46008</v>
      </c>
      <c r="J46" s="273">
        <v>46029</v>
      </c>
      <c r="K46" s="273">
        <v>46038</v>
      </c>
      <c r="L46" s="343" t="s">
        <v>1256</v>
      </c>
      <c r="M46" s="343" t="s">
        <v>1257</v>
      </c>
      <c r="AJ46" s="55" t="s">
        <v>861</v>
      </c>
    </row>
    <row r="47" spans="2:36" ht="45">
      <c r="B47" s="47" t="s">
        <v>864</v>
      </c>
      <c r="C47" s="48" t="s">
        <v>1056</v>
      </c>
      <c r="D47" s="48" t="s">
        <v>1143</v>
      </c>
      <c r="E47" s="49" t="s">
        <v>1254</v>
      </c>
      <c r="F47" s="344" t="s">
        <v>1142</v>
      </c>
      <c r="G47" s="273">
        <v>45946</v>
      </c>
      <c r="H47" s="273" t="s">
        <v>1302</v>
      </c>
      <c r="I47" s="273">
        <v>46008</v>
      </c>
      <c r="J47" s="273">
        <v>46029</v>
      </c>
      <c r="K47" s="273">
        <v>46038</v>
      </c>
      <c r="L47" s="343" t="s">
        <v>1256</v>
      </c>
      <c r="M47" s="343" t="s">
        <v>1257</v>
      </c>
      <c r="AJ47" s="55" t="s">
        <v>861</v>
      </c>
    </row>
    <row r="48" spans="2:36" ht="45">
      <c r="B48" s="47" t="s">
        <v>864</v>
      </c>
      <c r="C48" s="48" t="s">
        <v>1303</v>
      </c>
      <c r="D48" s="48" t="s">
        <v>1013</v>
      </c>
      <c r="E48" s="49" t="s">
        <v>1254</v>
      </c>
      <c r="F48" s="344" t="s">
        <v>1014</v>
      </c>
      <c r="G48" s="273">
        <v>45946</v>
      </c>
      <c r="H48" s="273" t="s">
        <v>1302</v>
      </c>
      <c r="I48" s="273">
        <v>46008</v>
      </c>
      <c r="J48" s="273">
        <v>46029</v>
      </c>
      <c r="K48" s="273">
        <v>46038</v>
      </c>
      <c r="L48" s="343" t="s">
        <v>1256</v>
      </c>
      <c r="M48" s="343" t="s">
        <v>1257</v>
      </c>
      <c r="AJ48" s="55" t="s">
        <v>861</v>
      </c>
    </row>
    <row r="49" spans="2:36" ht="45">
      <c r="B49" s="47" t="s">
        <v>864</v>
      </c>
      <c r="C49" s="48" t="s">
        <v>1303</v>
      </c>
      <c r="D49" s="48" t="s">
        <v>1015</v>
      </c>
      <c r="E49" s="49" t="s">
        <v>1254</v>
      </c>
      <c r="F49" s="344" t="s">
        <v>1016</v>
      </c>
      <c r="G49" s="273">
        <v>45946</v>
      </c>
      <c r="H49" s="273" t="s">
        <v>1302</v>
      </c>
      <c r="I49" s="273">
        <v>46008</v>
      </c>
      <c r="J49" s="273">
        <v>46029</v>
      </c>
      <c r="K49" s="273">
        <v>46038</v>
      </c>
      <c r="L49" s="343" t="s">
        <v>1256</v>
      </c>
      <c r="M49" s="343" t="s">
        <v>1257</v>
      </c>
      <c r="AJ49" s="55" t="s">
        <v>861</v>
      </c>
    </row>
    <row r="50" spans="2:36" ht="45">
      <c r="B50" s="47" t="s">
        <v>864</v>
      </c>
      <c r="C50" s="48" t="s">
        <v>1303</v>
      </c>
      <c r="D50" s="48" t="s">
        <v>1017</v>
      </c>
      <c r="E50" s="49" t="s">
        <v>1254</v>
      </c>
      <c r="F50" s="344" t="s">
        <v>1018</v>
      </c>
      <c r="G50" s="273">
        <v>45946</v>
      </c>
      <c r="H50" s="273" t="s">
        <v>1302</v>
      </c>
      <c r="I50" s="273">
        <v>46008</v>
      </c>
      <c r="J50" s="273">
        <v>46029</v>
      </c>
      <c r="K50" s="273">
        <v>46038</v>
      </c>
      <c r="L50" s="343" t="s">
        <v>1256</v>
      </c>
      <c r="M50" s="343" t="s">
        <v>1257</v>
      </c>
      <c r="AJ50" s="55" t="s">
        <v>861</v>
      </c>
    </row>
    <row r="51" spans="2:36" ht="45">
      <c r="B51" s="47" t="s">
        <v>864</v>
      </c>
      <c r="C51" s="48" t="s">
        <v>1303</v>
      </c>
      <c r="D51" s="48" t="s">
        <v>1019</v>
      </c>
      <c r="E51" s="49" t="s">
        <v>1254</v>
      </c>
      <c r="F51" s="344" t="s">
        <v>1020</v>
      </c>
      <c r="G51" s="273">
        <v>45946</v>
      </c>
      <c r="H51" s="273" t="s">
        <v>1302</v>
      </c>
      <c r="I51" s="273">
        <v>46008</v>
      </c>
      <c r="J51" s="273">
        <v>46029</v>
      </c>
      <c r="K51" s="273">
        <v>46038</v>
      </c>
      <c r="L51" s="343" t="s">
        <v>1256</v>
      </c>
      <c r="M51" s="343" t="s">
        <v>1257</v>
      </c>
      <c r="AJ51" s="55" t="s">
        <v>861</v>
      </c>
    </row>
    <row r="52" spans="2:36" ht="45">
      <c r="B52" s="47" t="s">
        <v>864</v>
      </c>
      <c r="C52" s="48" t="s">
        <v>1084</v>
      </c>
      <c r="D52" s="48" t="s">
        <v>1007</v>
      </c>
      <c r="E52" s="49" t="s">
        <v>1254</v>
      </c>
      <c r="F52" s="344" t="s">
        <v>1008</v>
      </c>
      <c r="G52" s="273">
        <v>45946</v>
      </c>
      <c r="H52" s="273" t="s">
        <v>1302</v>
      </c>
      <c r="I52" s="273">
        <v>46008</v>
      </c>
      <c r="J52" s="273">
        <v>46029</v>
      </c>
      <c r="K52" s="273">
        <v>46038</v>
      </c>
      <c r="L52" s="343" t="s">
        <v>1256</v>
      </c>
      <c r="M52" s="343" t="s">
        <v>1257</v>
      </c>
      <c r="AJ52" s="55" t="s">
        <v>861</v>
      </c>
    </row>
    <row r="53" spans="2:36" ht="45">
      <c r="B53" s="47" t="s">
        <v>864</v>
      </c>
      <c r="C53" s="48" t="s">
        <v>1084</v>
      </c>
      <c r="D53" s="48" t="s">
        <v>1009</v>
      </c>
      <c r="E53" s="49" t="s">
        <v>1254</v>
      </c>
      <c r="F53" s="344" t="s">
        <v>1010</v>
      </c>
      <c r="G53" s="273">
        <v>45946</v>
      </c>
      <c r="H53" s="273" t="s">
        <v>1302</v>
      </c>
      <c r="I53" s="273">
        <v>46008</v>
      </c>
      <c r="J53" s="273">
        <v>46029</v>
      </c>
      <c r="K53" s="273">
        <v>46038</v>
      </c>
      <c r="L53" s="343" t="s">
        <v>1256</v>
      </c>
      <c r="M53" s="343" t="s">
        <v>1257</v>
      </c>
      <c r="AJ53" s="55" t="s">
        <v>861</v>
      </c>
    </row>
    <row r="54" spans="2:36" ht="45">
      <c r="B54" s="47" t="s">
        <v>864</v>
      </c>
      <c r="C54" s="48" t="s">
        <v>1084</v>
      </c>
      <c r="D54" s="48" t="s">
        <v>1011</v>
      </c>
      <c r="E54" s="49" t="s">
        <v>1254</v>
      </c>
      <c r="F54" s="344" t="s">
        <v>1012</v>
      </c>
      <c r="G54" s="273">
        <v>45946</v>
      </c>
      <c r="H54" s="273" t="s">
        <v>1302</v>
      </c>
      <c r="I54" s="273">
        <v>46008</v>
      </c>
      <c r="J54" s="273">
        <v>46029</v>
      </c>
      <c r="K54" s="273">
        <v>46038</v>
      </c>
      <c r="L54" s="343" t="s">
        <v>1256</v>
      </c>
      <c r="M54" s="343" t="s">
        <v>1257</v>
      </c>
      <c r="AJ54" s="55" t="s">
        <v>861</v>
      </c>
    </row>
    <row r="55" spans="2:36" ht="45">
      <c r="B55" s="47" t="s">
        <v>864</v>
      </c>
      <c r="C55" s="48" t="s">
        <v>1084</v>
      </c>
      <c r="D55" s="48" t="s">
        <v>1021</v>
      </c>
      <c r="E55" s="49" t="s">
        <v>1254</v>
      </c>
      <c r="F55" s="344" t="s">
        <v>1022</v>
      </c>
      <c r="G55" s="273">
        <v>45946</v>
      </c>
      <c r="H55" s="273" t="s">
        <v>1302</v>
      </c>
      <c r="I55" s="273">
        <v>46008</v>
      </c>
      <c r="J55" s="273">
        <v>46029</v>
      </c>
      <c r="K55" s="273">
        <v>46038</v>
      </c>
      <c r="L55" s="343" t="s">
        <v>1256</v>
      </c>
      <c r="M55" s="343" t="s">
        <v>1257</v>
      </c>
      <c r="AJ55" s="55" t="s">
        <v>861</v>
      </c>
    </row>
    <row r="56" spans="2:36" ht="45">
      <c r="B56" s="47" t="s">
        <v>864</v>
      </c>
      <c r="C56" s="48" t="s">
        <v>1084</v>
      </c>
      <c r="D56" s="48" t="s">
        <v>1023</v>
      </c>
      <c r="E56" s="49" t="s">
        <v>1254</v>
      </c>
      <c r="F56" s="344" t="s">
        <v>1024</v>
      </c>
      <c r="G56" s="273">
        <v>45946</v>
      </c>
      <c r="H56" s="273" t="s">
        <v>1302</v>
      </c>
      <c r="I56" s="273">
        <v>46008</v>
      </c>
      <c r="J56" s="273">
        <v>46029</v>
      </c>
      <c r="K56" s="273">
        <v>46038</v>
      </c>
      <c r="L56" s="343" t="s">
        <v>1256</v>
      </c>
      <c r="M56" s="343" t="s">
        <v>1257</v>
      </c>
      <c r="AJ56" s="55" t="s">
        <v>861</v>
      </c>
    </row>
    <row r="57" spans="2:36" ht="45">
      <c r="B57" s="47" t="s">
        <v>864</v>
      </c>
      <c r="C57" s="48" t="s">
        <v>1304</v>
      </c>
      <c r="D57" s="48" t="s">
        <v>979</v>
      </c>
      <c r="E57" s="49" t="s">
        <v>1254</v>
      </c>
      <c r="F57" s="344" t="s">
        <v>980</v>
      </c>
      <c r="G57" s="273">
        <v>45946</v>
      </c>
      <c r="H57" s="273" t="s">
        <v>1302</v>
      </c>
      <c r="I57" s="273">
        <v>46008</v>
      </c>
      <c r="J57" s="273">
        <v>46029</v>
      </c>
      <c r="K57" s="273">
        <v>46038</v>
      </c>
      <c r="L57" s="343" t="s">
        <v>1256</v>
      </c>
      <c r="M57" s="343" t="s">
        <v>1257</v>
      </c>
      <c r="AJ57" s="55" t="s">
        <v>861</v>
      </c>
    </row>
    <row r="58" spans="2:36" ht="45">
      <c r="B58" s="47" t="s">
        <v>864</v>
      </c>
      <c r="C58" s="48" t="s">
        <v>1304</v>
      </c>
      <c r="D58" s="48" t="s">
        <v>981</v>
      </c>
      <c r="E58" s="49" t="s">
        <v>1254</v>
      </c>
      <c r="F58" s="344" t="s">
        <v>982</v>
      </c>
      <c r="G58" s="273">
        <v>45946</v>
      </c>
      <c r="H58" s="273" t="s">
        <v>1302</v>
      </c>
      <c r="I58" s="273">
        <v>46008</v>
      </c>
      <c r="J58" s="273">
        <v>46029</v>
      </c>
      <c r="K58" s="273">
        <v>46038</v>
      </c>
      <c r="L58" s="343" t="s">
        <v>1256</v>
      </c>
      <c r="M58" s="343" t="s">
        <v>1257</v>
      </c>
      <c r="AJ58" s="55" t="s">
        <v>861</v>
      </c>
    </row>
    <row r="59" spans="2:36" ht="45">
      <c r="B59" s="47" t="s">
        <v>864</v>
      </c>
      <c r="C59" s="48" t="s">
        <v>1304</v>
      </c>
      <c r="D59" s="48" t="s">
        <v>983</v>
      </c>
      <c r="E59" s="49" t="s">
        <v>1254</v>
      </c>
      <c r="F59" s="344" t="s">
        <v>984</v>
      </c>
      <c r="G59" s="273">
        <v>45946</v>
      </c>
      <c r="H59" s="273" t="s">
        <v>1302</v>
      </c>
      <c r="I59" s="273">
        <v>46008</v>
      </c>
      <c r="J59" s="273">
        <v>46029</v>
      </c>
      <c r="K59" s="273">
        <v>46038</v>
      </c>
      <c r="L59" s="343" t="s">
        <v>1256</v>
      </c>
      <c r="M59" s="343" t="s">
        <v>1257</v>
      </c>
      <c r="AJ59" s="55" t="s">
        <v>861</v>
      </c>
    </row>
    <row r="60" spans="2:36" ht="45">
      <c r="B60" s="47" t="s">
        <v>864</v>
      </c>
      <c r="C60" s="48" t="s">
        <v>1304</v>
      </c>
      <c r="D60" s="48" t="s">
        <v>985</v>
      </c>
      <c r="E60" s="49" t="s">
        <v>1254</v>
      </c>
      <c r="F60" s="344" t="s">
        <v>986</v>
      </c>
      <c r="G60" s="273">
        <v>45946</v>
      </c>
      <c r="H60" s="273" t="s">
        <v>1302</v>
      </c>
      <c r="I60" s="273">
        <v>46008</v>
      </c>
      <c r="J60" s="273">
        <v>46029</v>
      </c>
      <c r="K60" s="273">
        <v>46038</v>
      </c>
      <c r="L60" s="343" t="s">
        <v>1256</v>
      </c>
      <c r="M60" s="343" t="s">
        <v>1257</v>
      </c>
      <c r="AJ60" s="55" t="s">
        <v>861</v>
      </c>
    </row>
    <row r="61" spans="2:36" ht="45">
      <c r="B61" s="47" t="s">
        <v>864</v>
      </c>
      <c r="C61" s="48" t="s">
        <v>1071</v>
      </c>
      <c r="D61" s="48" t="s">
        <v>993</v>
      </c>
      <c r="E61" s="49" t="s">
        <v>1254</v>
      </c>
      <c r="F61" s="344" t="s">
        <v>994</v>
      </c>
      <c r="G61" s="273">
        <v>45946</v>
      </c>
      <c r="H61" s="273" t="s">
        <v>1302</v>
      </c>
      <c r="I61" s="273">
        <v>46008</v>
      </c>
      <c r="J61" s="273">
        <v>46029</v>
      </c>
      <c r="K61" s="273">
        <v>46038</v>
      </c>
      <c r="L61" s="343" t="s">
        <v>1256</v>
      </c>
      <c r="M61" s="343" t="s">
        <v>1257</v>
      </c>
      <c r="AJ61" s="55" t="s">
        <v>861</v>
      </c>
    </row>
    <row r="62" spans="2:36" ht="45">
      <c r="B62" s="47" t="s">
        <v>864</v>
      </c>
      <c r="C62" s="48" t="s">
        <v>1071</v>
      </c>
      <c r="D62" s="48" t="s">
        <v>1029</v>
      </c>
      <c r="E62" s="49" t="s">
        <v>1254</v>
      </c>
      <c r="F62" s="344" t="s">
        <v>1030</v>
      </c>
      <c r="G62" s="273">
        <v>45946</v>
      </c>
      <c r="H62" s="273" t="s">
        <v>1302</v>
      </c>
      <c r="I62" s="273">
        <v>46008</v>
      </c>
      <c r="J62" s="273">
        <v>46029</v>
      </c>
      <c r="K62" s="273">
        <v>46038</v>
      </c>
      <c r="L62" s="343" t="s">
        <v>1256</v>
      </c>
      <c r="M62" s="343" t="s">
        <v>1257</v>
      </c>
      <c r="AJ62" s="55" t="s">
        <v>861</v>
      </c>
    </row>
    <row r="63" spans="2:36" ht="45">
      <c r="B63" s="47" t="s">
        <v>864</v>
      </c>
      <c r="C63" s="48" t="s">
        <v>1071</v>
      </c>
      <c r="D63" s="48" t="s">
        <v>1003</v>
      </c>
      <c r="E63" s="49" t="s">
        <v>1254</v>
      </c>
      <c r="F63" s="344" t="s">
        <v>1004</v>
      </c>
      <c r="G63" s="273">
        <v>45946</v>
      </c>
      <c r="H63" s="273" t="s">
        <v>1302</v>
      </c>
      <c r="I63" s="273">
        <v>46008</v>
      </c>
      <c r="J63" s="273">
        <v>46029</v>
      </c>
      <c r="K63" s="273">
        <v>46038</v>
      </c>
      <c r="L63" s="343" t="s">
        <v>1256</v>
      </c>
      <c r="M63" s="343" t="s">
        <v>1257</v>
      </c>
      <c r="AJ63" s="55" t="s">
        <v>861</v>
      </c>
    </row>
    <row r="64" spans="2:36" ht="45">
      <c r="B64" s="47" t="s">
        <v>864</v>
      </c>
      <c r="C64" s="48" t="s">
        <v>1071</v>
      </c>
      <c r="D64" s="48" t="s">
        <v>1005</v>
      </c>
      <c r="E64" s="49" t="s">
        <v>1254</v>
      </c>
      <c r="F64" s="344" t="s">
        <v>1006</v>
      </c>
      <c r="G64" s="273">
        <v>45946</v>
      </c>
      <c r="H64" s="273" t="s">
        <v>1302</v>
      </c>
      <c r="I64" s="273">
        <v>46008</v>
      </c>
      <c r="J64" s="273">
        <v>46029</v>
      </c>
      <c r="K64" s="273">
        <v>46038</v>
      </c>
      <c r="L64" s="343" t="s">
        <v>1256</v>
      </c>
      <c r="M64" s="343" t="s">
        <v>1257</v>
      </c>
      <c r="AJ64" s="55" t="s">
        <v>861</v>
      </c>
    </row>
    <row r="65" spans="2:36" ht="45">
      <c r="B65" s="47" t="s">
        <v>864</v>
      </c>
      <c r="C65" s="48" t="s">
        <v>1071</v>
      </c>
      <c r="D65" s="48" t="s">
        <v>987</v>
      </c>
      <c r="E65" s="49" t="s">
        <v>1254</v>
      </c>
      <c r="F65" s="344" t="s">
        <v>988</v>
      </c>
      <c r="G65" s="273">
        <v>45946</v>
      </c>
      <c r="H65" s="273" t="s">
        <v>1302</v>
      </c>
      <c r="I65" s="273">
        <v>46008</v>
      </c>
      <c r="J65" s="273">
        <v>46029</v>
      </c>
      <c r="K65" s="273">
        <v>46038</v>
      </c>
      <c r="L65" s="343" t="s">
        <v>1256</v>
      </c>
      <c r="M65" s="343" t="s">
        <v>1257</v>
      </c>
      <c r="AJ65" s="55" t="s">
        <v>861</v>
      </c>
    </row>
    <row r="66" spans="2:36" ht="45">
      <c r="B66" s="47" t="s">
        <v>864</v>
      </c>
      <c r="C66" s="48" t="s">
        <v>1071</v>
      </c>
      <c r="D66" s="48" t="s">
        <v>989</v>
      </c>
      <c r="E66" s="49" t="s">
        <v>1254</v>
      </c>
      <c r="F66" s="344" t="s">
        <v>990</v>
      </c>
      <c r="G66" s="273">
        <v>45946</v>
      </c>
      <c r="H66" s="273" t="s">
        <v>1302</v>
      </c>
      <c r="I66" s="273">
        <v>46008</v>
      </c>
      <c r="J66" s="273">
        <v>46029</v>
      </c>
      <c r="K66" s="273">
        <v>46038</v>
      </c>
      <c r="L66" s="343" t="s">
        <v>1256</v>
      </c>
      <c r="M66" s="343" t="s">
        <v>1257</v>
      </c>
      <c r="AJ66" s="55" t="s">
        <v>861</v>
      </c>
    </row>
    <row r="67" spans="2:36" ht="45">
      <c r="B67" s="47" t="s">
        <v>864</v>
      </c>
      <c r="C67" s="48" t="s">
        <v>1305</v>
      </c>
      <c r="D67" s="48" t="s">
        <v>1306</v>
      </c>
      <c r="E67" s="49" t="s">
        <v>1254</v>
      </c>
      <c r="F67" s="344" t="s">
        <v>1307</v>
      </c>
      <c r="G67" s="273">
        <v>45946</v>
      </c>
      <c r="H67" s="273" t="s">
        <v>1302</v>
      </c>
      <c r="I67" s="273">
        <v>46008</v>
      </c>
      <c r="J67" s="273">
        <v>46029</v>
      </c>
      <c r="K67" s="273">
        <v>46038</v>
      </c>
      <c r="L67" s="343" t="s">
        <v>1256</v>
      </c>
      <c r="M67" s="343" t="s">
        <v>1257</v>
      </c>
      <c r="AJ67" s="55" t="s">
        <v>861</v>
      </c>
    </row>
    <row r="68" spans="2:36" ht="45">
      <c r="B68" s="47" t="s">
        <v>864</v>
      </c>
      <c r="C68" s="48" t="s">
        <v>1308</v>
      </c>
      <c r="D68" s="48" t="s">
        <v>874</v>
      </c>
      <c r="E68" s="49" t="s">
        <v>1254</v>
      </c>
      <c r="F68" s="344" t="s">
        <v>875</v>
      </c>
      <c r="G68" s="273">
        <v>45946</v>
      </c>
      <c r="H68" s="273" t="s">
        <v>1302</v>
      </c>
      <c r="I68" s="273">
        <v>46008</v>
      </c>
      <c r="J68" s="273">
        <v>46029</v>
      </c>
      <c r="K68" s="273">
        <v>46038</v>
      </c>
      <c r="L68" s="343" t="s">
        <v>1256</v>
      </c>
      <c r="M68" s="343" t="s">
        <v>1257</v>
      </c>
      <c r="AJ68" s="55" t="s">
        <v>861</v>
      </c>
    </row>
    <row r="69" spans="2:36" ht="45">
      <c r="B69" s="47" t="s">
        <v>864</v>
      </c>
      <c r="C69" s="48" t="s">
        <v>1308</v>
      </c>
      <c r="D69" s="48" t="s">
        <v>876</v>
      </c>
      <c r="E69" s="49" t="s">
        <v>1254</v>
      </c>
      <c r="F69" s="344" t="s">
        <v>877</v>
      </c>
      <c r="G69" s="273">
        <v>45946</v>
      </c>
      <c r="H69" s="273" t="s">
        <v>1302</v>
      </c>
      <c r="I69" s="273">
        <v>46008</v>
      </c>
      <c r="J69" s="273">
        <v>46029</v>
      </c>
      <c r="K69" s="273">
        <v>46038</v>
      </c>
      <c r="L69" s="343" t="s">
        <v>1256</v>
      </c>
      <c r="M69" s="343" t="s">
        <v>1257</v>
      </c>
      <c r="AJ69" s="55" t="s">
        <v>861</v>
      </c>
    </row>
    <row r="70" spans="2:36" ht="45">
      <c r="B70" s="47" t="s">
        <v>864</v>
      </c>
      <c r="C70" s="48" t="s">
        <v>1308</v>
      </c>
      <c r="D70" s="48" t="s">
        <v>878</v>
      </c>
      <c r="E70" s="49" t="s">
        <v>1254</v>
      </c>
      <c r="F70" s="344" t="s">
        <v>879</v>
      </c>
      <c r="G70" s="273">
        <v>45946</v>
      </c>
      <c r="H70" s="273" t="s">
        <v>1302</v>
      </c>
      <c r="I70" s="273">
        <v>46008</v>
      </c>
      <c r="J70" s="273">
        <v>46029</v>
      </c>
      <c r="K70" s="273">
        <v>46038</v>
      </c>
      <c r="L70" s="343" t="s">
        <v>1256</v>
      </c>
      <c r="M70" s="343" t="s">
        <v>1257</v>
      </c>
      <c r="AJ70" s="55" t="s">
        <v>861</v>
      </c>
    </row>
    <row r="71" spans="2:36" ht="45">
      <c r="B71" s="47" t="s">
        <v>864</v>
      </c>
      <c r="C71" s="48" t="s">
        <v>1309</v>
      </c>
      <c r="D71" s="48" t="s">
        <v>967</v>
      </c>
      <c r="E71" s="49" t="s">
        <v>1254</v>
      </c>
      <c r="F71" s="344" t="s">
        <v>968</v>
      </c>
      <c r="G71" s="273">
        <v>45946</v>
      </c>
      <c r="H71" s="273" t="s">
        <v>1302</v>
      </c>
      <c r="I71" s="273">
        <v>46008</v>
      </c>
      <c r="J71" s="273">
        <v>46029</v>
      </c>
      <c r="K71" s="273">
        <v>46038</v>
      </c>
      <c r="L71" s="343" t="s">
        <v>1256</v>
      </c>
      <c r="M71" s="343" t="s">
        <v>1257</v>
      </c>
      <c r="AJ71" s="55" t="s">
        <v>861</v>
      </c>
    </row>
    <row r="72" spans="2:36" ht="45">
      <c r="B72" s="47" t="s">
        <v>864</v>
      </c>
      <c r="C72" s="48" t="s">
        <v>1310</v>
      </c>
      <c r="D72" s="48" t="s">
        <v>1311</v>
      </c>
      <c r="E72" s="49" t="s">
        <v>1254</v>
      </c>
      <c r="F72" s="344" t="s">
        <v>1312</v>
      </c>
      <c r="G72" s="273">
        <v>45946</v>
      </c>
      <c r="H72" s="273" t="s">
        <v>1302</v>
      </c>
      <c r="I72" s="273">
        <v>46008</v>
      </c>
      <c r="J72" s="273">
        <v>46029</v>
      </c>
      <c r="K72" s="273">
        <v>46038</v>
      </c>
      <c r="L72" s="343" t="s">
        <v>1256</v>
      </c>
      <c r="M72" s="343" t="s">
        <v>1257</v>
      </c>
      <c r="AJ72" s="55" t="s">
        <v>861</v>
      </c>
    </row>
  </sheetData>
  <sheetProtection algorithmName="SHA-512" hashValue="qZjyI4oSuemg0IJkbZuX4vOQpykdt/262SjTXQA8EKSZ2uTvKQM0+J75NZ4ecP0L4F7ndlijOrKt4LVDWOlWJQ==" saltValue="7LqAcIFnvf/efirpu61vYw==" spinCount="100000" sheet="1" sort="0" autoFilter="0"/>
  <autoFilter ref="B17:BU18" xr:uid="{FF2E6C39-9615-4722-A2E3-F6DFC315E753}">
    <sortState xmlns:xlrd2="http://schemas.microsoft.com/office/spreadsheetml/2017/richdata2" ref="B18:BU72">
      <sortCondition ref="I17:I18"/>
    </sortState>
  </autoFilter>
  <mergeCells count="22">
    <mergeCell ref="S16:W16"/>
    <mergeCell ref="F3:M3"/>
    <mergeCell ref="F4:M4"/>
    <mergeCell ref="F5:M5"/>
    <mergeCell ref="F6:M6"/>
    <mergeCell ref="F7:M7"/>
    <mergeCell ref="F8:M8"/>
    <mergeCell ref="F9:M9"/>
    <mergeCell ref="F10:M10"/>
    <mergeCell ref="F11:M11"/>
    <mergeCell ref="F12:M12"/>
    <mergeCell ref="N16:R16"/>
    <mergeCell ref="BB16:BF16"/>
    <mergeCell ref="BG16:BK16"/>
    <mergeCell ref="BL16:BP16"/>
    <mergeCell ref="BQ16:BU16"/>
    <mergeCell ref="X16:AB16"/>
    <mergeCell ref="AC16:AG16"/>
    <mergeCell ref="AH16:AL16"/>
    <mergeCell ref="AM16:AQ16"/>
    <mergeCell ref="AR16:AV16"/>
    <mergeCell ref="AW16:BA1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1E875-D5DD-4F08-A75A-30B9F7BF73FD}">
  <dimension ref="B1:BU57"/>
  <sheetViews>
    <sheetView zoomScale="55" zoomScaleNormal="55" workbookViewId="0">
      <pane xSplit="13" ySplit="17" topLeftCell="X39" activePane="bottomRight" state="frozen"/>
      <selection pane="bottomRight" activeCell="B18" sqref="B18"/>
      <selection pane="bottomLeft" activeCell="A18" sqref="A18"/>
      <selection pane="topRight" activeCell="N1" sqref="N1"/>
    </sheetView>
  </sheetViews>
  <sheetFormatPr defaultColWidth="10.42578125" defaultRowHeight="15"/>
  <cols>
    <col min="1" max="1" width="4.5703125" style="7" customWidth="1"/>
    <col min="2" max="2" width="17.140625" style="7" customWidth="1"/>
    <col min="3" max="3" width="33.7109375" style="7" bestFit="1" customWidth="1"/>
    <col min="4" max="5" width="33.7109375" style="7" customWidth="1"/>
    <col min="6" max="6" width="58.5703125" style="8" bestFit="1" customWidth="1"/>
    <col min="7" max="7" width="18" style="8" customWidth="1"/>
    <col min="8" max="9" width="16.28515625" style="8" bestFit="1" customWidth="1"/>
    <col min="10" max="11" width="16.28515625" style="8" customWidth="1"/>
    <col min="12" max="12" width="15" style="8" customWidth="1"/>
    <col min="13" max="13" width="25" style="8" customWidth="1"/>
    <col min="14" max="14" width="17.85546875" style="7" customWidth="1"/>
    <col min="15" max="15" width="26.28515625" style="7" bestFit="1" customWidth="1"/>
    <col min="16" max="16" width="24.7109375" style="7" bestFit="1" customWidth="1"/>
    <col min="17" max="21" width="26.28515625" style="7" bestFit="1" customWidth="1"/>
    <col min="22" max="24" width="17.85546875" style="7" customWidth="1"/>
    <col min="25" max="25" width="26.28515625" style="7" bestFit="1" customWidth="1"/>
    <col min="26" max="73" width="17.85546875" style="7" customWidth="1"/>
    <col min="74" max="16384" width="10.42578125" style="7"/>
  </cols>
  <sheetData>
    <row r="1" spans="2:73" ht="39.75">
      <c r="B1" s="6" t="s">
        <v>1213</v>
      </c>
    </row>
    <row r="2" spans="2:73" ht="39.75">
      <c r="B2" s="6"/>
    </row>
    <row r="3" spans="2:73" ht="18.75" customHeight="1">
      <c r="B3" s="17"/>
      <c r="F3" s="366" t="s">
        <v>0</v>
      </c>
      <c r="G3" s="366"/>
      <c r="H3" s="366"/>
      <c r="I3" s="366"/>
      <c r="J3" s="366"/>
      <c r="K3" s="366"/>
      <c r="L3" s="366"/>
      <c r="M3" s="366"/>
    </row>
    <row r="4" spans="2:73" ht="18.75" customHeight="1">
      <c r="B4" s="17"/>
      <c r="F4" s="365" t="s">
        <v>1214</v>
      </c>
      <c r="G4" s="365"/>
      <c r="H4" s="365"/>
      <c r="I4" s="365"/>
      <c r="J4" s="365"/>
      <c r="K4" s="365"/>
      <c r="L4" s="365"/>
      <c r="M4" s="365"/>
    </row>
    <row r="5" spans="2:73" ht="18.75" customHeight="1">
      <c r="B5" s="6"/>
      <c r="F5" s="365" t="s">
        <v>1215</v>
      </c>
      <c r="G5" s="365"/>
      <c r="H5" s="365"/>
      <c r="I5" s="365"/>
      <c r="J5" s="365"/>
      <c r="K5" s="365"/>
      <c r="L5" s="365"/>
      <c r="M5" s="365"/>
    </row>
    <row r="6" spans="2:73" ht="18.75" customHeight="1">
      <c r="B6" s="6"/>
      <c r="F6" s="367" t="s">
        <v>1216</v>
      </c>
      <c r="G6" s="367"/>
      <c r="H6" s="367"/>
      <c r="I6" s="367"/>
      <c r="J6" s="367"/>
      <c r="K6" s="367"/>
      <c r="L6" s="367"/>
      <c r="M6" s="367"/>
    </row>
    <row r="7" spans="2:73" ht="18.75" customHeight="1">
      <c r="F7" s="366" t="s">
        <v>33</v>
      </c>
      <c r="G7" s="366"/>
      <c r="H7" s="366"/>
      <c r="I7" s="366"/>
      <c r="J7" s="366"/>
      <c r="K7" s="366"/>
      <c r="L7" s="366"/>
      <c r="M7" s="366"/>
    </row>
    <row r="8" spans="2:73" ht="18.75" customHeight="1">
      <c r="F8" s="365" t="s">
        <v>1217</v>
      </c>
      <c r="G8" s="365"/>
      <c r="H8" s="365"/>
      <c r="I8" s="365"/>
      <c r="J8" s="365"/>
      <c r="K8" s="365"/>
      <c r="L8" s="365"/>
      <c r="M8" s="365"/>
    </row>
    <row r="9" spans="2:73" ht="21.75" customHeight="1">
      <c r="F9" s="365" t="s">
        <v>1218</v>
      </c>
      <c r="G9" s="365"/>
      <c r="H9" s="365"/>
      <c r="I9" s="365"/>
      <c r="J9" s="365"/>
      <c r="K9" s="365"/>
      <c r="L9" s="365"/>
      <c r="M9" s="365"/>
    </row>
    <row r="10" spans="2:73" ht="18">
      <c r="F10" s="365" t="s">
        <v>1219</v>
      </c>
      <c r="G10" s="365"/>
      <c r="H10" s="365"/>
      <c r="I10" s="365"/>
      <c r="J10" s="365"/>
      <c r="K10" s="365"/>
      <c r="L10" s="365"/>
      <c r="M10" s="365"/>
      <c r="O10" s="49"/>
      <c r="P10" s="49"/>
      <c r="Q10" s="49"/>
      <c r="R10" s="49"/>
    </row>
    <row r="11" spans="2:73" ht="34.5" customHeight="1">
      <c r="F11" s="365" t="s">
        <v>1220</v>
      </c>
      <c r="G11" s="365"/>
      <c r="H11" s="365"/>
      <c r="I11" s="365"/>
      <c r="J11" s="365"/>
      <c r="K11" s="365"/>
      <c r="L11" s="365"/>
      <c r="M11" s="365"/>
      <c r="O11" s="49"/>
      <c r="P11" s="49"/>
      <c r="Q11" s="49"/>
      <c r="R11" s="49"/>
      <c r="T11" s="322" t="s">
        <v>778</v>
      </c>
      <c r="U11" s="322" t="s">
        <v>786</v>
      </c>
      <c r="Y11" s="322" t="s">
        <v>801</v>
      </c>
    </row>
    <row r="12" spans="2:73" ht="18">
      <c r="F12" s="367" t="s">
        <v>1216</v>
      </c>
      <c r="G12" s="367"/>
      <c r="H12" s="367"/>
      <c r="I12" s="367"/>
      <c r="J12" s="367"/>
      <c r="K12" s="367"/>
      <c r="L12" s="367"/>
      <c r="M12" s="367"/>
      <c r="O12" s="49"/>
      <c r="P12" s="49"/>
      <c r="Q12" s="49"/>
      <c r="T12" s="322" t="s">
        <v>1228</v>
      </c>
    </row>
    <row r="13" spans="2:73">
      <c r="F13" s="12"/>
    </row>
    <row r="14" spans="2:73" s="13" customFormat="1" ht="39.75">
      <c r="F14" s="14"/>
      <c r="G14" s="15"/>
      <c r="H14" s="15"/>
      <c r="I14" s="15"/>
      <c r="J14" s="15"/>
      <c r="K14" s="15"/>
      <c r="L14" s="15"/>
      <c r="M14" s="15"/>
    </row>
    <row r="15" spans="2:73">
      <c r="F15" s="22"/>
      <c r="G15" s="23"/>
      <c r="H15" s="23"/>
      <c r="I15" s="23"/>
      <c r="J15" s="23"/>
      <c r="K15" s="23"/>
      <c r="L15" s="23"/>
      <c r="M15" s="23"/>
    </row>
    <row r="16" spans="2:73" s="13" customFormat="1" ht="18">
      <c r="B16" s="25" t="s">
        <v>855</v>
      </c>
      <c r="C16" s="26" t="s">
        <v>856</v>
      </c>
      <c r="D16" s="27" t="s">
        <v>857</v>
      </c>
      <c r="E16" s="27" t="s">
        <v>858</v>
      </c>
      <c r="F16" s="28" t="s">
        <v>859</v>
      </c>
      <c r="G16" s="28" t="s">
        <v>1229</v>
      </c>
      <c r="H16" s="28" t="s">
        <v>860</v>
      </c>
      <c r="I16" s="29" t="s">
        <v>861</v>
      </c>
      <c r="J16" s="29" t="s">
        <v>1230</v>
      </c>
      <c r="K16" s="29" t="s">
        <v>1231</v>
      </c>
      <c r="L16" s="29" t="s">
        <v>1232</v>
      </c>
      <c r="M16" s="29" t="s">
        <v>140</v>
      </c>
      <c r="N16" s="370" t="s">
        <v>1235</v>
      </c>
      <c r="O16" s="371"/>
      <c r="P16" s="371"/>
      <c r="Q16" s="371"/>
      <c r="R16" s="372"/>
      <c r="S16" s="373" t="s">
        <v>1236</v>
      </c>
      <c r="T16" s="374"/>
      <c r="U16" s="374"/>
      <c r="V16" s="374"/>
      <c r="W16" s="374"/>
      <c r="X16" s="368" t="s">
        <v>1237</v>
      </c>
      <c r="Y16" s="368"/>
      <c r="Z16" s="368"/>
      <c r="AA16" s="368"/>
      <c r="AB16" s="369"/>
      <c r="AC16" s="362" t="s">
        <v>1238</v>
      </c>
      <c r="AD16" s="363"/>
      <c r="AE16" s="363"/>
      <c r="AF16" s="363"/>
      <c r="AG16" s="364"/>
      <c r="AH16" s="359" t="s">
        <v>1239</v>
      </c>
      <c r="AI16" s="360"/>
      <c r="AJ16" s="360"/>
      <c r="AK16" s="360"/>
      <c r="AL16" s="361"/>
      <c r="AM16" s="362" t="s">
        <v>1240</v>
      </c>
      <c r="AN16" s="363"/>
      <c r="AO16" s="363"/>
      <c r="AP16" s="363"/>
      <c r="AQ16" s="364"/>
      <c r="AR16" s="359" t="s">
        <v>1241</v>
      </c>
      <c r="AS16" s="360"/>
      <c r="AT16" s="360"/>
      <c r="AU16" s="360"/>
      <c r="AV16" s="361"/>
      <c r="AW16" s="370" t="s">
        <v>1242</v>
      </c>
      <c r="AX16" s="371"/>
      <c r="AY16" s="371"/>
      <c r="AZ16" s="371"/>
      <c r="BA16" s="372"/>
      <c r="BB16" s="373" t="s">
        <v>1243</v>
      </c>
      <c r="BC16" s="374"/>
      <c r="BD16" s="374"/>
      <c r="BE16" s="374"/>
      <c r="BF16" s="374"/>
      <c r="BG16" s="368" t="s">
        <v>1244</v>
      </c>
      <c r="BH16" s="368"/>
      <c r="BI16" s="368"/>
      <c r="BJ16" s="368"/>
      <c r="BK16" s="369"/>
      <c r="BL16" s="362" t="s">
        <v>1245</v>
      </c>
      <c r="BM16" s="363"/>
      <c r="BN16" s="363"/>
      <c r="BO16" s="363"/>
      <c r="BP16" s="364"/>
      <c r="BQ16" s="359" t="s">
        <v>1246</v>
      </c>
      <c r="BR16" s="360"/>
      <c r="BS16" s="360"/>
      <c r="BT16" s="360"/>
      <c r="BU16" s="361"/>
    </row>
    <row r="17" spans="2:73" s="21" customFormat="1" ht="18">
      <c r="B17" s="30"/>
      <c r="C17" s="31"/>
      <c r="D17" s="32"/>
      <c r="E17" s="32"/>
      <c r="F17" s="33"/>
      <c r="G17" s="33"/>
      <c r="H17" s="33"/>
      <c r="I17" s="34"/>
      <c r="J17" s="34"/>
      <c r="K17" s="34"/>
      <c r="L17" s="29" t="s">
        <v>856</v>
      </c>
      <c r="M17" s="29" t="s">
        <v>1247</v>
      </c>
      <c r="N17" s="45" t="s">
        <v>1248</v>
      </c>
      <c r="O17" s="46" t="s">
        <v>1249</v>
      </c>
      <c r="P17" s="44" t="s">
        <v>1250</v>
      </c>
      <c r="Q17" s="44" t="s">
        <v>1251</v>
      </c>
      <c r="R17" s="44" t="s">
        <v>1252</v>
      </c>
      <c r="S17" s="35" t="s">
        <v>1248</v>
      </c>
      <c r="T17" s="36" t="s">
        <v>1249</v>
      </c>
      <c r="U17" s="36" t="s">
        <v>1250</v>
      </c>
      <c r="V17" s="36" t="s">
        <v>1251</v>
      </c>
      <c r="W17" s="36" t="s">
        <v>1252</v>
      </c>
      <c r="X17" s="37" t="s">
        <v>1248</v>
      </c>
      <c r="Y17" s="38" t="s">
        <v>1249</v>
      </c>
      <c r="Z17" s="38" t="s">
        <v>1250</v>
      </c>
      <c r="AA17" s="38" t="s">
        <v>1251</v>
      </c>
      <c r="AB17" s="38" t="s">
        <v>1252</v>
      </c>
      <c r="AC17" s="39" t="s">
        <v>1248</v>
      </c>
      <c r="AD17" s="40" t="s">
        <v>1249</v>
      </c>
      <c r="AE17" s="40" t="s">
        <v>1250</v>
      </c>
      <c r="AF17" s="40" t="s">
        <v>1251</v>
      </c>
      <c r="AG17" s="39" t="s">
        <v>1252</v>
      </c>
      <c r="AH17" s="41" t="s">
        <v>1248</v>
      </c>
      <c r="AI17" s="42" t="s">
        <v>1249</v>
      </c>
      <c r="AJ17" s="42" t="s">
        <v>1250</v>
      </c>
      <c r="AK17" s="42" t="s">
        <v>1251</v>
      </c>
      <c r="AL17" s="42" t="s">
        <v>1252</v>
      </c>
      <c r="AM17" s="39" t="s">
        <v>1248</v>
      </c>
      <c r="AN17" s="40" t="s">
        <v>1249</v>
      </c>
      <c r="AO17" s="40" t="s">
        <v>1250</v>
      </c>
      <c r="AP17" s="40" t="s">
        <v>1251</v>
      </c>
      <c r="AQ17" s="39" t="s">
        <v>1252</v>
      </c>
      <c r="AR17" s="41" t="s">
        <v>1248</v>
      </c>
      <c r="AS17" s="42" t="s">
        <v>1249</v>
      </c>
      <c r="AT17" s="42" t="s">
        <v>1250</v>
      </c>
      <c r="AU17" s="42" t="s">
        <v>1251</v>
      </c>
      <c r="AV17" s="42" t="s">
        <v>1252</v>
      </c>
      <c r="AW17" s="43" t="s">
        <v>1248</v>
      </c>
      <c r="AX17" s="44" t="s">
        <v>1249</v>
      </c>
      <c r="AY17" s="44" t="s">
        <v>1250</v>
      </c>
      <c r="AZ17" s="44" t="s">
        <v>1251</v>
      </c>
      <c r="BA17" s="44" t="s">
        <v>1252</v>
      </c>
      <c r="BB17" s="35" t="s">
        <v>1248</v>
      </c>
      <c r="BC17" s="36" t="s">
        <v>1249</v>
      </c>
      <c r="BD17" s="36" t="s">
        <v>1250</v>
      </c>
      <c r="BE17" s="36" t="s">
        <v>1251</v>
      </c>
      <c r="BF17" s="36" t="s">
        <v>1252</v>
      </c>
      <c r="BG17" s="37" t="s">
        <v>1248</v>
      </c>
      <c r="BH17" s="38" t="s">
        <v>1249</v>
      </c>
      <c r="BI17" s="38" t="s">
        <v>1250</v>
      </c>
      <c r="BJ17" s="38" t="s">
        <v>1251</v>
      </c>
      <c r="BK17" s="38" t="s">
        <v>1252</v>
      </c>
      <c r="BL17" s="39" t="s">
        <v>1248</v>
      </c>
      <c r="BM17" s="40" t="s">
        <v>1249</v>
      </c>
      <c r="BN17" s="40" t="s">
        <v>1250</v>
      </c>
      <c r="BO17" s="40" t="s">
        <v>1251</v>
      </c>
      <c r="BP17" s="39" t="s">
        <v>1252</v>
      </c>
      <c r="BQ17" s="41" t="s">
        <v>1248</v>
      </c>
      <c r="BR17" s="42" t="s">
        <v>1249</v>
      </c>
      <c r="BS17" s="42" t="s">
        <v>1250</v>
      </c>
      <c r="BT17" s="42" t="s">
        <v>1251</v>
      </c>
      <c r="BU17" s="42" t="s">
        <v>1252</v>
      </c>
    </row>
    <row r="18" spans="2:73" ht="45">
      <c r="B18" s="110" t="s">
        <v>899</v>
      </c>
      <c r="C18" s="111" t="s">
        <v>1064</v>
      </c>
      <c r="D18" s="111" t="s">
        <v>1067</v>
      </c>
      <c r="E18" s="112" t="s">
        <v>1254</v>
      </c>
      <c r="F18" s="143" t="s">
        <v>1068</v>
      </c>
      <c r="G18" s="273">
        <v>45917</v>
      </c>
      <c r="H18" s="273">
        <v>45950</v>
      </c>
      <c r="I18" s="273">
        <v>45971</v>
      </c>
      <c r="J18" s="273">
        <v>45992</v>
      </c>
      <c r="K18" s="273">
        <v>46006</v>
      </c>
      <c r="L18" s="116" t="s">
        <v>1313</v>
      </c>
      <c r="M18" s="116" t="s">
        <v>1314</v>
      </c>
      <c r="AA18" s="137" t="s">
        <v>860</v>
      </c>
      <c r="AE18" s="55" t="s">
        <v>861</v>
      </c>
    </row>
    <row r="19" spans="2:73" ht="45">
      <c r="B19" s="110" t="s">
        <v>899</v>
      </c>
      <c r="C19" s="111" t="s">
        <v>1056</v>
      </c>
      <c r="D19" s="111" t="s">
        <v>1069</v>
      </c>
      <c r="E19" s="112" t="s">
        <v>1254</v>
      </c>
      <c r="F19" s="143" t="s">
        <v>1070</v>
      </c>
      <c r="G19" s="273">
        <v>45917</v>
      </c>
      <c r="H19" s="273">
        <v>45950</v>
      </c>
      <c r="I19" s="273">
        <v>45971</v>
      </c>
      <c r="J19" s="273">
        <v>45992</v>
      </c>
      <c r="K19" s="273">
        <v>46006</v>
      </c>
      <c r="L19" s="116" t="s">
        <v>1313</v>
      </c>
      <c r="M19" s="116" t="s">
        <v>1314</v>
      </c>
      <c r="AA19" s="137" t="s">
        <v>860</v>
      </c>
      <c r="AE19" s="55" t="s">
        <v>861</v>
      </c>
    </row>
    <row r="20" spans="2:73" ht="45">
      <c r="B20" s="110" t="s">
        <v>899</v>
      </c>
      <c r="C20" s="48" t="s">
        <v>1059</v>
      </c>
      <c r="D20" s="48" t="s">
        <v>1062</v>
      </c>
      <c r="E20" s="49" t="s">
        <v>1254</v>
      </c>
      <c r="F20" s="344" t="s">
        <v>1063</v>
      </c>
      <c r="G20" s="273">
        <v>45917</v>
      </c>
      <c r="H20" s="273">
        <v>45950</v>
      </c>
      <c r="I20" s="273">
        <v>45971</v>
      </c>
      <c r="J20" s="273">
        <v>45992</v>
      </c>
      <c r="K20" s="273">
        <v>46006</v>
      </c>
      <c r="L20" s="116" t="s">
        <v>1313</v>
      </c>
      <c r="M20" s="116" t="s">
        <v>1314</v>
      </c>
      <c r="AA20" s="137" t="s">
        <v>860</v>
      </c>
      <c r="AE20" s="55" t="s">
        <v>861</v>
      </c>
    </row>
    <row r="21" spans="2:73" ht="45">
      <c r="B21" s="110" t="s">
        <v>899</v>
      </c>
      <c r="C21" s="48" t="s">
        <v>1064</v>
      </c>
      <c r="D21" s="48" t="s">
        <v>1065</v>
      </c>
      <c r="E21" s="49" t="s">
        <v>1254</v>
      </c>
      <c r="F21" s="344" t="s">
        <v>1066</v>
      </c>
      <c r="G21" s="273">
        <v>45917</v>
      </c>
      <c r="H21" s="273">
        <v>45950</v>
      </c>
      <c r="I21" s="273">
        <v>45971</v>
      </c>
      <c r="J21" s="273">
        <v>45992</v>
      </c>
      <c r="K21" s="273">
        <v>46006</v>
      </c>
      <c r="L21" s="116" t="s">
        <v>1313</v>
      </c>
      <c r="M21" s="116" t="s">
        <v>1314</v>
      </c>
      <c r="AA21" s="137" t="s">
        <v>860</v>
      </c>
      <c r="AE21" s="55" t="s">
        <v>861</v>
      </c>
    </row>
    <row r="22" spans="2:73" ht="45">
      <c r="B22" s="110" t="s">
        <v>899</v>
      </c>
      <c r="C22" s="48" t="s">
        <v>1059</v>
      </c>
      <c r="D22" s="48" t="s">
        <v>1060</v>
      </c>
      <c r="E22" s="49" t="s">
        <v>1254</v>
      </c>
      <c r="F22" s="344" t="s">
        <v>1061</v>
      </c>
      <c r="G22" s="273">
        <v>45917</v>
      </c>
      <c r="H22" s="273">
        <v>45950</v>
      </c>
      <c r="I22" s="273">
        <v>45971</v>
      </c>
      <c r="J22" s="273">
        <v>45992</v>
      </c>
      <c r="K22" s="273">
        <v>46006</v>
      </c>
      <c r="L22" s="116" t="s">
        <v>1313</v>
      </c>
      <c r="M22" s="116" t="s">
        <v>1314</v>
      </c>
      <c r="AA22" s="137" t="s">
        <v>860</v>
      </c>
      <c r="AE22" s="55" t="s">
        <v>861</v>
      </c>
    </row>
    <row r="23" spans="2:73" ht="45">
      <c r="B23" s="110" t="s">
        <v>899</v>
      </c>
      <c r="C23" s="48" t="s">
        <v>1059</v>
      </c>
      <c r="D23" s="48" t="s">
        <v>1113</v>
      </c>
      <c r="E23" s="49" t="s">
        <v>1254</v>
      </c>
      <c r="F23" s="344" t="s">
        <v>1114</v>
      </c>
      <c r="G23" s="273">
        <v>45917</v>
      </c>
      <c r="H23" s="273">
        <v>45950</v>
      </c>
      <c r="I23" s="273">
        <v>45971</v>
      </c>
      <c r="J23" s="273">
        <v>45992</v>
      </c>
      <c r="K23" s="273">
        <v>46006</v>
      </c>
      <c r="L23" s="116" t="s">
        <v>1313</v>
      </c>
      <c r="M23" s="116" t="s">
        <v>1314</v>
      </c>
      <c r="AA23" s="137" t="s">
        <v>860</v>
      </c>
      <c r="AE23" s="55" t="s">
        <v>861</v>
      </c>
    </row>
    <row r="24" spans="2:73" ht="45">
      <c r="B24" s="110" t="s">
        <v>899</v>
      </c>
      <c r="C24" s="48" t="s">
        <v>1064</v>
      </c>
      <c r="D24" s="48" t="s">
        <v>1115</v>
      </c>
      <c r="E24" s="49" t="s">
        <v>1254</v>
      </c>
      <c r="F24" s="344" t="s">
        <v>1116</v>
      </c>
      <c r="G24" s="273">
        <v>45917</v>
      </c>
      <c r="H24" s="273">
        <v>45950</v>
      </c>
      <c r="I24" s="273">
        <v>45971</v>
      </c>
      <c r="J24" s="273">
        <v>45992</v>
      </c>
      <c r="K24" s="273">
        <v>46006</v>
      </c>
      <c r="L24" s="116" t="s">
        <v>1313</v>
      </c>
      <c r="M24" s="116" t="s">
        <v>1314</v>
      </c>
      <c r="AA24" s="137" t="s">
        <v>860</v>
      </c>
      <c r="AE24" s="55" t="s">
        <v>861</v>
      </c>
    </row>
    <row r="25" spans="2:73" ht="45">
      <c r="B25" s="110" t="s">
        <v>899</v>
      </c>
      <c r="C25" s="48" t="s">
        <v>1064</v>
      </c>
      <c r="D25" s="48" t="s">
        <v>1117</v>
      </c>
      <c r="E25" s="49" t="s">
        <v>1254</v>
      </c>
      <c r="F25" s="344" t="s">
        <v>1118</v>
      </c>
      <c r="G25" s="273">
        <v>45917</v>
      </c>
      <c r="H25" s="273">
        <v>45950</v>
      </c>
      <c r="I25" s="273">
        <v>45971</v>
      </c>
      <c r="J25" s="273">
        <v>45992</v>
      </c>
      <c r="K25" s="273">
        <v>46006</v>
      </c>
      <c r="L25" s="116" t="s">
        <v>1313</v>
      </c>
      <c r="M25" s="116" t="s">
        <v>1314</v>
      </c>
      <c r="AA25" s="137" t="s">
        <v>860</v>
      </c>
      <c r="AE25" s="55" t="s">
        <v>861</v>
      </c>
    </row>
    <row r="26" spans="2:73" ht="45">
      <c r="B26" s="110" t="s">
        <v>899</v>
      </c>
      <c r="C26" s="48" t="s">
        <v>1064</v>
      </c>
      <c r="D26" s="48" t="s">
        <v>1098</v>
      </c>
      <c r="E26" s="49" t="s">
        <v>1254</v>
      </c>
      <c r="F26" s="344" t="s">
        <v>1099</v>
      </c>
      <c r="G26" s="273">
        <v>45917</v>
      </c>
      <c r="H26" s="273">
        <v>45950</v>
      </c>
      <c r="I26" s="273">
        <v>45971</v>
      </c>
      <c r="J26" s="273">
        <v>45992</v>
      </c>
      <c r="K26" s="273">
        <v>46006</v>
      </c>
      <c r="L26" s="116" t="s">
        <v>1313</v>
      </c>
      <c r="M26" s="116" t="s">
        <v>1314</v>
      </c>
      <c r="AA26" s="137" t="s">
        <v>860</v>
      </c>
      <c r="AE26" s="55" t="s">
        <v>861</v>
      </c>
    </row>
    <row r="27" spans="2:73" ht="45">
      <c r="B27" s="110" t="s">
        <v>899</v>
      </c>
      <c r="C27" s="48" t="s">
        <v>1059</v>
      </c>
      <c r="D27" s="48" t="s">
        <v>1096</v>
      </c>
      <c r="E27" s="49" t="s">
        <v>1254</v>
      </c>
      <c r="F27" s="344" t="s">
        <v>1097</v>
      </c>
      <c r="G27" s="273">
        <v>45917</v>
      </c>
      <c r="H27" s="273">
        <v>45950</v>
      </c>
      <c r="I27" s="273">
        <v>45971</v>
      </c>
      <c r="J27" s="273">
        <v>45992</v>
      </c>
      <c r="K27" s="273">
        <v>46006</v>
      </c>
      <c r="L27" s="116" t="s">
        <v>1313</v>
      </c>
      <c r="M27" s="116" t="s">
        <v>1314</v>
      </c>
      <c r="AA27" s="137" t="s">
        <v>860</v>
      </c>
      <c r="AE27" s="55" t="s">
        <v>861</v>
      </c>
    </row>
    <row r="28" spans="2:73" ht="45">
      <c r="B28" s="110" t="s">
        <v>899</v>
      </c>
      <c r="C28" s="48" t="s">
        <v>1064</v>
      </c>
      <c r="D28" s="48" t="s">
        <v>1137</v>
      </c>
      <c r="E28" s="49" t="s">
        <v>1258</v>
      </c>
      <c r="F28" s="344" t="s">
        <v>1138</v>
      </c>
      <c r="G28" s="273">
        <v>45917</v>
      </c>
      <c r="H28" s="273">
        <v>45950</v>
      </c>
      <c r="I28" s="273">
        <v>45971</v>
      </c>
      <c r="J28" s="273">
        <v>45992</v>
      </c>
      <c r="K28" s="273">
        <v>46006</v>
      </c>
      <c r="L28" s="116" t="s">
        <v>1313</v>
      </c>
      <c r="M28" s="116" t="s">
        <v>1314</v>
      </c>
      <c r="AA28" s="137" t="s">
        <v>860</v>
      </c>
      <c r="AE28" s="55" t="s">
        <v>861</v>
      </c>
    </row>
    <row r="29" spans="2:73" ht="45">
      <c r="B29" s="7" t="s">
        <v>899</v>
      </c>
      <c r="C29" s="116" t="s">
        <v>1304</v>
      </c>
      <c r="D29" s="116" t="s">
        <v>1315</v>
      </c>
      <c r="E29" s="116" t="s">
        <v>1254</v>
      </c>
      <c r="F29" s="345"/>
      <c r="G29" s="273">
        <v>45917</v>
      </c>
      <c r="H29" s="273">
        <v>45950</v>
      </c>
      <c r="I29" s="273">
        <v>45971</v>
      </c>
      <c r="J29" s="273">
        <v>45992</v>
      </c>
      <c r="K29" s="273">
        <v>46006</v>
      </c>
      <c r="L29" s="116" t="s">
        <v>1313</v>
      </c>
      <c r="M29" s="116" t="s">
        <v>1314</v>
      </c>
      <c r="AA29" s="137" t="s">
        <v>860</v>
      </c>
      <c r="AE29" s="55" t="s">
        <v>861</v>
      </c>
    </row>
    <row r="30" spans="2:73" ht="45">
      <c r="B30" s="7" t="s">
        <v>899</v>
      </c>
      <c r="C30" s="116" t="s">
        <v>1316</v>
      </c>
      <c r="D30" s="116" t="s">
        <v>1317</v>
      </c>
      <c r="E30" s="116" t="s">
        <v>1254</v>
      </c>
      <c r="F30" s="345"/>
      <c r="G30" s="273">
        <v>45917</v>
      </c>
      <c r="H30" s="273">
        <v>45950</v>
      </c>
      <c r="I30" s="273">
        <v>45971</v>
      </c>
      <c r="J30" s="273">
        <v>45992</v>
      </c>
      <c r="K30" s="273">
        <v>46006</v>
      </c>
      <c r="L30" s="116" t="s">
        <v>1313</v>
      </c>
      <c r="M30" s="116" t="s">
        <v>1314</v>
      </c>
      <c r="AA30" s="137" t="s">
        <v>860</v>
      </c>
      <c r="AE30" s="55" t="s">
        <v>861</v>
      </c>
    </row>
    <row r="31" spans="2:73" ht="45">
      <c r="B31" s="7" t="s">
        <v>899</v>
      </c>
      <c r="C31" s="48" t="s">
        <v>1316</v>
      </c>
      <c r="D31" s="48" t="s">
        <v>1318</v>
      </c>
      <c r="E31" s="49" t="s">
        <v>1254</v>
      </c>
      <c r="F31" s="344"/>
      <c r="G31" s="273">
        <v>45917</v>
      </c>
      <c r="H31" s="273">
        <v>45950</v>
      </c>
      <c r="I31" s="273">
        <v>45971</v>
      </c>
      <c r="J31" s="273">
        <v>45992</v>
      </c>
      <c r="K31" s="273">
        <v>46006</v>
      </c>
      <c r="L31" s="116" t="s">
        <v>1313</v>
      </c>
      <c r="M31" s="116" t="s">
        <v>1314</v>
      </c>
      <c r="AA31" s="137" t="s">
        <v>860</v>
      </c>
      <c r="AE31" s="55" t="s">
        <v>861</v>
      </c>
    </row>
    <row r="32" spans="2:73" ht="45">
      <c r="B32" s="7" t="s">
        <v>899</v>
      </c>
      <c r="C32" s="48" t="s">
        <v>1316</v>
      </c>
      <c r="D32" s="48" t="s">
        <v>1319</v>
      </c>
      <c r="E32" s="49" t="s">
        <v>1254</v>
      </c>
      <c r="F32" s="344"/>
      <c r="G32" s="273">
        <v>45917</v>
      </c>
      <c r="H32" s="273">
        <v>45950</v>
      </c>
      <c r="I32" s="273">
        <v>45971</v>
      </c>
      <c r="J32" s="273">
        <v>45992</v>
      </c>
      <c r="K32" s="273">
        <v>46006</v>
      </c>
      <c r="L32" s="116" t="s">
        <v>1313</v>
      </c>
      <c r="M32" s="116" t="s">
        <v>1314</v>
      </c>
      <c r="AA32" s="137" t="s">
        <v>860</v>
      </c>
      <c r="AE32" s="55" t="s">
        <v>861</v>
      </c>
    </row>
    <row r="33" spans="2:34" ht="45">
      <c r="B33" s="7" t="s">
        <v>899</v>
      </c>
      <c r="C33" s="48" t="s">
        <v>1320</v>
      </c>
      <c r="D33" s="48" t="s">
        <v>1321</v>
      </c>
      <c r="E33" s="49" t="s">
        <v>1254</v>
      </c>
      <c r="F33" s="344"/>
      <c r="G33" s="273">
        <v>45917</v>
      </c>
      <c r="H33" s="273">
        <v>45950</v>
      </c>
      <c r="I33" s="273">
        <v>45971</v>
      </c>
      <c r="J33" s="273">
        <v>45992</v>
      </c>
      <c r="K33" s="273">
        <v>46006</v>
      </c>
      <c r="L33" s="116" t="s">
        <v>1313</v>
      </c>
      <c r="M33" s="116" t="s">
        <v>1314</v>
      </c>
      <c r="AA33" s="137" t="s">
        <v>860</v>
      </c>
      <c r="AE33" s="55" t="s">
        <v>861</v>
      </c>
    </row>
    <row r="34" spans="2:34" ht="45">
      <c r="B34" s="7" t="s">
        <v>899</v>
      </c>
      <c r="C34" s="48" t="s">
        <v>1320</v>
      </c>
      <c r="D34" s="48" t="s">
        <v>1322</v>
      </c>
      <c r="E34" s="49" t="s">
        <v>1254</v>
      </c>
      <c r="F34" s="344"/>
      <c r="G34" s="273">
        <v>45917</v>
      </c>
      <c r="H34" s="273">
        <v>45950</v>
      </c>
      <c r="I34" s="273">
        <v>45971</v>
      </c>
      <c r="J34" s="273">
        <v>45992</v>
      </c>
      <c r="K34" s="273">
        <v>46006</v>
      </c>
      <c r="L34" s="116" t="s">
        <v>1313</v>
      </c>
      <c r="M34" s="116" t="s">
        <v>1314</v>
      </c>
      <c r="AA34" s="137" t="s">
        <v>860</v>
      </c>
      <c r="AE34" s="55" t="s">
        <v>861</v>
      </c>
    </row>
    <row r="35" spans="2:34" ht="45">
      <c r="B35" s="7" t="s">
        <v>899</v>
      </c>
      <c r="C35" s="48" t="s">
        <v>1316</v>
      </c>
      <c r="D35" s="48" t="s">
        <v>1323</v>
      </c>
      <c r="E35" s="49" t="s">
        <v>1254</v>
      </c>
      <c r="F35" s="344"/>
      <c r="G35" s="273">
        <v>45917</v>
      </c>
      <c r="H35" s="273">
        <v>45950</v>
      </c>
      <c r="I35" s="273">
        <v>45971</v>
      </c>
      <c r="J35" s="273">
        <v>45992</v>
      </c>
      <c r="K35" s="273">
        <v>46006</v>
      </c>
      <c r="L35" s="116" t="s">
        <v>1313</v>
      </c>
      <c r="M35" s="116" t="s">
        <v>1314</v>
      </c>
      <c r="AA35" s="137" t="s">
        <v>860</v>
      </c>
      <c r="AE35" s="55" t="s">
        <v>861</v>
      </c>
    </row>
    <row r="36" spans="2:34" ht="45">
      <c r="B36" s="7" t="s">
        <v>899</v>
      </c>
      <c r="C36" s="48" t="s">
        <v>1316</v>
      </c>
      <c r="D36" s="48" t="s">
        <v>1324</v>
      </c>
      <c r="E36" s="49" t="s">
        <v>1254</v>
      </c>
      <c r="F36" s="344"/>
      <c r="G36" s="273">
        <v>45917</v>
      </c>
      <c r="H36" s="273">
        <v>45950</v>
      </c>
      <c r="I36" s="273">
        <v>45971</v>
      </c>
      <c r="J36" s="273">
        <v>45992</v>
      </c>
      <c r="K36" s="273">
        <v>46006</v>
      </c>
      <c r="L36" s="116" t="s">
        <v>1313</v>
      </c>
      <c r="M36" s="116" t="s">
        <v>1314</v>
      </c>
      <c r="AA36" s="137" t="s">
        <v>860</v>
      </c>
      <c r="AE36" s="55" t="s">
        <v>861</v>
      </c>
    </row>
    <row r="37" spans="2:34" ht="45">
      <c r="B37" s="7" t="s">
        <v>899</v>
      </c>
      <c r="C37" s="48" t="s">
        <v>1320</v>
      </c>
      <c r="D37" s="48" t="s">
        <v>1325</v>
      </c>
      <c r="E37" s="49" t="s">
        <v>1254</v>
      </c>
      <c r="F37" s="344"/>
      <c r="G37" s="273">
        <v>45917</v>
      </c>
      <c r="H37" s="273">
        <v>45950</v>
      </c>
      <c r="I37" s="273">
        <v>45971</v>
      </c>
      <c r="J37" s="273">
        <v>45992</v>
      </c>
      <c r="K37" s="273">
        <v>46006</v>
      </c>
      <c r="L37" s="116" t="s">
        <v>1313</v>
      </c>
      <c r="M37" s="116" t="s">
        <v>1314</v>
      </c>
      <c r="AA37" s="137" t="s">
        <v>860</v>
      </c>
      <c r="AE37" s="55" t="s">
        <v>861</v>
      </c>
    </row>
    <row r="38" spans="2:34" ht="45">
      <c r="B38" s="7" t="s">
        <v>899</v>
      </c>
      <c r="C38" s="48" t="s">
        <v>1316</v>
      </c>
      <c r="D38" s="48" t="s">
        <v>1326</v>
      </c>
      <c r="E38" s="49" t="s">
        <v>1254</v>
      </c>
      <c r="F38" s="344"/>
      <c r="G38" s="273">
        <v>45917</v>
      </c>
      <c r="H38" s="273">
        <v>45950</v>
      </c>
      <c r="I38" s="273">
        <v>45971</v>
      </c>
      <c r="J38" s="273">
        <v>45992</v>
      </c>
      <c r="K38" s="273">
        <v>46006</v>
      </c>
      <c r="L38" s="116" t="s">
        <v>1313</v>
      </c>
      <c r="M38" s="116" t="s">
        <v>1314</v>
      </c>
      <c r="AA38" s="137" t="s">
        <v>860</v>
      </c>
      <c r="AE38" s="55" t="s">
        <v>861</v>
      </c>
    </row>
    <row r="39" spans="2:34" ht="45">
      <c r="B39" s="7" t="s">
        <v>899</v>
      </c>
      <c r="C39" s="48" t="s">
        <v>1320</v>
      </c>
      <c r="D39" s="48" t="s">
        <v>1327</v>
      </c>
      <c r="E39" s="49" t="s">
        <v>1254</v>
      </c>
      <c r="F39" s="344"/>
      <c r="G39" s="273">
        <v>45917</v>
      </c>
      <c r="H39" s="273">
        <v>45950</v>
      </c>
      <c r="I39" s="273">
        <v>45971</v>
      </c>
      <c r="J39" s="273">
        <v>45992</v>
      </c>
      <c r="K39" s="273">
        <v>46006</v>
      </c>
      <c r="L39" s="116" t="s">
        <v>1313</v>
      </c>
      <c r="M39" s="116" t="s">
        <v>1314</v>
      </c>
      <c r="AA39" s="137" t="s">
        <v>860</v>
      </c>
      <c r="AE39" s="55" t="s">
        <v>861</v>
      </c>
    </row>
    <row r="40" spans="2:34" ht="45">
      <c r="B40" s="7" t="s">
        <v>899</v>
      </c>
      <c r="C40" s="48" t="s">
        <v>1328</v>
      </c>
      <c r="D40" s="48" t="s">
        <v>1329</v>
      </c>
      <c r="E40" s="49" t="s">
        <v>1254</v>
      </c>
      <c r="F40" s="344"/>
      <c r="G40" s="273">
        <v>45917</v>
      </c>
      <c r="H40" s="273">
        <v>45950</v>
      </c>
      <c r="I40" s="273">
        <v>45971</v>
      </c>
      <c r="J40" s="273">
        <v>45992</v>
      </c>
      <c r="K40" s="273">
        <v>46006</v>
      </c>
      <c r="L40" s="116" t="s">
        <v>1313</v>
      </c>
      <c r="M40" s="116" t="s">
        <v>1314</v>
      </c>
      <c r="AA40" s="137" t="s">
        <v>860</v>
      </c>
      <c r="AE40" s="55" t="s">
        <v>861</v>
      </c>
    </row>
    <row r="41" spans="2:34" ht="45">
      <c r="B41" s="116" t="s">
        <v>899</v>
      </c>
      <c r="C41" s="48" t="s">
        <v>1047</v>
      </c>
      <c r="D41" s="48" t="s">
        <v>1048</v>
      </c>
      <c r="E41" s="49" t="s">
        <v>1254</v>
      </c>
      <c r="F41" s="344" t="s">
        <v>1049</v>
      </c>
      <c r="G41" s="273">
        <v>45917</v>
      </c>
      <c r="H41" s="273">
        <v>45950</v>
      </c>
      <c r="I41" s="273">
        <v>45971</v>
      </c>
      <c r="J41" s="273">
        <v>45992</v>
      </c>
      <c r="K41" s="273">
        <v>46006</v>
      </c>
      <c r="L41" s="116" t="s">
        <v>1313</v>
      </c>
      <c r="M41" s="116" t="s">
        <v>1314</v>
      </c>
      <c r="AA41" s="137" t="s">
        <v>860</v>
      </c>
      <c r="AE41" s="55" t="s">
        <v>861</v>
      </c>
    </row>
    <row r="42" spans="2:34" ht="45">
      <c r="B42" s="116" t="s">
        <v>899</v>
      </c>
      <c r="C42" s="48" t="s">
        <v>1047</v>
      </c>
      <c r="D42" s="48" t="s">
        <v>1100</v>
      </c>
      <c r="E42" s="49" t="s">
        <v>1254</v>
      </c>
      <c r="F42" s="344" t="s">
        <v>1101</v>
      </c>
      <c r="G42" s="273">
        <v>45917</v>
      </c>
      <c r="H42" s="273">
        <v>45950</v>
      </c>
      <c r="I42" s="273">
        <v>45971</v>
      </c>
      <c r="J42" s="273">
        <v>45992</v>
      </c>
      <c r="K42" s="273">
        <v>46006</v>
      </c>
      <c r="L42" s="116" t="s">
        <v>1313</v>
      </c>
      <c r="M42" s="116" t="s">
        <v>1314</v>
      </c>
      <c r="AA42" s="137" t="s">
        <v>860</v>
      </c>
      <c r="AE42" s="55" t="s">
        <v>861</v>
      </c>
    </row>
    <row r="43" spans="2:34" ht="45">
      <c r="B43" s="116" t="s">
        <v>899</v>
      </c>
      <c r="C43" s="48" t="s">
        <v>1330</v>
      </c>
      <c r="D43" s="48" t="s">
        <v>1331</v>
      </c>
      <c r="E43" s="49" t="s">
        <v>1254</v>
      </c>
      <c r="F43" s="344"/>
      <c r="G43" s="273">
        <v>45917</v>
      </c>
      <c r="H43" s="273">
        <v>45950</v>
      </c>
      <c r="I43" s="273">
        <v>45971</v>
      </c>
      <c r="J43" s="273">
        <v>45992</v>
      </c>
      <c r="K43" s="273">
        <v>46006</v>
      </c>
      <c r="L43" s="116" t="s">
        <v>1313</v>
      </c>
      <c r="M43" s="116" t="s">
        <v>1314</v>
      </c>
      <c r="AA43" s="137" t="s">
        <v>860</v>
      </c>
      <c r="AE43" s="55" t="s">
        <v>861</v>
      </c>
    </row>
    <row r="44" spans="2:34" ht="45">
      <c r="B44" s="116" t="s">
        <v>899</v>
      </c>
      <c r="C44" s="48" t="s">
        <v>1332</v>
      </c>
      <c r="D44" s="48" t="s">
        <v>1333</v>
      </c>
      <c r="E44" s="49" t="s">
        <v>1254</v>
      </c>
      <c r="F44" s="344"/>
      <c r="G44" s="273">
        <v>45917</v>
      </c>
      <c r="H44" s="273">
        <v>45950</v>
      </c>
      <c r="I44" s="273">
        <v>45971</v>
      </c>
      <c r="J44" s="273">
        <v>45992</v>
      </c>
      <c r="K44" s="273">
        <v>46006</v>
      </c>
      <c r="L44" s="116" t="s">
        <v>1313</v>
      </c>
      <c r="M44" s="116" t="s">
        <v>1314</v>
      </c>
      <c r="AA44" s="137" t="s">
        <v>860</v>
      </c>
      <c r="AE44" s="55" t="s">
        <v>861</v>
      </c>
    </row>
    <row r="45" spans="2:34" ht="45">
      <c r="B45" s="116" t="s">
        <v>899</v>
      </c>
      <c r="C45" s="48" t="s">
        <v>1334</v>
      </c>
      <c r="D45" s="48" t="s">
        <v>1335</v>
      </c>
      <c r="E45" s="49" t="s">
        <v>1254</v>
      </c>
      <c r="F45" s="344"/>
      <c r="G45" s="273">
        <v>45917</v>
      </c>
      <c r="H45" s="273">
        <v>45950</v>
      </c>
      <c r="I45" s="273">
        <v>45971</v>
      </c>
      <c r="J45" s="273">
        <v>45992</v>
      </c>
      <c r="K45" s="273">
        <v>46006</v>
      </c>
      <c r="L45" s="116" t="s">
        <v>1313</v>
      </c>
      <c r="M45" s="116" t="s">
        <v>1314</v>
      </c>
      <c r="AA45" s="137" t="s">
        <v>860</v>
      </c>
      <c r="AE45" s="55" t="s">
        <v>861</v>
      </c>
    </row>
    <row r="46" spans="2:34" ht="45">
      <c r="B46" s="116" t="s">
        <v>899</v>
      </c>
      <c r="C46" s="48" t="s">
        <v>1334</v>
      </c>
      <c r="D46" s="48" t="s">
        <v>951</v>
      </c>
      <c r="E46" s="49" t="s">
        <v>1254</v>
      </c>
      <c r="F46" s="344"/>
      <c r="G46" s="273">
        <v>45917</v>
      </c>
      <c r="H46" s="273">
        <v>45950</v>
      </c>
      <c r="I46" s="273">
        <v>45971</v>
      </c>
      <c r="J46" s="273">
        <v>45992</v>
      </c>
      <c r="K46" s="273">
        <v>46006</v>
      </c>
      <c r="L46" s="116" t="s">
        <v>1313</v>
      </c>
      <c r="M46" s="116" t="s">
        <v>1314</v>
      </c>
      <c r="AA46" s="137" t="s">
        <v>860</v>
      </c>
      <c r="AE46" s="55" t="s">
        <v>861</v>
      </c>
    </row>
    <row r="47" spans="2:34" ht="45">
      <c r="B47" s="116" t="s">
        <v>864</v>
      </c>
      <c r="C47" s="48" t="s">
        <v>1044</v>
      </c>
      <c r="D47" s="48" t="s">
        <v>1045</v>
      </c>
      <c r="E47" s="49" t="s">
        <v>1258</v>
      </c>
      <c r="F47" s="344" t="s">
        <v>1046</v>
      </c>
      <c r="G47" s="273">
        <v>45912</v>
      </c>
      <c r="H47" s="273" t="s">
        <v>1302</v>
      </c>
      <c r="I47" s="273">
        <v>45978</v>
      </c>
      <c r="J47" s="273">
        <v>45994</v>
      </c>
      <c r="K47" s="273">
        <v>46002</v>
      </c>
      <c r="L47" s="116" t="s">
        <v>1313</v>
      </c>
      <c r="M47" s="116" t="s">
        <v>1314</v>
      </c>
      <c r="AE47" s="219"/>
      <c r="AF47" s="55" t="s">
        <v>861</v>
      </c>
      <c r="AH47" s="219"/>
    </row>
    <row r="48" spans="2:34" ht="45">
      <c r="B48" s="116" t="s">
        <v>864</v>
      </c>
      <c r="C48" s="48" t="s">
        <v>1044</v>
      </c>
      <c r="D48" s="48" t="s">
        <v>1050</v>
      </c>
      <c r="E48" s="49" t="s">
        <v>1258</v>
      </c>
      <c r="F48" s="344" t="s">
        <v>1051</v>
      </c>
      <c r="G48" s="273">
        <v>45912</v>
      </c>
      <c r="H48" s="273" t="s">
        <v>1302</v>
      </c>
      <c r="I48" s="273">
        <v>45978</v>
      </c>
      <c r="J48" s="273">
        <v>45994</v>
      </c>
      <c r="K48" s="273">
        <v>46002</v>
      </c>
      <c r="L48" s="116" t="s">
        <v>1313</v>
      </c>
      <c r="M48" s="116" t="s">
        <v>1314</v>
      </c>
      <c r="AF48" s="55" t="s">
        <v>861</v>
      </c>
    </row>
    <row r="49" spans="2:32" ht="45">
      <c r="B49" s="116" t="s">
        <v>864</v>
      </c>
      <c r="C49" s="48" t="s">
        <v>1044</v>
      </c>
      <c r="D49" s="48" t="s">
        <v>1052</v>
      </c>
      <c r="E49" s="49" t="s">
        <v>1258</v>
      </c>
      <c r="F49" s="344" t="s">
        <v>1053</v>
      </c>
      <c r="G49" s="273">
        <v>45912</v>
      </c>
      <c r="H49" s="273" t="s">
        <v>1302</v>
      </c>
      <c r="I49" s="273">
        <v>45978</v>
      </c>
      <c r="J49" s="273">
        <v>45994</v>
      </c>
      <c r="K49" s="273">
        <v>46002</v>
      </c>
      <c r="L49" s="116" t="s">
        <v>1313</v>
      </c>
      <c r="M49" s="116" t="s">
        <v>1314</v>
      </c>
      <c r="AF49" s="55" t="s">
        <v>861</v>
      </c>
    </row>
    <row r="50" spans="2:32" ht="45">
      <c r="B50" s="116" t="s">
        <v>864</v>
      </c>
      <c r="C50" s="48" t="s">
        <v>1056</v>
      </c>
      <c r="D50" s="48" t="s">
        <v>1057</v>
      </c>
      <c r="E50" s="49" t="s">
        <v>1258</v>
      </c>
      <c r="F50" s="344" t="s">
        <v>1058</v>
      </c>
      <c r="G50" s="273">
        <v>45912</v>
      </c>
      <c r="H50" s="273" t="s">
        <v>1302</v>
      </c>
      <c r="I50" s="273">
        <v>45978</v>
      </c>
      <c r="J50" s="273">
        <v>45994</v>
      </c>
      <c r="K50" s="273">
        <v>46002</v>
      </c>
      <c r="L50" s="116" t="s">
        <v>1313</v>
      </c>
      <c r="M50" s="116" t="s">
        <v>1314</v>
      </c>
      <c r="AF50" s="55" t="s">
        <v>861</v>
      </c>
    </row>
    <row r="51" spans="2:32" ht="45">
      <c r="B51" s="116" t="s">
        <v>864</v>
      </c>
      <c r="C51" s="48" t="s">
        <v>1084</v>
      </c>
      <c r="D51" s="48" t="s">
        <v>1144</v>
      </c>
      <c r="E51" s="49" t="s">
        <v>1258</v>
      </c>
      <c r="F51" s="344" t="s">
        <v>1145</v>
      </c>
      <c r="G51" s="273">
        <v>45912</v>
      </c>
      <c r="H51" s="273" t="s">
        <v>1302</v>
      </c>
      <c r="I51" s="273">
        <v>45978</v>
      </c>
      <c r="J51" s="273">
        <v>45994</v>
      </c>
      <c r="K51" s="273">
        <v>46002</v>
      </c>
      <c r="L51" s="116" t="s">
        <v>1313</v>
      </c>
      <c r="M51" s="116" t="s">
        <v>1314</v>
      </c>
      <c r="AF51" s="55" t="s">
        <v>861</v>
      </c>
    </row>
    <row r="52" spans="2:32" ht="45">
      <c r="B52" s="116" t="s">
        <v>864</v>
      </c>
      <c r="C52" s="48" t="s">
        <v>1064</v>
      </c>
      <c r="D52" s="48" t="s">
        <v>1135</v>
      </c>
      <c r="E52" s="49" t="s">
        <v>1258</v>
      </c>
      <c r="F52" s="344" t="s">
        <v>1136</v>
      </c>
      <c r="G52" s="273">
        <v>45912</v>
      </c>
      <c r="H52" s="273" t="s">
        <v>1302</v>
      </c>
      <c r="I52" s="273">
        <v>45978</v>
      </c>
      <c r="J52" s="273">
        <v>45994</v>
      </c>
      <c r="K52" s="273">
        <v>46002</v>
      </c>
      <c r="L52" s="116" t="s">
        <v>1313</v>
      </c>
      <c r="M52" s="116" t="s">
        <v>1314</v>
      </c>
      <c r="AF52" s="55" t="s">
        <v>861</v>
      </c>
    </row>
    <row r="53" spans="2:32" ht="45">
      <c r="B53" s="116" t="s">
        <v>864</v>
      </c>
      <c r="C53" s="48" t="s">
        <v>1064</v>
      </c>
      <c r="D53" s="48" t="s">
        <v>1150</v>
      </c>
      <c r="E53" s="49" t="s">
        <v>1258</v>
      </c>
      <c r="F53" s="344" t="s">
        <v>1151</v>
      </c>
      <c r="G53" s="273">
        <v>45912</v>
      </c>
      <c r="H53" s="273" t="s">
        <v>1302</v>
      </c>
      <c r="I53" s="273">
        <v>45978</v>
      </c>
      <c r="J53" s="273">
        <v>45994</v>
      </c>
      <c r="K53" s="273">
        <v>46002</v>
      </c>
      <c r="L53" s="116" t="s">
        <v>1313</v>
      </c>
      <c r="M53" s="116" t="s">
        <v>1314</v>
      </c>
      <c r="AF53" s="55" t="s">
        <v>861</v>
      </c>
    </row>
    <row r="54" spans="2:32" ht="45">
      <c r="B54" s="116" t="s">
        <v>864</v>
      </c>
      <c r="C54" s="48" t="s">
        <v>1064</v>
      </c>
      <c r="D54" s="48" t="s">
        <v>1123</v>
      </c>
      <c r="E54" s="49" t="s">
        <v>1258</v>
      </c>
      <c r="F54" s="344" t="s">
        <v>1124</v>
      </c>
      <c r="G54" s="273">
        <v>45912</v>
      </c>
      <c r="H54" s="273" t="s">
        <v>1302</v>
      </c>
      <c r="I54" s="273">
        <v>45978</v>
      </c>
      <c r="J54" s="273">
        <v>45994</v>
      </c>
      <c r="K54" s="273">
        <v>46002</v>
      </c>
      <c r="L54" s="116" t="s">
        <v>1313</v>
      </c>
      <c r="M54" s="116" t="s">
        <v>1314</v>
      </c>
      <c r="AF54" s="55" t="s">
        <v>861</v>
      </c>
    </row>
    <row r="55" spans="2:32" ht="45">
      <c r="B55" s="116" t="s">
        <v>864</v>
      </c>
      <c r="C55" s="48" t="s">
        <v>1064</v>
      </c>
      <c r="D55" s="48" t="s">
        <v>1127</v>
      </c>
      <c r="E55" s="49" t="s">
        <v>1258</v>
      </c>
      <c r="F55" s="344" t="s">
        <v>1128</v>
      </c>
      <c r="G55" s="273">
        <v>45912</v>
      </c>
      <c r="H55" s="273" t="s">
        <v>1302</v>
      </c>
      <c r="I55" s="273">
        <v>45978</v>
      </c>
      <c r="J55" s="273">
        <v>45994</v>
      </c>
      <c r="K55" s="273">
        <v>46002</v>
      </c>
      <c r="L55" s="116" t="s">
        <v>1313</v>
      </c>
      <c r="M55" s="116" t="s">
        <v>1314</v>
      </c>
      <c r="AF55" s="55" t="s">
        <v>861</v>
      </c>
    </row>
    <row r="56" spans="2:32" ht="45">
      <c r="B56" s="116" t="s">
        <v>864</v>
      </c>
      <c r="C56" s="48" t="s">
        <v>1064</v>
      </c>
      <c r="D56" s="48" t="s">
        <v>1131</v>
      </c>
      <c r="E56" s="49" t="s">
        <v>1258</v>
      </c>
      <c r="F56" s="344" t="s">
        <v>1132</v>
      </c>
      <c r="G56" s="273">
        <v>45912</v>
      </c>
      <c r="H56" s="273" t="s">
        <v>1302</v>
      </c>
      <c r="I56" s="273">
        <v>45978</v>
      </c>
      <c r="J56" s="273">
        <v>45994</v>
      </c>
      <c r="K56" s="273">
        <v>46002</v>
      </c>
      <c r="L56" s="116" t="s">
        <v>1313</v>
      </c>
      <c r="M56" s="116" t="s">
        <v>1314</v>
      </c>
      <c r="AF56" s="55" t="s">
        <v>861</v>
      </c>
    </row>
    <row r="57" spans="2:32" ht="60">
      <c r="B57" s="116" t="s">
        <v>864</v>
      </c>
      <c r="C57" s="48" t="s">
        <v>1064</v>
      </c>
      <c r="D57" s="48" t="s">
        <v>1133</v>
      </c>
      <c r="E57" s="49" t="s">
        <v>1258</v>
      </c>
      <c r="F57" s="344" t="s">
        <v>1134</v>
      </c>
      <c r="G57" s="273">
        <v>45912</v>
      </c>
      <c r="H57" s="273" t="s">
        <v>1302</v>
      </c>
      <c r="I57" s="273">
        <v>45978</v>
      </c>
      <c r="J57" s="273">
        <v>45994</v>
      </c>
      <c r="K57" s="273">
        <v>46002</v>
      </c>
      <c r="L57" s="116" t="s">
        <v>1313</v>
      </c>
      <c r="M57" s="116" t="s">
        <v>1314</v>
      </c>
      <c r="AF57" s="55" t="s">
        <v>861</v>
      </c>
    </row>
  </sheetData>
  <sheetProtection algorithmName="SHA-512" hashValue="eMIW1a1CE/uCirFdi+llrqIQ6emMRLAk6V4cYeO+6aAwBCcs9dmEJwVgD8bhCzkcB1XaqnPleWed6nVYTV+HMg==" saltValue="/DSRZPvxvSqNcwumR9bKHg==" spinCount="100000" sheet="1" sort="0" autoFilter="0"/>
  <autoFilter ref="B17:BU18" xr:uid="{FF2E6C39-9615-4722-A2E3-F6DFC315E753}">
    <sortState xmlns:xlrd2="http://schemas.microsoft.com/office/spreadsheetml/2017/richdata2" ref="B18:BU57">
      <sortCondition ref="I17:I18"/>
    </sortState>
  </autoFilter>
  <mergeCells count="22">
    <mergeCell ref="F9:M9"/>
    <mergeCell ref="F10:M10"/>
    <mergeCell ref="F11:M11"/>
    <mergeCell ref="F12:M12"/>
    <mergeCell ref="F3:M3"/>
    <mergeCell ref="F4:M4"/>
    <mergeCell ref="F5:M5"/>
    <mergeCell ref="F6:M6"/>
    <mergeCell ref="F7:M7"/>
    <mergeCell ref="F8:M8"/>
    <mergeCell ref="BQ16:BU16"/>
    <mergeCell ref="N16:R16"/>
    <mergeCell ref="S16:W16"/>
    <mergeCell ref="X16:AB16"/>
    <mergeCell ref="AC16:AG16"/>
    <mergeCell ref="AH16:AL16"/>
    <mergeCell ref="AM16:AQ16"/>
    <mergeCell ref="AR16:AV16"/>
    <mergeCell ref="AW16:BA16"/>
    <mergeCell ref="BB16:BF16"/>
    <mergeCell ref="BG16:BK16"/>
    <mergeCell ref="BL16:BP1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4AC7-B1FB-4245-8FE7-D88D98ED8DAC}">
  <sheetPr codeName="Sheet4"/>
  <dimension ref="B1:Y17"/>
  <sheetViews>
    <sheetView zoomScale="55" zoomScaleNormal="55" workbookViewId="0">
      <pane xSplit="12" ySplit="16" topLeftCell="Q17" activePane="bottomRight" state="frozen"/>
      <selection pane="bottomRight" activeCell="B17" sqref="B17"/>
      <selection pane="bottomLeft" activeCell="A16" sqref="A16"/>
      <selection pane="topRight" activeCell="I1" sqref="I1"/>
    </sheetView>
  </sheetViews>
  <sheetFormatPr defaultColWidth="10.42578125" defaultRowHeight="15"/>
  <cols>
    <col min="1" max="1" width="4.5703125" style="7" customWidth="1"/>
    <col min="2" max="2" width="13.42578125" style="7" bestFit="1" customWidth="1"/>
    <col min="3" max="3" width="33.7109375" style="7" bestFit="1" customWidth="1"/>
    <col min="4" max="4" width="58.5703125" style="8" customWidth="1"/>
    <col min="5" max="5" width="22.42578125" style="8" customWidth="1"/>
    <col min="6" max="6" width="22.7109375" style="8" customWidth="1"/>
    <col min="7" max="8" width="16.28515625" style="8" bestFit="1" customWidth="1"/>
    <col min="9" max="10" width="16.28515625" style="8" customWidth="1"/>
    <col min="11" max="11" width="21.28515625" style="8" customWidth="1"/>
    <col min="12" max="12" width="26.28515625" style="8" bestFit="1" customWidth="1"/>
    <col min="13" max="13" width="23.140625" style="7" bestFit="1" customWidth="1"/>
    <col min="14" max="15" width="26.28515625" style="7" bestFit="1" customWidth="1"/>
    <col min="16" max="16" width="21.7109375" style="7" bestFit="1" customWidth="1"/>
    <col min="17" max="17" width="23.85546875" style="7" customWidth="1"/>
    <col min="18" max="18" width="17.85546875" style="7" customWidth="1"/>
    <col min="19" max="19" width="26.28515625" style="7" bestFit="1" customWidth="1"/>
    <col min="20" max="21" width="17.85546875" style="7" customWidth="1"/>
    <col min="22" max="22" width="23.140625" style="7" bestFit="1" customWidth="1"/>
    <col min="23" max="23" width="1.7109375" style="7" bestFit="1" customWidth="1"/>
    <col min="24" max="16384" width="10.42578125" style="7"/>
  </cols>
  <sheetData>
    <row r="1" spans="2:25" ht="39.75">
      <c r="B1" s="6" t="s">
        <v>1213</v>
      </c>
      <c r="W1" s="10" t="s">
        <v>1336</v>
      </c>
    </row>
    <row r="2" spans="2:25" ht="39.75">
      <c r="B2" s="6"/>
      <c r="W2" s="10"/>
    </row>
    <row r="3" spans="2:25" ht="19.5">
      <c r="D3" s="366" t="s">
        <v>0</v>
      </c>
      <c r="E3" s="366"/>
      <c r="F3" s="366"/>
      <c r="G3" s="366"/>
      <c r="H3" s="366"/>
      <c r="I3" s="366"/>
      <c r="J3" s="366"/>
      <c r="K3" s="366"/>
      <c r="L3" s="366"/>
      <c r="M3" s="120"/>
      <c r="N3" s="120"/>
      <c r="O3" s="120"/>
      <c r="P3" s="120"/>
      <c r="Q3" s="120"/>
      <c r="R3" s="120"/>
      <c r="S3" s="120"/>
      <c r="T3" s="120"/>
      <c r="U3" s="120"/>
      <c r="V3" s="120"/>
      <c r="W3" s="10"/>
    </row>
    <row r="4" spans="2:25" ht="18">
      <c r="D4" s="365" t="s">
        <v>1214</v>
      </c>
      <c r="E4" s="365"/>
      <c r="F4" s="365"/>
      <c r="G4" s="365"/>
      <c r="H4" s="365"/>
      <c r="I4" s="365"/>
      <c r="J4" s="365"/>
      <c r="K4" s="365"/>
      <c r="L4" s="365"/>
      <c r="W4" s="10"/>
    </row>
    <row r="5" spans="2:25" ht="24" customHeight="1">
      <c r="D5" s="365" t="s">
        <v>1337</v>
      </c>
      <c r="E5" s="365"/>
      <c r="F5" s="365"/>
      <c r="G5" s="365"/>
      <c r="H5" s="365"/>
      <c r="I5" s="365"/>
      <c r="J5" s="365"/>
      <c r="K5" s="365"/>
      <c r="L5" s="365"/>
      <c r="W5" s="10"/>
    </row>
    <row r="6" spans="2:25" ht="18">
      <c r="D6" s="367" t="s">
        <v>1216</v>
      </c>
      <c r="E6" s="367"/>
      <c r="F6" s="367"/>
      <c r="G6" s="367"/>
      <c r="H6" s="367"/>
      <c r="I6" s="367"/>
      <c r="J6" s="367"/>
      <c r="K6" s="367"/>
      <c r="L6" s="367"/>
      <c r="M6" s="122"/>
      <c r="N6" s="122"/>
      <c r="O6" s="122"/>
      <c r="P6" s="122"/>
      <c r="Q6" s="122"/>
      <c r="R6" s="122"/>
      <c r="S6" s="122"/>
      <c r="T6" s="122"/>
      <c r="U6" s="122"/>
      <c r="V6" s="122"/>
      <c r="W6" s="10"/>
    </row>
    <row r="7" spans="2:25" ht="19.5">
      <c r="D7" s="366" t="s">
        <v>33</v>
      </c>
      <c r="E7" s="366"/>
      <c r="F7" s="366"/>
      <c r="G7" s="366"/>
      <c r="H7" s="366"/>
      <c r="I7" s="366"/>
      <c r="J7" s="366"/>
      <c r="K7" s="366"/>
      <c r="L7" s="366"/>
      <c r="W7" s="10"/>
    </row>
    <row r="8" spans="2:25" ht="18">
      <c r="D8" s="365" t="s">
        <v>144</v>
      </c>
      <c r="E8" s="365"/>
      <c r="F8" s="365"/>
      <c r="G8" s="365"/>
      <c r="H8" s="365"/>
      <c r="I8" s="365"/>
      <c r="J8" s="365"/>
      <c r="K8" s="365"/>
      <c r="L8" s="365"/>
      <c r="W8" s="10"/>
    </row>
    <row r="9" spans="2:25" ht="18">
      <c r="D9" s="365" t="s">
        <v>167</v>
      </c>
      <c r="E9" s="365"/>
      <c r="F9" s="365"/>
      <c r="G9" s="365"/>
      <c r="H9" s="365"/>
      <c r="I9" s="365"/>
      <c r="J9" s="365"/>
      <c r="K9" s="365"/>
      <c r="L9" s="365"/>
      <c r="W9" s="10"/>
    </row>
    <row r="10" spans="2:25" ht="18">
      <c r="D10" s="365" t="s">
        <v>172</v>
      </c>
      <c r="E10" s="365"/>
      <c r="F10" s="365"/>
      <c r="G10" s="365"/>
      <c r="H10" s="365"/>
      <c r="I10" s="365"/>
      <c r="J10" s="365"/>
      <c r="K10" s="365"/>
      <c r="L10" s="365"/>
      <c r="M10" s="11" t="s">
        <v>1338</v>
      </c>
      <c r="N10" s="11"/>
      <c r="P10" s="11"/>
      <c r="W10" s="10"/>
    </row>
    <row r="11" spans="2:25" ht="30">
      <c r="D11" s="365" t="s">
        <v>1339</v>
      </c>
      <c r="E11" s="365"/>
      <c r="F11" s="365"/>
      <c r="G11" s="365"/>
      <c r="H11" s="365"/>
      <c r="I11" s="365"/>
      <c r="J11" s="365"/>
      <c r="K11" s="365"/>
      <c r="L11" s="365"/>
      <c r="M11" s="322" t="s">
        <v>766</v>
      </c>
      <c r="N11" s="322" t="s">
        <v>778</v>
      </c>
      <c r="O11" s="322" t="s">
        <v>786</v>
      </c>
      <c r="Q11" s="11"/>
      <c r="S11" s="322" t="s">
        <v>801</v>
      </c>
      <c r="W11" s="10"/>
    </row>
    <row r="12" spans="2:25" ht="26.25" customHeight="1">
      <c r="D12" s="367" t="s">
        <v>1216</v>
      </c>
      <c r="E12" s="367"/>
      <c r="F12" s="367"/>
      <c r="G12" s="367"/>
      <c r="H12" s="367"/>
      <c r="I12" s="367"/>
      <c r="J12" s="367"/>
      <c r="K12" s="367"/>
      <c r="L12" s="367"/>
      <c r="M12" s="122"/>
      <c r="N12" s="322" t="s">
        <v>1228</v>
      </c>
      <c r="O12" s="122"/>
      <c r="P12" s="122"/>
      <c r="Q12" s="122"/>
      <c r="R12" s="122"/>
      <c r="S12" s="355"/>
      <c r="T12" s="122"/>
      <c r="U12" s="122"/>
      <c r="V12" s="122"/>
      <c r="W12" s="10"/>
    </row>
    <row r="13" spans="2:25" s="13" customFormat="1" ht="39.75">
      <c r="D13" s="14"/>
      <c r="E13" s="15"/>
      <c r="F13" s="15"/>
      <c r="G13" s="15"/>
      <c r="H13" s="15"/>
      <c r="I13" s="15"/>
      <c r="J13" s="15"/>
      <c r="K13" s="15"/>
      <c r="L13" s="15"/>
      <c r="Y13" s="21"/>
    </row>
    <row r="14" spans="2:25" ht="18">
      <c r="D14" s="22"/>
      <c r="E14" s="23"/>
      <c r="F14" s="23"/>
      <c r="G14" s="23"/>
      <c r="H14" s="23"/>
      <c r="I14" s="23"/>
      <c r="J14" s="23"/>
      <c r="K14" s="23"/>
      <c r="L14" s="23"/>
      <c r="Y14" s="21"/>
    </row>
    <row r="15" spans="2:25" s="13" customFormat="1" ht="26.25" customHeight="1">
      <c r="B15" s="25" t="s">
        <v>855</v>
      </c>
      <c r="C15" s="26" t="s">
        <v>1340</v>
      </c>
      <c r="D15" s="28" t="s">
        <v>859</v>
      </c>
      <c r="E15" s="28" t="s">
        <v>1341</v>
      </c>
      <c r="F15" s="28" t="s">
        <v>1342</v>
      </c>
      <c r="G15" s="28" t="s">
        <v>1343</v>
      </c>
      <c r="H15" s="29" t="s">
        <v>1344</v>
      </c>
      <c r="I15" s="29" t="s">
        <v>1230</v>
      </c>
      <c r="J15" s="29" t="s">
        <v>1345</v>
      </c>
      <c r="K15" s="29" t="s">
        <v>1232</v>
      </c>
      <c r="L15" s="29" t="s">
        <v>140</v>
      </c>
      <c r="M15" s="373" t="s">
        <v>1236</v>
      </c>
      <c r="N15" s="374"/>
      <c r="O15" s="374"/>
      <c r="P15" s="374"/>
      <c r="Q15" s="374"/>
      <c r="R15" s="368" t="s">
        <v>1237</v>
      </c>
      <c r="S15" s="368"/>
      <c r="T15" s="368"/>
      <c r="U15" s="368"/>
      <c r="V15" s="369"/>
    </row>
    <row r="16" spans="2:25" s="21" customFormat="1" ht="18">
      <c r="B16" s="30"/>
      <c r="C16" s="31"/>
      <c r="D16" s="33"/>
      <c r="E16" s="283" t="s">
        <v>1346</v>
      </c>
      <c r="F16" s="283" t="s">
        <v>1346</v>
      </c>
      <c r="G16" s="33"/>
      <c r="H16" s="34"/>
      <c r="I16" s="34"/>
      <c r="J16" s="34"/>
      <c r="K16" s="29" t="s">
        <v>856</v>
      </c>
      <c r="L16" s="29" t="s">
        <v>1247</v>
      </c>
      <c r="M16" s="35" t="s">
        <v>1248</v>
      </c>
      <c r="N16" s="36" t="s">
        <v>1249</v>
      </c>
      <c r="O16" s="36" t="s">
        <v>1250</v>
      </c>
      <c r="P16" s="36" t="s">
        <v>1251</v>
      </c>
      <c r="Q16" s="36" t="s">
        <v>1252</v>
      </c>
      <c r="R16" s="37" t="s">
        <v>1248</v>
      </c>
      <c r="S16" s="38" t="s">
        <v>1249</v>
      </c>
      <c r="T16" s="38" t="s">
        <v>1250</v>
      </c>
      <c r="U16" s="38" t="s">
        <v>1251</v>
      </c>
      <c r="V16" s="38" t="s">
        <v>1252</v>
      </c>
    </row>
    <row r="17" spans="2:25" s="9" customFormat="1" ht="45">
      <c r="B17" s="7" t="s">
        <v>864</v>
      </c>
      <c r="C17" s="7" t="s">
        <v>1347</v>
      </c>
      <c r="D17" s="284" t="s">
        <v>1348</v>
      </c>
      <c r="E17" s="276" t="s">
        <v>1299</v>
      </c>
      <c r="F17" s="276" t="s">
        <v>1299</v>
      </c>
      <c r="G17" s="276">
        <v>45939</v>
      </c>
      <c r="H17" s="276">
        <v>45947</v>
      </c>
      <c r="I17" s="276">
        <v>45957</v>
      </c>
      <c r="J17" s="276">
        <v>45968</v>
      </c>
      <c r="K17" s="116" t="s">
        <v>1313</v>
      </c>
      <c r="L17" s="116" t="s">
        <v>1314</v>
      </c>
      <c r="M17" s="7"/>
      <c r="N17" s="7"/>
      <c r="O17" s="7"/>
      <c r="P17" s="7"/>
      <c r="Q17" s="7"/>
      <c r="R17" s="7"/>
      <c r="S17" s="137" t="s">
        <v>1343</v>
      </c>
      <c r="T17" s="55" t="s">
        <v>1344</v>
      </c>
      <c r="U17" s="7"/>
      <c r="V17" s="7"/>
      <c r="W17" s="7"/>
      <c r="X17" s="7"/>
      <c r="Y17" s="7"/>
    </row>
  </sheetData>
  <sheetProtection algorithmName="SHA-512" hashValue="iIExiqjZBsa26Nor4FgwMvGglIZRnUDM9Kv6819nO7KHOqlqIf79c9dpcr7lzSqq2xLD2Nv0uG1kp1GaBa/e8w==" saltValue="nVJuIdlqM8xHQyyQ0IxEWw==" spinCount="100000" sheet="1" sort="0" autoFilter="0"/>
  <autoFilter ref="B16:V17" xr:uid="{AE751E35-6F80-4597-9F62-157189D50BC6}"/>
  <mergeCells count="12">
    <mergeCell ref="M15:Q15"/>
    <mergeCell ref="R15:V15"/>
    <mergeCell ref="D3:L3"/>
    <mergeCell ref="D4:L4"/>
    <mergeCell ref="D5:L5"/>
    <mergeCell ref="D6:L6"/>
    <mergeCell ref="D7:L7"/>
    <mergeCell ref="D8:L8"/>
    <mergeCell ref="D9:L9"/>
    <mergeCell ref="D10:L10"/>
    <mergeCell ref="D11:L11"/>
    <mergeCell ref="D12:L12"/>
  </mergeCells>
  <phoneticPr fontId="29"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C486-8422-4510-BBCE-E466B821D443}">
  <dimension ref="B1:BE70"/>
  <sheetViews>
    <sheetView zoomScale="55" zoomScaleNormal="55" workbookViewId="0">
      <selection activeCell="M18" sqref="M18"/>
    </sheetView>
  </sheetViews>
  <sheetFormatPr defaultColWidth="10.42578125" defaultRowHeight="15"/>
  <cols>
    <col min="1" max="1" width="4.5703125" style="7" customWidth="1"/>
    <col min="2" max="2" width="17.140625" style="7" customWidth="1"/>
    <col min="3" max="3" width="33.7109375" style="7" bestFit="1" customWidth="1"/>
    <col min="4" max="4" width="33.7109375" style="7" customWidth="1"/>
    <col min="5" max="5" width="58.5703125" style="8" bestFit="1" customWidth="1"/>
    <col min="6" max="6" width="18" style="8" customWidth="1"/>
    <col min="7" max="8" width="16.28515625" style="8" bestFit="1" customWidth="1"/>
    <col min="9" max="10" width="16.28515625" style="8" customWidth="1"/>
    <col min="11" max="11" width="15" style="8" customWidth="1"/>
    <col min="12" max="12" width="25" style="8" customWidth="1"/>
    <col min="13" max="15" width="23.85546875" style="7" bestFit="1" customWidth="1"/>
    <col min="16" max="16" width="24.7109375" style="7" bestFit="1" customWidth="1"/>
    <col min="17" max="17" width="26.28515625" style="7" bestFit="1" customWidth="1"/>
    <col min="18" max="19" width="23.85546875" style="7" bestFit="1" customWidth="1"/>
    <col min="20" max="21" width="23.28515625" style="7" bestFit="1" customWidth="1"/>
    <col min="22" max="22" width="19.85546875" style="7" bestFit="1" customWidth="1"/>
    <col min="23" max="23" width="17.85546875" style="7" customWidth="1"/>
    <col min="24" max="24" width="23.28515625" style="7" bestFit="1" customWidth="1"/>
    <col min="25" max="28" width="24.7109375" style="7" bestFit="1" customWidth="1"/>
    <col min="29" max="29" width="17.85546875" style="7" customWidth="1"/>
    <col min="30" max="30" width="24.7109375" style="7" bestFit="1" customWidth="1"/>
    <col min="31" max="31" width="21.28515625" style="7" bestFit="1" customWidth="1"/>
    <col min="32" max="32" width="24.7109375" style="7" bestFit="1" customWidth="1"/>
    <col min="33" max="33" width="26.28515625" style="7" bestFit="1" customWidth="1"/>
    <col min="34" max="34" width="17.85546875" style="7" customWidth="1"/>
    <col min="35" max="35" width="26.28515625" style="7" bestFit="1" customWidth="1"/>
    <col min="36" max="36" width="17.85546875" style="7" customWidth="1"/>
    <col min="37" max="37" width="24.5703125" style="7" bestFit="1" customWidth="1"/>
    <col min="38" max="38" width="23.85546875" style="7" bestFit="1" customWidth="1"/>
    <col min="39" max="39" width="17.85546875" style="7" customWidth="1"/>
    <col min="40" max="40" width="26.28515625" style="7" bestFit="1" customWidth="1"/>
    <col min="41" max="41" width="23.85546875" style="7" bestFit="1" customWidth="1"/>
    <col min="42" max="42" width="17.85546875" style="7" customWidth="1"/>
    <col min="43" max="43" width="26.28515625" style="7" bestFit="1" customWidth="1"/>
    <col min="44" max="44" width="23.85546875" style="7" bestFit="1" customWidth="1"/>
    <col min="45" max="47" width="26.28515625" style="7" bestFit="1" customWidth="1"/>
    <col min="48" max="48" width="17.85546875" style="7" customWidth="1"/>
    <col min="49" max="50" width="26.28515625" style="7" bestFit="1" customWidth="1"/>
    <col min="51" max="51" width="21.28515625" style="7" bestFit="1" customWidth="1"/>
    <col min="52" max="52" width="23.85546875" style="7" bestFit="1" customWidth="1"/>
    <col min="53" max="57" width="17.85546875" style="7" customWidth="1"/>
    <col min="58" max="16384" width="10.42578125" style="7"/>
  </cols>
  <sheetData>
    <row r="1" spans="2:57" ht="39.75">
      <c r="B1" s="6" t="s">
        <v>1213</v>
      </c>
    </row>
    <row r="2" spans="2:57" ht="39.75">
      <c r="B2" s="6"/>
    </row>
    <row r="3" spans="2:57" ht="18.75" customHeight="1">
      <c r="B3" s="17"/>
      <c r="E3" s="366" t="s">
        <v>0</v>
      </c>
      <c r="F3" s="366"/>
      <c r="G3" s="366"/>
      <c r="H3" s="366"/>
      <c r="I3" s="366"/>
      <c r="J3" s="366"/>
      <c r="K3" s="366"/>
      <c r="L3" s="366"/>
    </row>
    <row r="4" spans="2:57" ht="18.75" customHeight="1">
      <c r="B4" s="17"/>
      <c r="E4" s="365" t="s">
        <v>1214</v>
      </c>
      <c r="F4" s="365"/>
      <c r="G4" s="365"/>
      <c r="H4" s="365"/>
      <c r="I4" s="365"/>
      <c r="J4" s="365"/>
      <c r="K4" s="365"/>
      <c r="L4" s="365"/>
    </row>
    <row r="5" spans="2:57" ht="18.75" customHeight="1">
      <c r="B5" s="6"/>
      <c r="E5" s="365" t="s">
        <v>1215</v>
      </c>
      <c r="F5" s="365"/>
      <c r="G5" s="365"/>
      <c r="H5" s="365"/>
      <c r="I5" s="365"/>
      <c r="J5" s="365"/>
      <c r="K5" s="365"/>
      <c r="L5" s="365"/>
    </row>
    <row r="6" spans="2:57" ht="18.75" customHeight="1">
      <c r="B6" s="6"/>
      <c r="E6" s="367" t="s">
        <v>1216</v>
      </c>
      <c r="F6" s="367"/>
      <c r="G6" s="367"/>
      <c r="H6" s="367"/>
      <c r="I6" s="367"/>
      <c r="J6" s="367"/>
      <c r="K6" s="367"/>
      <c r="L6" s="367"/>
    </row>
    <row r="7" spans="2:57" ht="18.75" customHeight="1">
      <c r="E7" s="366" t="s">
        <v>33</v>
      </c>
      <c r="F7" s="366"/>
      <c r="G7" s="366"/>
      <c r="H7" s="366"/>
      <c r="I7" s="366"/>
      <c r="J7" s="366"/>
      <c r="K7" s="366"/>
      <c r="L7" s="366"/>
    </row>
    <row r="8" spans="2:57" ht="18.75" customHeight="1">
      <c r="E8" s="365" t="s">
        <v>1217</v>
      </c>
      <c r="F8" s="365"/>
      <c r="G8" s="365"/>
      <c r="H8" s="365"/>
      <c r="I8" s="365"/>
      <c r="J8" s="365"/>
      <c r="K8" s="365"/>
      <c r="L8" s="365"/>
    </row>
    <row r="9" spans="2:57" ht="21.75" customHeight="1">
      <c r="E9" s="365" t="s">
        <v>1218</v>
      </c>
      <c r="F9" s="365"/>
      <c r="G9" s="365"/>
      <c r="H9" s="365"/>
      <c r="I9" s="365"/>
      <c r="J9" s="365"/>
      <c r="K9" s="365"/>
      <c r="L9" s="365"/>
    </row>
    <row r="10" spans="2:57" ht="18">
      <c r="E10" s="365" t="s">
        <v>1219</v>
      </c>
      <c r="F10" s="365"/>
      <c r="G10" s="365"/>
      <c r="H10" s="365"/>
      <c r="I10" s="365"/>
      <c r="J10" s="365"/>
      <c r="K10" s="365"/>
      <c r="L10" s="365"/>
      <c r="M10" s="11"/>
      <c r="N10" s="11"/>
      <c r="O10" s="11"/>
      <c r="P10" s="49"/>
      <c r="Q10" s="49"/>
      <c r="R10" s="49"/>
      <c r="S10" s="49"/>
      <c r="T10" s="49"/>
    </row>
    <row r="11" spans="2:57" ht="34.5" customHeight="1">
      <c r="E11" s="365" t="s">
        <v>1220</v>
      </c>
      <c r="F11" s="365"/>
      <c r="G11" s="365"/>
      <c r="H11" s="365"/>
      <c r="I11" s="365"/>
      <c r="J11" s="365"/>
      <c r="K11" s="365"/>
      <c r="L11" s="365"/>
      <c r="M11" s="11"/>
      <c r="N11" s="11"/>
      <c r="O11" s="11"/>
      <c r="U11" s="49"/>
      <c r="X11" s="322" t="s">
        <v>637</v>
      </c>
      <c r="Y11" s="322" t="s">
        <v>645</v>
      </c>
      <c r="Z11" s="322" t="s">
        <v>650</v>
      </c>
      <c r="AA11" s="322" t="s">
        <v>654</v>
      </c>
      <c r="AB11" s="322" t="s">
        <v>658</v>
      </c>
      <c r="AD11" s="322" t="s">
        <v>663</v>
      </c>
      <c r="AF11" s="322" t="s">
        <v>668</v>
      </c>
      <c r="AG11" s="322" t="s">
        <v>672</v>
      </c>
      <c r="AI11" s="322" t="s">
        <v>676</v>
      </c>
      <c r="AK11" s="322" t="s">
        <v>680</v>
      </c>
      <c r="AL11" s="322" t="s">
        <v>684</v>
      </c>
      <c r="AN11" s="322" t="s">
        <v>688</v>
      </c>
      <c r="AO11" s="322" t="s">
        <v>692</v>
      </c>
      <c r="AQ11" s="322" t="s">
        <v>696</v>
      </c>
      <c r="AR11" s="322" t="s">
        <v>700</v>
      </c>
      <c r="AS11" s="322" t="s">
        <v>704</v>
      </c>
      <c r="AT11" s="322" t="s">
        <v>708</v>
      </c>
      <c r="AU11" s="322" t="s">
        <v>712</v>
      </c>
      <c r="AW11" s="322" t="s">
        <v>716</v>
      </c>
      <c r="AX11" s="322" t="s">
        <v>724</v>
      </c>
      <c r="AZ11" s="322" t="s">
        <v>738</v>
      </c>
    </row>
    <row r="12" spans="2:57" ht="30">
      <c r="E12" s="367" t="s">
        <v>1216</v>
      </c>
      <c r="F12" s="367"/>
      <c r="G12" s="367"/>
      <c r="H12" s="367"/>
      <c r="I12" s="367"/>
      <c r="J12" s="367"/>
      <c r="K12" s="367"/>
      <c r="L12" s="367"/>
      <c r="V12" s="49"/>
      <c r="X12" s="322" t="s">
        <v>1349</v>
      </c>
      <c r="Y12" s="322" t="s">
        <v>1350</v>
      </c>
      <c r="AE12" s="322" t="s">
        <v>1351</v>
      </c>
      <c r="AG12" s="322" t="s">
        <v>1352</v>
      </c>
      <c r="AN12" s="322" t="s">
        <v>1353</v>
      </c>
      <c r="AR12" s="322" t="s">
        <v>1221</v>
      </c>
      <c r="AS12" s="322" t="s">
        <v>1222</v>
      </c>
      <c r="AT12" s="322" t="s">
        <v>1223</v>
      </c>
      <c r="AX12" s="322" t="s">
        <v>1224</v>
      </c>
      <c r="AY12" s="322" t="s">
        <v>1225</v>
      </c>
    </row>
    <row r="13" spans="2:57">
      <c r="E13" s="12"/>
    </row>
    <row r="14" spans="2:57" s="13" customFormat="1" ht="39.75">
      <c r="E14" s="14"/>
      <c r="F14" s="15"/>
      <c r="G14" s="15"/>
      <c r="H14" s="15"/>
      <c r="I14" s="15"/>
      <c r="J14" s="15"/>
      <c r="K14" s="15"/>
      <c r="L14" s="15"/>
    </row>
    <row r="15" spans="2:57">
      <c r="E15" s="22"/>
      <c r="F15" s="23"/>
      <c r="G15" s="23"/>
      <c r="H15" s="23"/>
      <c r="I15" s="23"/>
      <c r="J15" s="23"/>
      <c r="K15" s="23"/>
      <c r="L15" s="23"/>
    </row>
    <row r="16" spans="2:57" s="13" customFormat="1" ht="18">
      <c r="B16" s="25" t="s">
        <v>855</v>
      </c>
      <c r="C16" s="26" t="s">
        <v>856</v>
      </c>
      <c r="D16" s="27" t="s">
        <v>857</v>
      </c>
      <c r="E16" s="28" t="s">
        <v>859</v>
      </c>
      <c r="F16" s="28" t="s">
        <v>1229</v>
      </c>
      <c r="G16" s="28" t="s">
        <v>860</v>
      </c>
      <c r="H16" s="29" t="s">
        <v>861</v>
      </c>
      <c r="I16" s="29" t="s">
        <v>1230</v>
      </c>
      <c r="J16" s="29" t="s">
        <v>1231</v>
      </c>
      <c r="K16" s="29" t="s">
        <v>1232</v>
      </c>
      <c r="L16" s="29" t="s">
        <v>140</v>
      </c>
      <c r="M16" s="359" t="s">
        <v>1354</v>
      </c>
      <c r="N16" s="360"/>
      <c r="O16" s="360"/>
      <c r="P16" s="360"/>
      <c r="Q16" s="361"/>
      <c r="R16" s="362" t="s">
        <v>1355</v>
      </c>
      <c r="S16" s="363"/>
      <c r="T16" s="363"/>
      <c r="U16" s="363"/>
      <c r="V16" s="364"/>
      <c r="W16" s="359" t="s">
        <v>1356</v>
      </c>
      <c r="X16" s="360"/>
      <c r="Y16" s="360"/>
      <c r="Z16" s="360"/>
      <c r="AA16" s="361"/>
      <c r="AB16" s="370" t="s">
        <v>1357</v>
      </c>
      <c r="AC16" s="371"/>
      <c r="AD16" s="371"/>
      <c r="AE16" s="371"/>
      <c r="AF16" s="372"/>
      <c r="AG16" s="373" t="s">
        <v>1358</v>
      </c>
      <c r="AH16" s="374"/>
      <c r="AI16" s="374"/>
      <c r="AJ16" s="374"/>
      <c r="AK16" s="374"/>
      <c r="AL16" s="368" t="s">
        <v>1359</v>
      </c>
      <c r="AM16" s="368"/>
      <c r="AN16" s="368"/>
      <c r="AO16" s="368"/>
      <c r="AP16" s="369"/>
      <c r="AQ16" s="362" t="s">
        <v>1233</v>
      </c>
      <c r="AR16" s="363"/>
      <c r="AS16" s="363"/>
      <c r="AT16" s="363"/>
      <c r="AU16" s="364"/>
      <c r="AV16" s="359" t="s">
        <v>1234</v>
      </c>
      <c r="AW16" s="360"/>
      <c r="AX16" s="360"/>
      <c r="AY16" s="360"/>
      <c r="AZ16" s="361"/>
      <c r="BA16" s="370" t="s">
        <v>1235</v>
      </c>
      <c r="BB16" s="371"/>
      <c r="BC16" s="371"/>
      <c r="BD16" s="371"/>
      <c r="BE16" s="372"/>
    </row>
    <row r="17" spans="2:57" s="21" customFormat="1" ht="18">
      <c r="B17" s="30"/>
      <c r="C17" s="31"/>
      <c r="D17" s="32"/>
      <c r="E17" s="33"/>
      <c r="F17" s="33"/>
      <c r="G17" s="33"/>
      <c r="H17" s="34"/>
      <c r="I17" s="34"/>
      <c r="J17" s="34"/>
      <c r="K17" s="29" t="s">
        <v>856</v>
      </c>
      <c r="L17" s="29" t="s">
        <v>1247</v>
      </c>
      <c r="M17" s="41" t="s">
        <v>1248</v>
      </c>
      <c r="N17" s="42" t="s">
        <v>1249</v>
      </c>
      <c r="O17" s="42" t="s">
        <v>1250</v>
      </c>
      <c r="P17" s="42" t="s">
        <v>1251</v>
      </c>
      <c r="Q17" s="42" t="s">
        <v>1252</v>
      </c>
      <c r="R17" s="39" t="s">
        <v>1248</v>
      </c>
      <c r="S17" s="40" t="s">
        <v>1249</v>
      </c>
      <c r="T17" s="40" t="s">
        <v>1250</v>
      </c>
      <c r="U17" s="40" t="s">
        <v>1251</v>
      </c>
      <c r="V17" s="39" t="s">
        <v>1252</v>
      </c>
      <c r="W17" s="41" t="s">
        <v>1248</v>
      </c>
      <c r="X17" s="42" t="s">
        <v>1249</v>
      </c>
      <c r="Y17" s="42" t="s">
        <v>1250</v>
      </c>
      <c r="Z17" s="42" t="s">
        <v>1251</v>
      </c>
      <c r="AA17" s="42" t="s">
        <v>1252</v>
      </c>
      <c r="AB17" s="43" t="s">
        <v>1248</v>
      </c>
      <c r="AC17" s="44" t="s">
        <v>1249</v>
      </c>
      <c r="AD17" s="44" t="s">
        <v>1250</v>
      </c>
      <c r="AE17" s="44" t="s">
        <v>1251</v>
      </c>
      <c r="AF17" s="44" t="s">
        <v>1252</v>
      </c>
      <c r="AG17" s="35" t="s">
        <v>1248</v>
      </c>
      <c r="AH17" s="36" t="s">
        <v>1249</v>
      </c>
      <c r="AI17" s="36" t="s">
        <v>1250</v>
      </c>
      <c r="AJ17" s="36" t="s">
        <v>1251</v>
      </c>
      <c r="AK17" s="36" t="s">
        <v>1252</v>
      </c>
      <c r="AL17" s="37" t="s">
        <v>1248</v>
      </c>
      <c r="AM17" s="38" t="s">
        <v>1249</v>
      </c>
      <c r="AN17" s="38" t="s">
        <v>1250</v>
      </c>
      <c r="AO17" s="38" t="s">
        <v>1251</v>
      </c>
      <c r="AP17" s="38" t="s">
        <v>1252</v>
      </c>
      <c r="AQ17" s="39" t="s">
        <v>1248</v>
      </c>
      <c r="AR17" s="40" t="s">
        <v>1249</v>
      </c>
      <c r="AS17" s="40" t="s">
        <v>1250</v>
      </c>
      <c r="AT17" s="40" t="s">
        <v>1251</v>
      </c>
      <c r="AU17" s="39" t="s">
        <v>1252</v>
      </c>
      <c r="AV17" s="41" t="s">
        <v>1248</v>
      </c>
      <c r="AW17" s="42" t="s">
        <v>1249</v>
      </c>
      <c r="AX17" s="42" t="s">
        <v>1250</v>
      </c>
      <c r="AY17" s="42" t="s">
        <v>1251</v>
      </c>
      <c r="AZ17" s="42" t="s">
        <v>1252</v>
      </c>
      <c r="BA17" s="45" t="s">
        <v>1248</v>
      </c>
      <c r="BB17" s="46" t="s">
        <v>1249</v>
      </c>
      <c r="BC17" s="44" t="s">
        <v>1250</v>
      </c>
      <c r="BD17" s="44" t="s">
        <v>1251</v>
      </c>
      <c r="BE17" s="44" t="s">
        <v>1252</v>
      </c>
    </row>
    <row r="18" spans="2:57" ht="45">
      <c r="B18" s="47" t="s">
        <v>864</v>
      </c>
      <c r="C18" s="111" t="s">
        <v>1044</v>
      </c>
      <c r="D18" s="111" t="s">
        <v>1360</v>
      </c>
      <c r="E18" s="143" t="s">
        <v>1046</v>
      </c>
      <c r="F18" s="273">
        <v>45701</v>
      </c>
      <c r="G18" s="273">
        <v>45719</v>
      </c>
      <c r="H18" s="273">
        <v>45740</v>
      </c>
      <c r="I18" s="273">
        <v>45761</v>
      </c>
      <c r="J18" s="273">
        <v>45803</v>
      </c>
      <c r="K18" s="116" t="s">
        <v>1361</v>
      </c>
      <c r="L18" s="116" t="s">
        <v>1362</v>
      </c>
      <c r="AC18" s="137" t="s">
        <v>860</v>
      </c>
      <c r="AF18" s="55" t="s">
        <v>861</v>
      </c>
    </row>
    <row r="19" spans="2:57" ht="45">
      <c r="B19" s="47" t="s">
        <v>864</v>
      </c>
      <c r="C19" s="111" t="s">
        <v>1044</v>
      </c>
      <c r="D19" s="111" t="s">
        <v>1363</v>
      </c>
      <c r="E19" s="143" t="s">
        <v>1046</v>
      </c>
      <c r="F19" s="273">
        <v>45803</v>
      </c>
      <c r="G19" s="273">
        <v>45719</v>
      </c>
      <c r="H19" s="273">
        <v>45740</v>
      </c>
      <c r="I19" s="273">
        <v>45761</v>
      </c>
      <c r="J19" s="273">
        <v>45803</v>
      </c>
      <c r="K19" s="116" t="s">
        <v>1361</v>
      </c>
      <c r="L19" s="116" t="s">
        <v>1362</v>
      </c>
      <c r="AC19" s="137" t="s">
        <v>860</v>
      </c>
      <c r="AF19" s="55" t="s">
        <v>861</v>
      </c>
    </row>
    <row r="20" spans="2:57" ht="45">
      <c r="B20" s="47" t="s">
        <v>864</v>
      </c>
      <c r="C20" s="7" t="s">
        <v>1041</v>
      </c>
      <c r="D20" s="7" t="s">
        <v>1042</v>
      </c>
      <c r="E20" s="8" t="s">
        <v>1043</v>
      </c>
      <c r="F20" s="273">
        <v>45700</v>
      </c>
      <c r="G20" s="273">
        <v>45735</v>
      </c>
      <c r="H20" s="273">
        <v>45749</v>
      </c>
      <c r="I20" s="273">
        <v>45770</v>
      </c>
      <c r="J20" s="273">
        <v>45784</v>
      </c>
      <c r="K20" s="116" t="s">
        <v>1361</v>
      </c>
      <c r="L20" s="116" t="s">
        <v>1362</v>
      </c>
      <c r="AE20" s="137" t="s">
        <v>860</v>
      </c>
      <c r="AG20" s="55" t="s">
        <v>861</v>
      </c>
    </row>
    <row r="21" spans="2:57" ht="45">
      <c r="B21" s="47" t="s">
        <v>864</v>
      </c>
      <c r="C21" s="7" t="s">
        <v>1044</v>
      </c>
      <c r="D21" s="7" t="s">
        <v>1050</v>
      </c>
      <c r="E21" s="8" t="s">
        <v>1051</v>
      </c>
      <c r="F21" s="273"/>
      <c r="G21" s="273"/>
      <c r="H21" s="273">
        <v>45758</v>
      </c>
      <c r="I21" s="273">
        <v>45772</v>
      </c>
      <c r="J21" s="273"/>
      <c r="K21" s="116" t="s">
        <v>1364</v>
      </c>
      <c r="L21" s="116" t="s">
        <v>1365</v>
      </c>
      <c r="AH21" s="137" t="s">
        <v>860</v>
      </c>
      <c r="AJ21" s="55" t="s">
        <v>861</v>
      </c>
    </row>
    <row r="22" spans="2:57" ht="45">
      <c r="B22" s="47" t="s">
        <v>864</v>
      </c>
      <c r="C22" s="7" t="s">
        <v>1044</v>
      </c>
      <c r="D22" s="7" t="s">
        <v>1052</v>
      </c>
      <c r="E22" s="8" t="s">
        <v>1053</v>
      </c>
      <c r="F22" s="273"/>
      <c r="G22" s="273"/>
      <c r="H22" s="273">
        <v>45758</v>
      </c>
      <c r="I22" s="273">
        <v>45772</v>
      </c>
      <c r="J22" s="273"/>
      <c r="K22" s="116" t="s">
        <v>1364</v>
      </c>
      <c r="L22" s="116" t="s">
        <v>1365</v>
      </c>
      <c r="AH22" s="137" t="s">
        <v>860</v>
      </c>
      <c r="AJ22" s="55" t="s">
        <v>861</v>
      </c>
    </row>
    <row r="23" spans="2:57" ht="45">
      <c r="B23" s="47" t="s">
        <v>864</v>
      </c>
      <c r="C23" s="7" t="s">
        <v>1056</v>
      </c>
      <c r="D23" s="7" t="s">
        <v>1057</v>
      </c>
      <c r="E23" s="8" t="s">
        <v>1058</v>
      </c>
      <c r="F23" s="273">
        <v>45733</v>
      </c>
      <c r="G23" s="273">
        <v>45758</v>
      </c>
      <c r="H23" s="273">
        <v>45779</v>
      </c>
      <c r="I23" s="273">
        <v>45793</v>
      </c>
      <c r="J23" s="273"/>
      <c r="K23" s="116" t="s">
        <v>1364</v>
      </c>
      <c r="L23" s="116" t="s">
        <v>1365</v>
      </c>
      <c r="AH23" s="137" t="s">
        <v>860</v>
      </c>
      <c r="AL23" s="55" t="s">
        <v>861</v>
      </c>
    </row>
    <row r="24" spans="2:57" ht="45">
      <c r="B24" s="47" t="s">
        <v>864</v>
      </c>
      <c r="C24" s="7" t="s">
        <v>1056</v>
      </c>
      <c r="D24" s="7" t="s">
        <v>1141</v>
      </c>
      <c r="E24" s="8" t="s">
        <v>1142</v>
      </c>
      <c r="F24" s="273">
        <v>45740</v>
      </c>
      <c r="G24" s="273">
        <v>45771</v>
      </c>
      <c r="H24" s="273">
        <v>45785</v>
      </c>
      <c r="I24" s="273">
        <v>45806</v>
      </c>
      <c r="J24" s="273">
        <v>45828</v>
      </c>
      <c r="K24" s="116" t="s">
        <v>1364</v>
      </c>
      <c r="L24" s="116" t="s">
        <v>1365</v>
      </c>
      <c r="AJ24" s="137" t="s">
        <v>860</v>
      </c>
      <c r="AM24" s="55" t="s">
        <v>861</v>
      </c>
    </row>
    <row r="25" spans="2:57" ht="45">
      <c r="B25" s="47" t="s">
        <v>864</v>
      </c>
      <c r="C25" s="7" t="s">
        <v>1056</v>
      </c>
      <c r="D25" s="7" t="s">
        <v>1143</v>
      </c>
      <c r="E25" s="8" t="s">
        <v>1142</v>
      </c>
      <c r="F25" s="273">
        <v>45740</v>
      </c>
      <c r="G25" s="273">
        <v>45771</v>
      </c>
      <c r="H25" s="273">
        <v>45785</v>
      </c>
      <c r="I25" s="273">
        <v>45806</v>
      </c>
      <c r="J25" s="273">
        <v>45828</v>
      </c>
      <c r="K25" s="116" t="s">
        <v>1364</v>
      </c>
      <c r="L25" s="116" t="s">
        <v>1365</v>
      </c>
      <c r="AJ25" s="137" t="s">
        <v>860</v>
      </c>
      <c r="AM25" s="55" t="s">
        <v>861</v>
      </c>
    </row>
    <row r="26" spans="2:57" ht="45">
      <c r="B26" s="47" t="s">
        <v>864</v>
      </c>
      <c r="C26" s="116" t="s">
        <v>1064</v>
      </c>
      <c r="D26" s="116" t="s">
        <v>1076</v>
      </c>
      <c r="E26" s="98" t="s">
        <v>1077</v>
      </c>
      <c r="F26" s="273">
        <v>45754</v>
      </c>
      <c r="G26" s="273">
        <v>45785</v>
      </c>
      <c r="H26" s="273">
        <v>45813</v>
      </c>
      <c r="I26" s="273">
        <v>45834</v>
      </c>
      <c r="J26" s="273" t="s">
        <v>1366</v>
      </c>
      <c r="K26" s="116" t="s">
        <v>1364</v>
      </c>
      <c r="L26" s="116" t="s">
        <v>1365</v>
      </c>
      <c r="AB26" s="219"/>
      <c r="AE26" s="219"/>
      <c r="AM26" s="137" t="s">
        <v>860</v>
      </c>
      <c r="AQ26" s="55" t="s">
        <v>861</v>
      </c>
    </row>
    <row r="27" spans="2:57" ht="45">
      <c r="B27" s="47" t="s">
        <v>864</v>
      </c>
      <c r="C27" s="116" t="s">
        <v>1064</v>
      </c>
      <c r="D27" s="116" t="s">
        <v>1078</v>
      </c>
      <c r="E27" s="98" t="s">
        <v>1079</v>
      </c>
      <c r="F27" s="273">
        <v>45754</v>
      </c>
      <c r="G27" s="273">
        <v>45785</v>
      </c>
      <c r="H27" s="273">
        <v>45813</v>
      </c>
      <c r="I27" s="273">
        <v>45834</v>
      </c>
      <c r="J27" s="273" t="s">
        <v>1366</v>
      </c>
      <c r="K27" s="116" t="s">
        <v>1364</v>
      </c>
      <c r="L27" s="116" t="s">
        <v>1365</v>
      </c>
      <c r="AL27" s="219"/>
      <c r="AM27" s="137" t="s">
        <v>860</v>
      </c>
      <c r="AQ27" s="55" t="s">
        <v>861</v>
      </c>
    </row>
    <row r="28" spans="2:57" ht="45">
      <c r="B28" s="47" t="s">
        <v>864</v>
      </c>
      <c r="C28" s="7" t="s">
        <v>1064</v>
      </c>
      <c r="D28" s="7" t="s">
        <v>1080</v>
      </c>
      <c r="E28" s="8" t="s">
        <v>1081</v>
      </c>
      <c r="F28" s="273">
        <v>45754</v>
      </c>
      <c r="G28" s="273">
        <v>45785</v>
      </c>
      <c r="H28" s="273">
        <v>45813</v>
      </c>
      <c r="I28" s="273">
        <v>45834</v>
      </c>
      <c r="J28" s="273" t="s">
        <v>1366</v>
      </c>
      <c r="K28" s="116" t="s">
        <v>1364</v>
      </c>
      <c r="L28" s="116" t="s">
        <v>1365</v>
      </c>
      <c r="AM28" s="137" t="s">
        <v>860</v>
      </c>
      <c r="AQ28" s="55" t="s">
        <v>861</v>
      </c>
    </row>
    <row r="29" spans="2:57" ht="45">
      <c r="B29" s="47" t="s">
        <v>864</v>
      </c>
      <c r="C29" s="7" t="s">
        <v>1064</v>
      </c>
      <c r="D29" s="7" t="s">
        <v>1082</v>
      </c>
      <c r="E29" s="8" t="s">
        <v>1083</v>
      </c>
      <c r="F29" s="273">
        <v>45754</v>
      </c>
      <c r="G29" s="273">
        <v>45785</v>
      </c>
      <c r="H29" s="273">
        <v>45813</v>
      </c>
      <c r="I29" s="273">
        <v>45834</v>
      </c>
      <c r="J29" s="273" t="s">
        <v>1366</v>
      </c>
      <c r="K29" s="116" t="s">
        <v>1364</v>
      </c>
      <c r="L29" s="116" t="s">
        <v>1365</v>
      </c>
      <c r="AM29" s="137" t="s">
        <v>860</v>
      </c>
      <c r="AQ29" s="55" t="s">
        <v>861</v>
      </c>
    </row>
    <row r="30" spans="2:57" ht="45">
      <c r="B30" s="47" t="s">
        <v>864</v>
      </c>
      <c r="C30" s="7" t="s">
        <v>1071</v>
      </c>
      <c r="D30" s="7" t="s">
        <v>1072</v>
      </c>
      <c r="E30" s="8" t="s">
        <v>1073</v>
      </c>
      <c r="F30" s="273">
        <v>45754</v>
      </c>
      <c r="G30" s="273">
        <v>45785</v>
      </c>
      <c r="H30" s="273">
        <v>45813</v>
      </c>
      <c r="I30" s="273">
        <v>45834</v>
      </c>
      <c r="J30" s="273" t="s">
        <v>1366</v>
      </c>
      <c r="K30" s="116" t="s">
        <v>1364</v>
      </c>
      <c r="L30" s="116" t="s">
        <v>1365</v>
      </c>
      <c r="AM30" s="137" t="s">
        <v>860</v>
      </c>
      <c r="AQ30" s="55" t="s">
        <v>861</v>
      </c>
    </row>
    <row r="31" spans="2:57" ht="45">
      <c r="B31" s="47" t="s">
        <v>864</v>
      </c>
      <c r="C31" s="7" t="s">
        <v>1071</v>
      </c>
      <c r="D31" s="7" t="s">
        <v>1074</v>
      </c>
      <c r="E31" s="8" t="s">
        <v>1075</v>
      </c>
      <c r="F31" s="273">
        <v>45754</v>
      </c>
      <c r="G31" s="273">
        <v>45785</v>
      </c>
      <c r="H31" s="273">
        <v>45813</v>
      </c>
      <c r="I31" s="273">
        <v>45834</v>
      </c>
      <c r="J31" s="273" t="s">
        <v>1366</v>
      </c>
      <c r="K31" s="116" t="s">
        <v>1364</v>
      </c>
      <c r="L31" s="116" t="s">
        <v>1365</v>
      </c>
      <c r="AM31" s="137" t="s">
        <v>860</v>
      </c>
      <c r="AQ31" s="55" t="s">
        <v>861</v>
      </c>
    </row>
    <row r="32" spans="2:57" ht="45">
      <c r="B32" s="47" t="s">
        <v>864</v>
      </c>
      <c r="C32" s="7" t="s">
        <v>1064</v>
      </c>
      <c r="D32" s="7" t="s">
        <v>1135</v>
      </c>
      <c r="E32" s="8" t="s">
        <v>1136</v>
      </c>
      <c r="F32" s="273">
        <v>45768</v>
      </c>
      <c r="G32" s="273">
        <v>45803</v>
      </c>
      <c r="H32" s="273">
        <v>45824</v>
      </c>
      <c r="I32" s="273">
        <v>45848</v>
      </c>
      <c r="J32" s="273" t="s">
        <v>1366</v>
      </c>
      <c r="K32" s="116" t="s">
        <v>1367</v>
      </c>
      <c r="L32" s="116" t="s">
        <v>1368</v>
      </c>
      <c r="AP32" s="137" t="s">
        <v>860</v>
      </c>
      <c r="AS32" s="55" t="s">
        <v>861</v>
      </c>
    </row>
    <row r="33" spans="2:49" ht="45">
      <c r="B33" s="47" t="s">
        <v>864</v>
      </c>
      <c r="C33" s="7" t="s">
        <v>1064</v>
      </c>
      <c r="D33" s="7" t="s">
        <v>1150</v>
      </c>
      <c r="E33" s="8" t="s">
        <v>1151</v>
      </c>
      <c r="F33" s="273">
        <v>45768</v>
      </c>
      <c r="G33" s="273">
        <v>45803</v>
      </c>
      <c r="H33" s="273">
        <v>45824</v>
      </c>
      <c r="I33" s="273">
        <v>45848</v>
      </c>
      <c r="J33" s="273" t="s">
        <v>1366</v>
      </c>
      <c r="K33" s="116" t="s">
        <v>1367</v>
      </c>
      <c r="L33" s="116" t="s">
        <v>1368</v>
      </c>
      <c r="AP33" s="137" t="s">
        <v>860</v>
      </c>
      <c r="AS33" s="55" t="s">
        <v>861</v>
      </c>
    </row>
    <row r="34" spans="2:49" ht="45">
      <c r="B34" s="47" t="s">
        <v>864</v>
      </c>
      <c r="C34" s="7" t="s">
        <v>1102</v>
      </c>
      <c r="D34" s="7" t="s">
        <v>1158</v>
      </c>
      <c r="E34" s="8" t="s">
        <v>1159</v>
      </c>
      <c r="F34" s="273">
        <v>45772</v>
      </c>
      <c r="G34" s="273">
        <v>45803</v>
      </c>
      <c r="H34" s="273">
        <v>45825</v>
      </c>
      <c r="I34" s="273">
        <v>45845</v>
      </c>
      <c r="J34" s="273" t="s">
        <v>1366</v>
      </c>
      <c r="K34" s="116" t="s">
        <v>1367</v>
      </c>
      <c r="L34" s="116" t="s">
        <v>1368</v>
      </c>
      <c r="AP34" s="137" t="s">
        <v>860</v>
      </c>
      <c r="AS34" s="55" t="s">
        <v>861</v>
      </c>
    </row>
    <row r="35" spans="2:49" ht="45">
      <c r="B35" s="47" t="s">
        <v>864</v>
      </c>
      <c r="C35" s="7" t="s">
        <v>1102</v>
      </c>
      <c r="D35" s="7" t="s">
        <v>1103</v>
      </c>
      <c r="E35" s="8" t="s">
        <v>1104</v>
      </c>
      <c r="F35" s="273">
        <v>45772</v>
      </c>
      <c r="G35" s="273">
        <v>45803</v>
      </c>
      <c r="H35" s="273">
        <v>45825</v>
      </c>
      <c r="I35" s="273">
        <v>45845</v>
      </c>
      <c r="J35" s="273" t="s">
        <v>1366</v>
      </c>
      <c r="K35" s="116" t="s">
        <v>1367</v>
      </c>
      <c r="L35" s="116" t="s">
        <v>1368</v>
      </c>
      <c r="AP35" s="137" t="s">
        <v>860</v>
      </c>
      <c r="AS35" s="55" t="s">
        <v>861</v>
      </c>
    </row>
    <row r="36" spans="2:49" ht="45">
      <c r="B36" s="47" t="s">
        <v>864</v>
      </c>
      <c r="C36" s="7" t="s">
        <v>1059</v>
      </c>
      <c r="D36" s="7" t="s">
        <v>1087</v>
      </c>
      <c r="E36" s="8" t="s">
        <v>1088</v>
      </c>
      <c r="F36" s="273">
        <v>45762</v>
      </c>
      <c r="G36" s="273">
        <v>45810</v>
      </c>
      <c r="H36" s="273">
        <v>45831</v>
      </c>
      <c r="I36" s="273">
        <v>45856</v>
      </c>
      <c r="J36" s="273" t="s">
        <v>1369</v>
      </c>
      <c r="K36" s="116" t="s">
        <v>1367</v>
      </c>
      <c r="L36" s="116" t="s">
        <v>1368</v>
      </c>
      <c r="AQ36" s="137" t="s">
        <v>860</v>
      </c>
      <c r="AT36" s="55" t="s">
        <v>861</v>
      </c>
    </row>
    <row r="37" spans="2:49" ht="45">
      <c r="B37" s="47" t="s">
        <v>864</v>
      </c>
      <c r="C37" s="7" t="s">
        <v>1059</v>
      </c>
      <c r="D37" s="7" t="s">
        <v>1089</v>
      </c>
      <c r="E37" s="8" t="s">
        <v>1090</v>
      </c>
      <c r="F37" s="273">
        <v>45762</v>
      </c>
      <c r="G37" s="273">
        <v>45810</v>
      </c>
      <c r="H37" s="273">
        <v>45831</v>
      </c>
      <c r="I37" s="273">
        <v>45856</v>
      </c>
      <c r="J37" s="273" t="s">
        <v>1369</v>
      </c>
      <c r="K37" s="116" t="s">
        <v>1367</v>
      </c>
      <c r="L37" s="116" t="s">
        <v>1368</v>
      </c>
      <c r="AQ37" s="137" t="s">
        <v>860</v>
      </c>
      <c r="AT37" s="55" t="s">
        <v>861</v>
      </c>
    </row>
    <row r="38" spans="2:49" ht="45">
      <c r="B38" s="47" t="s">
        <v>864</v>
      </c>
      <c r="C38" s="7" t="s">
        <v>1091</v>
      </c>
      <c r="D38" s="7" t="s">
        <v>1092</v>
      </c>
      <c r="E38" s="8" t="s">
        <v>1093</v>
      </c>
      <c r="F38" s="273">
        <v>45762</v>
      </c>
      <c r="G38" s="273">
        <v>45810</v>
      </c>
      <c r="H38" s="273">
        <v>45831</v>
      </c>
      <c r="I38" s="273">
        <v>45856</v>
      </c>
      <c r="J38" s="273" t="s">
        <v>1366</v>
      </c>
      <c r="K38" s="116" t="s">
        <v>1367</v>
      </c>
      <c r="L38" s="116" t="s">
        <v>1368</v>
      </c>
      <c r="AQ38" s="137" t="s">
        <v>860</v>
      </c>
      <c r="AT38" s="55" t="s">
        <v>861</v>
      </c>
    </row>
    <row r="39" spans="2:49" ht="45">
      <c r="B39" s="47" t="s">
        <v>864</v>
      </c>
      <c r="C39" s="7" t="s">
        <v>1084</v>
      </c>
      <c r="D39" s="7" t="s">
        <v>1085</v>
      </c>
      <c r="E39" s="8" t="s">
        <v>1086</v>
      </c>
      <c r="F39" s="273">
        <v>45762</v>
      </c>
      <c r="G39" s="273">
        <v>45810</v>
      </c>
      <c r="H39" s="273">
        <v>45831</v>
      </c>
      <c r="I39" s="273">
        <v>45856</v>
      </c>
      <c r="J39" s="273" t="s">
        <v>1366</v>
      </c>
      <c r="K39" s="116" t="s">
        <v>1367</v>
      </c>
      <c r="L39" s="116" t="s">
        <v>1368</v>
      </c>
      <c r="AQ39" s="137" t="s">
        <v>860</v>
      </c>
      <c r="AT39" s="55" t="s">
        <v>861</v>
      </c>
    </row>
    <row r="40" spans="2:49" ht="45">
      <c r="B40" s="47" t="s">
        <v>864</v>
      </c>
      <c r="C40" s="7" t="s">
        <v>1091</v>
      </c>
      <c r="D40" s="7" t="s">
        <v>1094</v>
      </c>
      <c r="E40" s="8" t="s">
        <v>1095</v>
      </c>
      <c r="F40" s="273">
        <v>45762</v>
      </c>
      <c r="G40" s="273">
        <v>45810</v>
      </c>
      <c r="H40" s="273">
        <v>45831</v>
      </c>
      <c r="I40" s="273">
        <v>45856</v>
      </c>
      <c r="J40" s="273" t="s">
        <v>1366</v>
      </c>
      <c r="K40" s="116" t="s">
        <v>1367</v>
      </c>
      <c r="L40" s="116" t="s">
        <v>1368</v>
      </c>
      <c r="AQ40" s="137" t="s">
        <v>860</v>
      </c>
      <c r="AT40" s="55" t="s">
        <v>861</v>
      </c>
    </row>
    <row r="41" spans="2:49" ht="45">
      <c r="B41" s="47" t="s">
        <v>864</v>
      </c>
      <c r="C41" s="7" t="s">
        <v>1064</v>
      </c>
      <c r="D41" s="7" t="s">
        <v>1121</v>
      </c>
      <c r="E41" s="8" t="s">
        <v>1122</v>
      </c>
      <c r="F41" s="273">
        <v>45810</v>
      </c>
      <c r="G41" s="273">
        <v>45835</v>
      </c>
      <c r="H41" s="273">
        <v>45849</v>
      </c>
      <c r="I41" s="273">
        <v>45853</v>
      </c>
      <c r="J41" s="273" t="s">
        <v>1366</v>
      </c>
      <c r="K41" s="116" t="s">
        <v>1370</v>
      </c>
      <c r="L41" s="116" t="s">
        <v>1371</v>
      </c>
      <c r="AT41" s="137" t="s">
        <v>860</v>
      </c>
      <c r="AW41" s="55" t="s">
        <v>861</v>
      </c>
    </row>
    <row r="42" spans="2:49" ht="45">
      <c r="B42" s="47" t="s">
        <v>864</v>
      </c>
      <c r="C42" s="7" t="s">
        <v>1064</v>
      </c>
      <c r="D42" s="7" t="s">
        <v>1125</v>
      </c>
      <c r="E42" s="8" t="s">
        <v>1126</v>
      </c>
      <c r="F42" s="273">
        <v>45810</v>
      </c>
      <c r="G42" s="273">
        <v>45835</v>
      </c>
      <c r="H42" s="273">
        <v>45849</v>
      </c>
      <c r="I42" s="273">
        <v>45853</v>
      </c>
      <c r="J42" s="273" t="s">
        <v>1366</v>
      </c>
      <c r="K42" s="116" t="s">
        <v>1370</v>
      </c>
      <c r="L42" s="116" t="s">
        <v>1371</v>
      </c>
      <c r="AT42" s="137" t="s">
        <v>860</v>
      </c>
      <c r="AW42" s="55" t="s">
        <v>861</v>
      </c>
    </row>
    <row r="43" spans="2:49" ht="45">
      <c r="B43" s="47" t="s">
        <v>864</v>
      </c>
      <c r="C43" s="7" t="s">
        <v>1064</v>
      </c>
      <c r="D43" s="7" t="s">
        <v>1129</v>
      </c>
      <c r="E43" s="8" t="s">
        <v>1130</v>
      </c>
      <c r="F43" s="273">
        <v>45810</v>
      </c>
      <c r="G43" s="273">
        <v>45835</v>
      </c>
      <c r="H43" s="273">
        <v>45849</v>
      </c>
      <c r="I43" s="273">
        <v>45853</v>
      </c>
      <c r="J43" s="273" t="s">
        <v>1366</v>
      </c>
      <c r="K43" s="116" t="s">
        <v>1370</v>
      </c>
      <c r="L43" s="116" t="s">
        <v>1371</v>
      </c>
      <c r="AT43" s="137" t="s">
        <v>860</v>
      </c>
      <c r="AW43" s="55" t="s">
        <v>861</v>
      </c>
    </row>
    <row r="44" spans="2:49" ht="45">
      <c r="B44" s="47" t="s">
        <v>864</v>
      </c>
      <c r="C44" s="7" t="s">
        <v>1064</v>
      </c>
      <c r="D44" s="7" t="s">
        <v>1123</v>
      </c>
      <c r="E44" s="8" t="s">
        <v>1124</v>
      </c>
      <c r="F44" s="273">
        <v>45810</v>
      </c>
      <c r="G44" s="273">
        <v>45835</v>
      </c>
      <c r="H44" s="273">
        <v>45849</v>
      </c>
      <c r="I44" s="273">
        <v>45853</v>
      </c>
      <c r="J44" s="273" t="s">
        <v>1366</v>
      </c>
      <c r="K44" s="116" t="s">
        <v>1370</v>
      </c>
      <c r="L44" s="116" t="s">
        <v>1371</v>
      </c>
      <c r="AT44" s="137" t="s">
        <v>860</v>
      </c>
      <c r="AW44" s="55" t="s">
        <v>861</v>
      </c>
    </row>
    <row r="45" spans="2:49" ht="45">
      <c r="B45" s="47" t="s">
        <v>864</v>
      </c>
      <c r="C45" s="7" t="s">
        <v>1064</v>
      </c>
      <c r="D45" s="7" t="s">
        <v>1127</v>
      </c>
      <c r="E45" s="8" t="s">
        <v>1128</v>
      </c>
      <c r="F45" s="273">
        <v>45810</v>
      </c>
      <c r="G45" s="273">
        <v>45835</v>
      </c>
      <c r="H45" s="273">
        <v>45849</v>
      </c>
      <c r="I45" s="273">
        <v>45853</v>
      </c>
      <c r="J45" s="273" t="s">
        <v>1366</v>
      </c>
      <c r="K45" s="116" t="s">
        <v>1370</v>
      </c>
      <c r="L45" s="116" t="s">
        <v>1371</v>
      </c>
      <c r="AT45" s="137" t="s">
        <v>860</v>
      </c>
      <c r="AW45" s="55" t="s">
        <v>861</v>
      </c>
    </row>
    <row r="46" spans="2:49" ht="45">
      <c r="B46" s="47" t="s">
        <v>864</v>
      </c>
      <c r="C46" s="7" t="s">
        <v>1064</v>
      </c>
      <c r="D46" s="7" t="s">
        <v>1131</v>
      </c>
      <c r="E46" s="8" t="s">
        <v>1132</v>
      </c>
      <c r="F46" s="273">
        <v>45810</v>
      </c>
      <c r="G46" s="273">
        <v>45835</v>
      </c>
      <c r="H46" s="273">
        <v>45849</v>
      </c>
      <c r="I46" s="273">
        <v>45853</v>
      </c>
      <c r="J46" s="273" t="s">
        <v>1366</v>
      </c>
      <c r="K46" s="116" t="s">
        <v>1370</v>
      </c>
      <c r="L46" s="116" t="s">
        <v>1371</v>
      </c>
      <c r="AT46" s="137" t="s">
        <v>860</v>
      </c>
      <c r="AW46" s="55" t="s">
        <v>861</v>
      </c>
    </row>
    <row r="47" spans="2:49" ht="45">
      <c r="B47" s="47" t="s">
        <v>864</v>
      </c>
      <c r="C47" s="7" t="s">
        <v>1064</v>
      </c>
      <c r="D47" s="7" t="s">
        <v>1139</v>
      </c>
      <c r="E47" s="8" t="s">
        <v>1140</v>
      </c>
      <c r="F47" s="273">
        <v>45810</v>
      </c>
      <c r="G47" s="273">
        <v>45835</v>
      </c>
      <c r="H47" s="273">
        <v>45849</v>
      </c>
      <c r="I47" s="273">
        <v>45853</v>
      </c>
      <c r="J47" s="273" t="s">
        <v>1366</v>
      </c>
      <c r="K47" s="116" t="s">
        <v>1370</v>
      </c>
      <c r="L47" s="116" t="s">
        <v>1371</v>
      </c>
      <c r="AT47" s="137" t="s">
        <v>860</v>
      </c>
      <c r="AW47" s="55" t="s">
        <v>861</v>
      </c>
    </row>
    <row r="48" spans="2:49" ht="60">
      <c r="B48" s="47" t="s">
        <v>864</v>
      </c>
      <c r="C48" s="7" t="s">
        <v>1064</v>
      </c>
      <c r="D48" s="7" t="s">
        <v>1133</v>
      </c>
      <c r="E48" s="8" t="s">
        <v>1134</v>
      </c>
      <c r="F48" s="273">
        <v>45810</v>
      </c>
      <c r="G48" s="273">
        <v>45835</v>
      </c>
      <c r="H48" s="273">
        <v>45849</v>
      </c>
      <c r="I48" s="273">
        <v>45853</v>
      </c>
      <c r="J48" s="273" t="s">
        <v>1366</v>
      </c>
      <c r="K48" s="116" t="s">
        <v>1370</v>
      </c>
      <c r="L48" s="116" t="s">
        <v>1371</v>
      </c>
      <c r="AT48" s="137" t="s">
        <v>860</v>
      </c>
      <c r="AW48" s="55" t="s">
        <v>861</v>
      </c>
    </row>
    <row r="49" spans="2:55" ht="45">
      <c r="B49" s="47" t="s">
        <v>864</v>
      </c>
      <c r="C49" s="7" t="s">
        <v>1059</v>
      </c>
      <c r="D49" s="7" t="s">
        <v>1109</v>
      </c>
      <c r="E49" s="8" t="s">
        <v>1110</v>
      </c>
      <c r="F49" s="273">
        <v>45803</v>
      </c>
      <c r="G49" s="273">
        <v>45835</v>
      </c>
      <c r="H49" s="273">
        <v>45849</v>
      </c>
      <c r="I49" s="273">
        <v>45863</v>
      </c>
      <c r="J49" s="273" t="s">
        <v>1369</v>
      </c>
      <c r="K49" s="116" t="s">
        <v>1370</v>
      </c>
      <c r="L49" s="116" t="s">
        <v>1371</v>
      </c>
      <c r="AT49" s="137" t="s">
        <v>860</v>
      </c>
      <c r="AW49" s="55" t="s">
        <v>861</v>
      </c>
    </row>
    <row r="50" spans="2:55" ht="45">
      <c r="B50" s="47" t="s">
        <v>864</v>
      </c>
      <c r="C50" s="7" t="s">
        <v>1059</v>
      </c>
      <c r="D50" s="7" t="s">
        <v>1111</v>
      </c>
      <c r="E50" s="8" t="s">
        <v>1112</v>
      </c>
      <c r="F50" s="273">
        <v>45803</v>
      </c>
      <c r="G50" s="273">
        <v>45835</v>
      </c>
      <c r="H50" s="273">
        <v>45849</v>
      </c>
      <c r="I50" s="273">
        <v>45863</v>
      </c>
      <c r="J50" s="273" t="s">
        <v>1369</v>
      </c>
      <c r="K50" s="116" t="s">
        <v>1370</v>
      </c>
      <c r="L50" s="116" t="s">
        <v>1371</v>
      </c>
      <c r="AT50" s="137" t="s">
        <v>860</v>
      </c>
      <c r="AW50" s="55" t="s">
        <v>861</v>
      </c>
    </row>
    <row r="51" spans="2:55" ht="45">
      <c r="B51" s="47" t="s">
        <v>864</v>
      </c>
      <c r="C51" s="7" t="s">
        <v>1084</v>
      </c>
      <c r="D51" s="7" t="s">
        <v>1105</v>
      </c>
      <c r="E51" s="8" t="s">
        <v>1106</v>
      </c>
      <c r="F51" s="273">
        <v>45803</v>
      </c>
      <c r="G51" s="273">
        <v>45835</v>
      </c>
      <c r="H51" s="273">
        <v>45849</v>
      </c>
      <c r="I51" s="273">
        <v>45863</v>
      </c>
      <c r="J51" s="273" t="s">
        <v>1369</v>
      </c>
      <c r="K51" s="116" t="s">
        <v>1370</v>
      </c>
      <c r="L51" s="116" t="s">
        <v>1371</v>
      </c>
      <c r="AT51" s="137" t="s">
        <v>860</v>
      </c>
      <c r="AW51" s="55" t="s">
        <v>861</v>
      </c>
    </row>
    <row r="52" spans="2:55" ht="45">
      <c r="B52" s="47" t="s">
        <v>864</v>
      </c>
      <c r="C52" s="7" t="s">
        <v>1084</v>
      </c>
      <c r="D52" s="7" t="s">
        <v>1107</v>
      </c>
      <c r="E52" s="8" t="s">
        <v>1108</v>
      </c>
      <c r="F52" s="273">
        <v>45803</v>
      </c>
      <c r="G52" s="273">
        <v>45835</v>
      </c>
      <c r="H52" s="273">
        <v>45849</v>
      </c>
      <c r="I52" s="273">
        <v>45863</v>
      </c>
      <c r="J52" s="273" t="s">
        <v>1369</v>
      </c>
      <c r="K52" s="116" t="s">
        <v>1370</v>
      </c>
      <c r="L52" s="116" t="s">
        <v>1371</v>
      </c>
      <c r="AT52" s="137" t="s">
        <v>860</v>
      </c>
      <c r="AW52" s="55" t="s">
        <v>861</v>
      </c>
    </row>
    <row r="53" spans="2:55" ht="45">
      <c r="B53" s="47" t="s">
        <v>864</v>
      </c>
      <c r="C53" s="7" t="s">
        <v>1084</v>
      </c>
      <c r="D53" s="7" t="s">
        <v>1144</v>
      </c>
      <c r="E53" s="8" t="s">
        <v>1145</v>
      </c>
      <c r="F53" s="273">
        <v>45803</v>
      </c>
      <c r="G53" s="273">
        <v>45835</v>
      </c>
      <c r="H53" s="273">
        <v>45849</v>
      </c>
      <c r="I53" s="273">
        <v>45863</v>
      </c>
      <c r="J53" s="273" t="s">
        <v>1369</v>
      </c>
      <c r="K53" s="116" t="s">
        <v>1370</v>
      </c>
      <c r="L53" s="116" t="s">
        <v>1371</v>
      </c>
      <c r="AT53" s="137" t="s">
        <v>860</v>
      </c>
      <c r="AW53" s="55" t="s">
        <v>861</v>
      </c>
    </row>
    <row r="54" spans="2:55" ht="45">
      <c r="B54" s="47" t="s">
        <v>864</v>
      </c>
      <c r="C54" s="7" t="s">
        <v>1059</v>
      </c>
      <c r="D54" s="7" t="s">
        <v>1148</v>
      </c>
      <c r="E54" s="8" t="s">
        <v>1149</v>
      </c>
      <c r="F54" s="273">
        <v>45790</v>
      </c>
      <c r="G54" s="273">
        <v>45835</v>
      </c>
      <c r="H54" s="273">
        <v>45856</v>
      </c>
      <c r="I54" s="273">
        <v>45877</v>
      </c>
      <c r="J54" s="273" t="s">
        <v>1366</v>
      </c>
      <c r="K54" s="116" t="s">
        <v>1370</v>
      </c>
      <c r="L54" s="116" t="s">
        <v>1371</v>
      </c>
      <c r="AT54" s="137" t="s">
        <v>860</v>
      </c>
      <c r="AX54" s="55" t="s">
        <v>861</v>
      </c>
    </row>
    <row r="55" spans="2:55" ht="45">
      <c r="B55" s="47" t="s">
        <v>864</v>
      </c>
      <c r="C55" s="7" t="s">
        <v>1059</v>
      </c>
      <c r="D55" s="7" t="s">
        <v>1146</v>
      </c>
      <c r="E55" s="8" t="s">
        <v>1147</v>
      </c>
      <c r="F55" s="273">
        <v>45790</v>
      </c>
      <c r="G55" s="273">
        <v>45835</v>
      </c>
      <c r="H55" s="273">
        <v>45856</v>
      </c>
      <c r="I55" s="273">
        <v>45877</v>
      </c>
      <c r="J55" s="273" t="s">
        <v>1366</v>
      </c>
      <c r="K55" s="116" t="s">
        <v>1370</v>
      </c>
      <c r="L55" s="116" t="s">
        <v>1371</v>
      </c>
      <c r="AT55" s="137" t="s">
        <v>860</v>
      </c>
      <c r="AX55" s="55" t="s">
        <v>861</v>
      </c>
    </row>
    <row r="56" spans="2:55" ht="45">
      <c r="B56" s="47" t="s">
        <v>864</v>
      </c>
      <c r="C56" s="7" t="s">
        <v>1084</v>
      </c>
      <c r="D56" s="7" t="s">
        <v>1156</v>
      </c>
      <c r="E56" s="8" t="s">
        <v>1157</v>
      </c>
      <c r="F56" s="273">
        <v>45790</v>
      </c>
      <c r="G56" s="273">
        <v>45835</v>
      </c>
      <c r="H56" s="273">
        <v>45856</v>
      </c>
      <c r="I56" s="273">
        <v>45877</v>
      </c>
      <c r="J56" s="273" t="s">
        <v>1366</v>
      </c>
      <c r="K56" s="116" t="s">
        <v>1370</v>
      </c>
      <c r="L56" s="116" t="s">
        <v>1371</v>
      </c>
      <c r="AT56" s="137" t="s">
        <v>860</v>
      </c>
      <c r="AX56" s="55" t="s">
        <v>861</v>
      </c>
    </row>
    <row r="57" spans="2:55" ht="45">
      <c r="B57" s="47" t="s">
        <v>864</v>
      </c>
      <c r="C57" s="7" t="s">
        <v>1091</v>
      </c>
      <c r="D57" s="7" t="s">
        <v>1154</v>
      </c>
      <c r="E57" s="8" t="s">
        <v>1155</v>
      </c>
      <c r="F57" s="273">
        <v>45790</v>
      </c>
      <c r="G57" s="273">
        <v>45835</v>
      </c>
      <c r="H57" s="273">
        <v>45856</v>
      </c>
      <c r="I57" s="273">
        <v>45877</v>
      </c>
      <c r="J57" s="273" t="s">
        <v>1366</v>
      </c>
      <c r="K57" s="116" t="s">
        <v>1370</v>
      </c>
      <c r="L57" s="116" t="s">
        <v>1371</v>
      </c>
      <c r="AT57" s="137" t="s">
        <v>860</v>
      </c>
      <c r="AX57" s="55" t="s">
        <v>861</v>
      </c>
    </row>
    <row r="58" spans="2:55" ht="45">
      <c r="B58" s="47" t="s">
        <v>864</v>
      </c>
      <c r="C58" s="7" t="s">
        <v>1056</v>
      </c>
      <c r="D58" s="7" t="s">
        <v>1119</v>
      </c>
      <c r="E58" s="8" t="s">
        <v>1120</v>
      </c>
      <c r="F58" s="273">
        <v>45838</v>
      </c>
      <c r="G58" s="273">
        <v>45863</v>
      </c>
      <c r="H58" s="273">
        <v>45884</v>
      </c>
      <c r="I58" s="273">
        <v>45898</v>
      </c>
      <c r="J58" s="273" t="s">
        <v>1369</v>
      </c>
      <c r="K58" s="116" t="s">
        <v>1372</v>
      </c>
      <c r="L58" s="116" t="s">
        <v>1373</v>
      </c>
      <c r="AY58" s="137" t="s">
        <v>860</v>
      </c>
      <c r="BC58" s="55" t="s">
        <v>861</v>
      </c>
    </row>
    <row r="59" spans="2:55" ht="45">
      <c r="B59" s="47" t="s">
        <v>899</v>
      </c>
      <c r="C59" s="7" t="s">
        <v>1059</v>
      </c>
      <c r="D59" s="7" t="s">
        <v>1113</v>
      </c>
      <c r="E59" s="8" t="s">
        <v>1114</v>
      </c>
      <c r="F59" s="273" t="s">
        <v>1374</v>
      </c>
      <c r="G59" s="273" t="s">
        <v>1375</v>
      </c>
      <c r="H59" s="273" t="s">
        <v>1376</v>
      </c>
      <c r="I59" s="273" t="s">
        <v>1377</v>
      </c>
      <c r="J59" s="273" t="s">
        <v>1366</v>
      </c>
      <c r="K59" s="116" t="s">
        <v>1367</v>
      </c>
      <c r="L59" s="116" t="s">
        <v>1368</v>
      </c>
    </row>
    <row r="60" spans="2:55" ht="45">
      <c r="B60" s="47" t="s">
        <v>899</v>
      </c>
      <c r="C60" s="7" t="s">
        <v>1064</v>
      </c>
      <c r="D60" s="7" t="s">
        <v>1115</v>
      </c>
      <c r="E60" s="8" t="s">
        <v>1116</v>
      </c>
      <c r="F60" s="273" t="s">
        <v>1374</v>
      </c>
      <c r="G60" s="273" t="s">
        <v>1375</v>
      </c>
      <c r="H60" s="273" t="s">
        <v>1376</v>
      </c>
      <c r="I60" s="273" t="s">
        <v>1377</v>
      </c>
      <c r="J60" s="273" t="s">
        <v>1366</v>
      </c>
      <c r="K60" s="116" t="s">
        <v>1367</v>
      </c>
      <c r="L60" s="116" t="s">
        <v>1368</v>
      </c>
    </row>
    <row r="61" spans="2:55" ht="45">
      <c r="B61" s="47" t="s">
        <v>899</v>
      </c>
      <c r="C61" s="7" t="s">
        <v>1064</v>
      </c>
      <c r="D61" s="7" t="s">
        <v>1117</v>
      </c>
      <c r="E61" s="8" t="s">
        <v>1118</v>
      </c>
      <c r="F61" s="273" t="s">
        <v>1374</v>
      </c>
      <c r="G61" s="273" t="s">
        <v>1375</v>
      </c>
      <c r="H61" s="273" t="s">
        <v>1376</v>
      </c>
      <c r="I61" s="273" t="s">
        <v>1377</v>
      </c>
      <c r="J61" s="273" t="s">
        <v>1366</v>
      </c>
      <c r="K61" s="116" t="s">
        <v>1367</v>
      </c>
      <c r="L61" s="116" t="s">
        <v>1368</v>
      </c>
    </row>
    <row r="62" spans="2:55" ht="45">
      <c r="B62" s="47" t="s">
        <v>899</v>
      </c>
      <c r="C62" s="7" t="s">
        <v>1064</v>
      </c>
      <c r="D62" s="7" t="s">
        <v>1098</v>
      </c>
      <c r="E62" s="8" t="s">
        <v>1099</v>
      </c>
      <c r="F62" s="273">
        <v>45748</v>
      </c>
      <c r="G62" s="273" t="s">
        <v>1299</v>
      </c>
      <c r="H62" s="273" t="s">
        <v>1299</v>
      </c>
      <c r="I62" s="273">
        <v>45770</v>
      </c>
      <c r="J62" s="273">
        <v>45793</v>
      </c>
      <c r="K62" s="116" t="s">
        <v>1364</v>
      </c>
      <c r="L62" s="116" t="s">
        <v>1365</v>
      </c>
    </row>
    <row r="63" spans="2:55" ht="45">
      <c r="B63" s="47" t="s">
        <v>899</v>
      </c>
      <c r="C63" s="7" t="s">
        <v>1059</v>
      </c>
      <c r="D63" s="7" t="s">
        <v>1096</v>
      </c>
      <c r="E63" s="8" t="s">
        <v>1097</v>
      </c>
      <c r="F63" s="273">
        <v>45748</v>
      </c>
      <c r="G63" s="273" t="s">
        <v>1299</v>
      </c>
      <c r="H63" s="273" t="s">
        <v>1299</v>
      </c>
      <c r="I63" s="273">
        <v>45770</v>
      </c>
      <c r="J63" s="273">
        <v>45793</v>
      </c>
      <c r="K63" s="116" t="s">
        <v>1364</v>
      </c>
      <c r="L63" s="116" t="s">
        <v>1365</v>
      </c>
    </row>
    <row r="64" spans="2:55" ht="45">
      <c r="B64" s="47" t="s">
        <v>864</v>
      </c>
      <c r="C64" s="7" t="s">
        <v>1056</v>
      </c>
      <c r="D64" s="7" t="s">
        <v>1152</v>
      </c>
      <c r="E64" s="8" t="s">
        <v>1153</v>
      </c>
      <c r="F64" s="273" t="s">
        <v>1378</v>
      </c>
      <c r="G64" s="273" t="s">
        <v>1378</v>
      </c>
      <c r="H64" s="273" t="s">
        <v>1378</v>
      </c>
      <c r="I64" s="273" t="s">
        <v>1378</v>
      </c>
      <c r="J64" s="273" t="s">
        <v>1378</v>
      </c>
      <c r="K64" s="116" t="s">
        <v>1364</v>
      </c>
      <c r="L64" s="116" t="s">
        <v>1365</v>
      </c>
    </row>
    <row r="65" spans="2:12" ht="60">
      <c r="B65" s="47" t="s">
        <v>899</v>
      </c>
      <c r="C65" s="7" t="s">
        <v>1064</v>
      </c>
      <c r="D65" s="7" t="s">
        <v>1067</v>
      </c>
      <c r="E65" s="8" t="s">
        <v>1068</v>
      </c>
      <c r="F65" s="273" t="s">
        <v>1379</v>
      </c>
      <c r="G65" s="273" t="s">
        <v>1369</v>
      </c>
      <c r="H65" s="273" t="s">
        <v>1380</v>
      </c>
      <c r="I65" s="273" t="s">
        <v>1381</v>
      </c>
      <c r="J65" s="273" t="s">
        <v>1382</v>
      </c>
      <c r="K65" s="116" t="s">
        <v>1364</v>
      </c>
      <c r="L65" s="116" t="s">
        <v>1365</v>
      </c>
    </row>
    <row r="66" spans="2:12" ht="60">
      <c r="B66" s="47" t="s">
        <v>899</v>
      </c>
      <c r="C66" s="7" t="s">
        <v>1056</v>
      </c>
      <c r="D66" s="7" t="s">
        <v>1069</v>
      </c>
      <c r="E66" s="8" t="s">
        <v>1070</v>
      </c>
      <c r="F66" s="273" t="s">
        <v>1379</v>
      </c>
      <c r="G66" s="273" t="s">
        <v>1369</v>
      </c>
      <c r="H66" s="273" t="s">
        <v>1380</v>
      </c>
      <c r="I66" s="273" t="s">
        <v>1381</v>
      </c>
      <c r="J66" s="273" t="s">
        <v>1382</v>
      </c>
      <c r="K66" s="116" t="s">
        <v>1364</v>
      </c>
      <c r="L66" s="116" t="s">
        <v>1365</v>
      </c>
    </row>
    <row r="67" spans="2:12" ht="60">
      <c r="B67" s="47" t="s">
        <v>899</v>
      </c>
      <c r="C67" s="7" t="s">
        <v>1059</v>
      </c>
      <c r="D67" s="7" t="s">
        <v>1062</v>
      </c>
      <c r="E67" s="8" t="s">
        <v>1063</v>
      </c>
      <c r="F67" s="273" t="s">
        <v>1379</v>
      </c>
      <c r="G67" s="273" t="s">
        <v>1369</v>
      </c>
      <c r="H67" s="273" t="s">
        <v>1380</v>
      </c>
      <c r="I67" s="273" t="s">
        <v>1381</v>
      </c>
      <c r="J67" s="273" t="s">
        <v>1382</v>
      </c>
      <c r="K67" s="116" t="s">
        <v>1364</v>
      </c>
      <c r="L67" s="116" t="s">
        <v>1365</v>
      </c>
    </row>
    <row r="68" spans="2:12" ht="60">
      <c r="B68" s="47" t="s">
        <v>899</v>
      </c>
      <c r="C68" s="7" t="s">
        <v>1064</v>
      </c>
      <c r="D68" s="7" t="s">
        <v>1065</v>
      </c>
      <c r="E68" s="8" t="s">
        <v>1066</v>
      </c>
      <c r="F68" s="273" t="s">
        <v>1379</v>
      </c>
      <c r="G68" s="273" t="s">
        <v>1369</v>
      </c>
      <c r="H68" s="273" t="s">
        <v>1380</v>
      </c>
      <c r="I68" s="273" t="s">
        <v>1381</v>
      </c>
      <c r="J68" s="273" t="s">
        <v>1382</v>
      </c>
      <c r="K68" s="116" t="s">
        <v>1364</v>
      </c>
      <c r="L68" s="116" t="s">
        <v>1365</v>
      </c>
    </row>
    <row r="69" spans="2:12" ht="60">
      <c r="B69" s="47" t="s">
        <v>899</v>
      </c>
      <c r="C69" s="7" t="s">
        <v>1059</v>
      </c>
      <c r="D69" s="7" t="s">
        <v>1060</v>
      </c>
      <c r="E69" s="8" t="s">
        <v>1061</v>
      </c>
      <c r="F69" s="273" t="s">
        <v>1379</v>
      </c>
      <c r="G69" s="273" t="s">
        <v>1369</v>
      </c>
      <c r="H69" s="273" t="s">
        <v>1380</v>
      </c>
      <c r="I69" s="273" t="s">
        <v>1381</v>
      </c>
      <c r="J69" s="273" t="s">
        <v>1382</v>
      </c>
      <c r="K69" s="116" t="s">
        <v>1364</v>
      </c>
      <c r="L69" s="116" t="s">
        <v>1365</v>
      </c>
    </row>
    <row r="70" spans="2:12" ht="45">
      <c r="B70" s="47" t="s">
        <v>899</v>
      </c>
      <c r="C70" s="7" t="s">
        <v>1064</v>
      </c>
      <c r="D70" s="7" t="s">
        <v>1137</v>
      </c>
      <c r="E70" s="8" t="s">
        <v>1138</v>
      </c>
      <c r="F70" s="273" t="s">
        <v>1366</v>
      </c>
      <c r="G70" s="273" t="s">
        <v>1366</v>
      </c>
      <c r="H70" s="273" t="s">
        <v>1366</v>
      </c>
      <c r="I70" s="273" t="s">
        <v>1366</v>
      </c>
      <c r="J70" s="273" t="s">
        <v>1366</v>
      </c>
      <c r="K70" s="116" t="s">
        <v>1364</v>
      </c>
      <c r="L70" s="116" t="s">
        <v>1365</v>
      </c>
    </row>
  </sheetData>
  <sheetProtection algorithmName="SHA-512" hashValue="OeAAFkfM7chVU3BO3WNPBVhVJOT6+R96KnnjEDGi7Zj6AHMdjVpWqV3fOgzvjksEUTHcp5VNtm4IncSXHmmJEg==" saltValue="PWWvzHuO86E0xAyJISW+Zg==" spinCount="100000" sheet="1" sort="0" autoFilter="0"/>
  <autoFilter ref="B17:BE70" xr:uid="{6CC8C486-8422-4510-BBCE-E466B821D443}">
    <sortState xmlns:xlrd2="http://schemas.microsoft.com/office/spreadsheetml/2017/richdata2" ref="B18:BE70">
      <sortCondition ref="H17"/>
    </sortState>
  </autoFilter>
  <mergeCells count="19">
    <mergeCell ref="R16:V16"/>
    <mergeCell ref="E3:L3"/>
    <mergeCell ref="E4:L4"/>
    <mergeCell ref="E5:L5"/>
    <mergeCell ref="E6:L6"/>
    <mergeCell ref="E7:L7"/>
    <mergeCell ref="E8:L8"/>
    <mergeCell ref="E9:L9"/>
    <mergeCell ref="E10:L10"/>
    <mergeCell ref="E11:L11"/>
    <mergeCell ref="E12:L12"/>
    <mergeCell ref="M16:Q16"/>
    <mergeCell ref="AV16:AZ16"/>
    <mergeCell ref="BA16:BE16"/>
    <mergeCell ref="W16:AA16"/>
    <mergeCell ref="AB16:AF16"/>
    <mergeCell ref="AG16:AK16"/>
    <mergeCell ref="AL16:AP16"/>
    <mergeCell ref="AQ16:AU1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4294-E2EB-4D48-869A-1AEE3CD8D4CF}">
  <dimension ref="B1:BY73"/>
  <sheetViews>
    <sheetView zoomScale="55" zoomScaleNormal="55" workbookViewId="0">
      <selection activeCell="B18" sqref="B18"/>
    </sheetView>
  </sheetViews>
  <sheetFormatPr defaultColWidth="10.42578125" defaultRowHeight="15"/>
  <cols>
    <col min="1" max="1" width="4.5703125" style="7" customWidth="1"/>
    <col min="2" max="2" width="17.140625" style="7" customWidth="1"/>
    <col min="3" max="3" width="33.7109375" style="7" bestFit="1" customWidth="1"/>
    <col min="4" max="4" width="33.7109375" style="7" customWidth="1"/>
    <col min="5" max="5" width="58.5703125" style="8" bestFit="1" customWidth="1"/>
    <col min="6" max="6" width="18" style="8" customWidth="1"/>
    <col min="7" max="8" width="16.28515625" style="8" bestFit="1" customWidth="1"/>
    <col min="9" max="10" width="16.28515625" style="8" customWidth="1"/>
    <col min="11" max="11" width="15" style="8" customWidth="1"/>
    <col min="12" max="12" width="25" style="8" customWidth="1"/>
    <col min="13" max="13" width="22.42578125" style="7" bestFit="1" customWidth="1"/>
    <col min="14" max="14" width="17.85546875" style="7" customWidth="1"/>
    <col min="15" max="16" width="22.42578125" style="7" bestFit="1" customWidth="1"/>
    <col min="17" max="17" width="23.85546875" style="7" bestFit="1" customWidth="1"/>
    <col min="18" max="19" width="17.85546875" style="7" customWidth="1"/>
    <col min="20" max="20" width="23.85546875" style="7" bestFit="1" customWidth="1"/>
    <col min="21" max="21" width="21.7109375" style="7" bestFit="1" customWidth="1"/>
    <col min="22" max="22" width="23.85546875" style="7" bestFit="1" customWidth="1"/>
    <col min="23" max="23" width="22.42578125" style="7" bestFit="1" customWidth="1"/>
    <col min="24" max="25" width="23.85546875" style="7" bestFit="1" customWidth="1"/>
    <col min="26" max="26" width="22.42578125" style="7" customWidth="1"/>
    <col min="27" max="27" width="21.7109375" style="7" bestFit="1" customWidth="1"/>
    <col min="28" max="28" width="17.85546875" style="7" customWidth="1"/>
    <col min="29" max="29" width="20.140625" style="7" bestFit="1" customWidth="1"/>
    <col min="30" max="30" width="21.7109375" style="7" bestFit="1" customWidth="1"/>
    <col min="31" max="31" width="22.42578125" style="7" bestFit="1" customWidth="1"/>
    <col min="32" max="32" width="20.140625" style="7" bestFit="1" customWidth="1"/>
    <col min="33" max="34" width="23.85546875" style="7" bestFit="1" customWidth="1"/>
    <col min="35" max="35" width="22.42578125" style="7" bestFit="1" customWidth="1"/>
    <col min="36" max="36" width="22.42578125" style="7" customWidth="1"/>
    <col min="37" max="37" width="22.42578125" style="7" bestFit="1" customWidth="1"/>
    <col min="38" max="38" width="17.85546875" style="7" customWidth="1"/>
    <col min="39" max="39" width="22.42578125" style="7" bestFit="1" customWidth="1"/>
    <col min="40" max="40" width="23.85546875" style="7" customWidth="1"/>
    <col min="41" max="41" width="23.85546875" style="7" bestFit="1" customWidth="1"/>
    <col min="42" max="42" width="22.42578125" style="7" bestFit="1" customWidth="1"/>
    <col min="43" max="45" width="25.28515625" style="7" bestFit="1" customWidth="1"/>
    <col min="46" max="51" width="23.85546875" style="7" bestFit="1" customWidth="1"/>
    <col min="52" max="52" width="26.28515625" style="7" bestFit="1" customWidth="1"/>
    <col min="53" max="53" width="24.7109375" style="7" customWidth="1"/>
    <col min="54" max="56" width="23.28515625" style="7" bestFit="1" customWidth="1"/>
    <col min="57" max="57" width="23.28515625" style="7" customWidth="1"/>
    <col min="58" max="58" width="17.85546875" style="7" customWidth="1"/>
    <col min="59" max="59" width="23.28515625" style="7" bestFit="1" customWidth="1"/>
    <col min="60" max="63" width="24.7109375" style="7" bestFit="1" customWidth="1"/>
    <col min="64" max="64" width="17.85546875" style="7" customWidth="1"/>
    <col min="65" max="65" width="24.7109375" style="7" bestFit="1" customWidth="1"/>
    <col min="66" max="66" width="21.28515625" style="7" bestFit="1" customWidth="1"/>
    <col min="67" max="67" width="24.7109375" style="7" bestFit="1" customWidth="1"/>
    <col min="68" max="68" width="26.28515625" style="7" bestFit="1" customWidth="1"/>
    <col min="69" max="69" width="17.85546875" style="7" customWidth="1"/>
    <col min="70" max="70" width="26.28515625" style="7" bestFit="1" customWidth="1"/>
    <col min="71" max="77" width="17.85546875" style="7" customWidth="1"/>
    <col min="78" max="16384" width="10.42578125" style="7"/>
  </cols>
  <sheetData>
    <row r="1" spans="2:77" ht="39.75">
      <c r="B1" s="6" t="s">
        <v>1213</v>
      </c>
    </row>
    <row r="2" spans="2:77" ht="39.75">
      <c r="B2" s="6"/>
    </row>
    <row r="3" spans="2:77" ht="18.75" customHeight="1">
      <c r="B3" s="17" t="s">
        <v>1383</v>
      </c>
      <c r="C3" s="129"/>
      <c r="E3" s="366" t="s">
        <v>0</v>
      </c>
      <c r="F3" s="366"/>
      <c r="G3" s="366"/>
      <c r="H3" s="366"/>
      <c r="I3" s="366"/>
      <c r="J3" s="366"/>
      <c r="K3" s="366"/>
      <c r="L3" s="366"/>
    </row>
    <row r="4" spans="2:77" ht="18.75" customHeight="1">
      <c r="B4" s="17" t="s">
        <v>1384</v>
      </c>
      <c r="C4" s="341"/>
      <c r="E4" s="365" t="s">
        <v>1214</v>
      </c>
      <c r="F4" s="365"/>
      <c r="G4" s="365"/>
      <c r="H4" s="365"/>
      <c r="I4" s="365"/>
      <c r="J4" s="365"/>
      <c r="K4" s="365"/>
      <c r="L4" s="365"/>
    </row>
    <row r="5" spans="2:77" ht="18.75" customHeight="1">
      <c r="B5" s="6"/>
      <c r="E5" s="365" t="s">
        <v>1215</v>
      </c>
      <c r="F5" s="365"/>
      <c r="G5" s="365"/>
      <c r="H5" s="365"/>
      <c r="I5" s="365"/>
      <c r="J5" s="365"/>
      <c r="K5" s="365"/>
      <c r="L5" s="365"/>
    </row>
    <row r="6" spans="2:77" ht="18.75" customHeight="1">
      <c r="B6" s="6"/>
      <c r="E6" s="367" t="s">
        <v>1216</v>
      </c>
      <c r="F6" s="367"/>
      <c r="G6" s="367"/>
      <c r="H6" s="367"/>
      <c r="I6" s="367"/>
      <c r="J6" s="367"/>
      <c r="K6" s="367"/>
      <c r="L6" s="367"/>
    </row>
    <row r="7" spans="2:77" ht="18.75" customHeight="1">
      <c r="E7" s="366" t="s">
        <v>33</v>
      </c>
      <c r="F7" s="366"/>
      <c r="G7" s="366"/>
      <c r="H7" s="366"/>
      <c r="I7" s="366"/>
      <c r="J7" s="366"/>
      <c r="K7" s="366"/>
      <c r="L7" s="366"/>
    </row>
    <row r="8" spans="2:77" ht="18.75" customHeight="1">
      <c r="E8" s="365" t="s">
        <v>1217</v>
      </c>
      <c r="F8" s="365"/>
      <c r="G8" s="365"/>
      <c r="H8" s="365"/>
      <c r="I8" s="365"/>
      <c r="J8" s="365"/>
      <c r="K8" s="365"/>
      <c r="L8" s="365"/>
    </row>
    <row r="9" spans="2:77" ht="21.75" customHeight="1">
      <c r="E9" s="365" t="s">
        <v>1218</v>
      </c>
      <c r="F9" s="365"/>
      <c r="G9" s="365"/>
      <c r="H9" s="365"/>
      <c r="I9" s="365"/>
      <c r="J9" s="365"/>
      <c r="K9" s="365"/>
      <c r="L9" s="365"/>
      <c r="AH9" s="258" t="s">
        <v>503</v>
      </c>
      <c r="AO9" s="258" t="s">
        <v>542</v>
      </c>
      <c r="AR9" s="321" t="s">
        <v>547</v>
      </c>
      <c r="AZ9" s="322" t="s">
        <v>619</v>
      </c>
    </row>
    <row r="10" spans="2:77" ht="30">
      <c r="E10" s="365" t="s">
        <v>1219</v>
      </c>
      <c r="F10" s="365"/>
      <c r="G10" s="365"/>
      <c r="H10" s="365"/>
      <c r="I10" s="365"/>
      <c r="J10" s="365"/>
      <c r="K10" s="365"/>
      <c r="L10" s="365"/>
      <c r="M10" s="11"/>
      <c r="O10" s="11"/>
      <c r="P10" s="11"/>
      <c r="Q10" s="11"/>
      <c r="T10" s="258" t="s">
        <v>435</v>
      </c>
      <c r="U10" s="258" t="s">
        <v>442</v>
      </c>
      <c r="V10" s="258" t="s">
        <v>445</v>
      </c>
      <c r="W10" s="258" t="s">
        <v>448</v>
      </c>
      <c r="X10" s="258" t="s">
        <v>460</v>
      </c>
      <c r="Y10" s="258" t="s">
        <v>468</v>
      </c>
      <c r="Z10" s="258" t="s">
        <v>471</v>
      </c>
      <c r="AA10" s="258" t="s">
        <v>475</v>
      </c>
      <c r="AC10" s="258" t="s">
        <v>478</v>
      </c>
      <c r="AD10" s="258" t="s">
        <v>482</v>
      </c>
      <c r="AE10" s="258" t="s">
        <v>490</v>
      </c>
      <c r="AF10" s="258" t="s">
        <v>493</v>
      </c>
      <c r="AG10" s="258" t="s">
        <v>496</v>
      </c>
      <c r="AH10" s="258" t="s">
        <v>499</v>
      </c>
      <c r="AI10" s="258" t="s">
        <v>508</v>
      </c>
      <c r="AJ10" s="258" t="s">
        <v>511</v>
      </c>
      <c r="AK10" s="258" t="s">
        <v>518</v>
      </c>
      <c r="AM10" s="258" t="s">
        <v>524</v>
      </c>
      <c r="AN10" s="258" t="s">
        <v>533</v>
      </c>
      <c r="AO10" s="258" t="s">
        <v>538</v>
      </c>
      <c r="AP10" s="258" t="s">
        <v>551</v>
      </c>
      <c r="AR10" s="258" t="s">
        <v>547</v>
      </c>
      <c r="AS10" s="321" t="s">
        <v>565</v>
      </c>
      <c r="AT10" s="321" t="s">
        <v>572</v>
      </c>
      <c r="AU10" s="321" t="s">
        <v>583</v>
      </c>
      <c r="AV10" s="321" t="s">
        <v>591</v>
      </c>
      <c r="AW10" s="321" t="s">
        <v>598</v>
      </c>
      <c r="AX10" s="321" t="s">
        <v>606</v>
      </c>
      <c r="AZ10" s="322" t="s">
        <v>615</v>
      </c>
      <c r="BA10" s="322" t="s">
        <v>623</v>
      </c>
      <c r="BB10" s="322" t="s">
        <v>626</v>
      </c>
      <c r="BC10" s="322" t="s">
        <v>629</v>
      </c>
    </row>
    <row r="11" spans="2:77" ht="34.5" customHeight="1">
      <c r="E11" s="365" t="s">
        <v>1220</v>
      </c>
      <c r="F11" s="365"/>
      <c r="G11" s="365"/>
      <c r="H11" s="365"/>
      <c r="I11" s="365"/>
      <c r="J11" s="365"/>
      <c r="K11" s="365"/>
      <c r="L11" s="365"/>
      <c r="AD11" s="258" t="s">
        <v>486</v>
      </c>
      <c r="AJ11" s="258" t="s">
        <v>515</v>
      </c>
      <c r="AK11" s="258" t="s">
        <v>521</v>
      </c>
      <c r="AM11" s="258" t="s">
        <v>528</v>
      </c>
      <c r="AN11" s="258" t="s">
        <v>528</v>
      </c>
      <c r="AP11" s="258" t="s">
        <v>547</v>
      </c>
      <c r="AR11" s="258" t="s">
        <v>560</v>
      </c>
      <c r="AS11" s="258" t="s">
        <v>569</v>
      </c>
      <c r="AT11" s="258" t="s">
        <v>576</v>
      </c>
      <c r="AV11" s="258" t="s">
        <v>588</v>
      </c>
      <c r="AW11" s="258" t="s">
        <v>588</v>
      </c>
      <c r="AX11" s="258" t="s">
        <v>603</v>
      </c>
      <c r="AY11" s="258" t="s">
        <v>610</v>
      </c>
      <c r="AZ11" s="258" t="s">
        <v>610</v>
      </c>
      <c r="BD11" s="322" t="s">
        <v>633</v>
      </c>
      <c r="BG11" s="322" t="s">
        <v>637</v>
      </c>
      <c r="BH11" s="322" t="s">
        <v>1385</v>
      </c>
      <c r="BI11" s="322" t="s">
        <v>650</v>
      </c>
      <c r="BJ11" s="322" t="s">
        <v>654</v>
      </c>
      <c r="BK11" s="322" t="s">
        <v>658</v>
      </c>
      <c r="BM11" s="322" t="s">
        <v>663</v>
      </c>
      <c r="BO11" s="322" t="s">
        <v>668</v>
      </c>
      <c r="BP11" s="322" t="s">
        <v>672</v>
      </c>
      <c r="BR11" s="322" t="s">
        <v>676</v>
      </c>
    </row>
    <row r="12" spans="2:77" ht="30">
      <c r="E12" s="367" t="s">
        <v>1216</v>
      </c>
      <c r="F12" s="367"/>
      <c r="G12" s="367"/>
      <c r="H12" s="367"/>
      <c r="I12" s="367"/>
      <c r="J12" s="367"/>
      <c r="K12" s="367"/>
      <c r="L12" s="367"/>
      <c r="T12" s="258" t="s">
        <v>1386</v>
      </c>
      <c r="X12" s="258" t="s">
        <v>1387</v>
      </c>
      <c r="Z12" s="258" t="s">
        <v>1388</v>
      </c>
      <c r="AE12" s="258" t="s">
        <v>1389</v>
      </c>
      <c r="AH12" s="258" t="s">
        <v>1390</v>
      </c>
      <c r="AM12" s="258" t="s">
        <v>1390</v>
      </c>
      <c r="AT12" s="258" t="s">
        <v>1391</v>
      </c>
      <c r="BE12" s="322" t="s">
        <v>1392</v>
      </c>
      <c r="BG12" s="322" t="s">
        <v>1349</v>
      </c>
      <c r="BH12" s="322" t="s">
        <v>1350</v>
      </c>
      <c r="BN12" s="322" t="s">
        <v>1351</v>
      </c>
      <c r="BP12" s="322" t="s">
        <v>1352</v>
      </c>
    </row>
    <row r="13" spans="2:77">
      <c r="E13" s="12"/>
    </row>
    <row r="14" spans="2:77" s="13" customFormat="1" ht="39.75">
      <c r="E14" s="14"/>
      <c r="F14" s="15"/>
      <c r="G14" s="15"/>
      <c r="H14" s="15"/>
      <c r="I14" s="15"/>
      <c r="J14" s="15"/>
      <c r="K14" s="15"/>
      <c r="L14" s="15"/>
    </row>
    <row r="15" spans="2:77">
      <c r="E15" s="22"/>
      <c r="F15" s="23"/>
      <c r="G15" s="23"/>
      <c r="H15" s="23"/>
      <c r="I15" s="23"/>
      <c r="J15" s="23"/>
      <c r="K15" s="23"/>
      <c r="L15" s="23"/>
    </row>
    <row r="16" spans="2:77" s="13" customFormat="1" ht="18">
      <c r="B16" s="25" t="s">
        <v>855</v>
      </c>
      <c r="C16" s="26" t="s">
        <v>856</v>
      </c>
      <c r="D16" s="27" t="s">
        <v>857</v>
      </c>
      <c r="E16" s="28" t="s">
        <v>859</v>
      </c>
      <c r="F16" s="28" t="s">
        <v>1229</v>
      </c>
      <c r="G16" s="28" t="s">
        <v>860</v>
      </c>
      <c r="H16" s="29" t="s">
        <v>861</v>
      </c>
      <c r="I16" s="29" t="s">
        <v>1230</v>
      </c>
      <c r="J16" s="29" t="s">
        <v>1231</v>
      </c>
      <c r="K16" s="29" t="s">
        <v>1232</v>
      </c>
      <c r="L16" s="29" t="s">
        <v>140</v>
      </c>
      <c r="M16" s="368" t="s">
        <v>1393</v>
      </c>
      <c r="N16" s="368"/>
      <c r="O16" s="368"/>
      <c r="P16" s="368"/>
      <c r="Q16" s="369"/>
      <c r="R16" s="362" t="s">
        <v>1394</v>
      </c>
      <c r="S16" s="363"/>
      <c r="T16" s="363"/>
      <c r="U16" s="363"/>
      <c r="V16" s="364"/>
      <c r="W16" s="359" t="s">
        <v>1395</v>
      </c>
      <c r="X16" s="360"/>
      <c r="Y16" s="360"/>
      <c r="Z16" s="360"/>
      <c r="AA16" s="361"/>
      <c r="AB16" s="370" t="s">
        <v>1396</v>
      </c>
      <c r="AC16" s="371"/>
      <c r="AD16" s="371"/>
      <c r="AE16" s="371"/>
      <c r="AF16" s="372"/>
      <c r="AG16" s="373" t="s">
        <v>1397</v>
      </c>
      <c r="AH16" s="374"/>
      <c r="AI16" s="374"/>
      <c r="AJ16" s="374"/>
      <c r="AK16" s="374"/>
      <c r="AL16" s="368" t="s">
        <v>1398</v>
      </c>
      <c r="AM16" s="368"/>
      <c r="AN16" s="368"/>
      <c r="AO16" s="368"/>
      <c r="AP16" s="369"/>
      <c r="AQ16" s="362" t="s">
        <v>1399</v>
      </c>
      <c r="AR16" s="363"/>
      <c r="AS16" s="363"/>
      <c r="AT16" s="363"/>
      <c r="AU16" s="364"/>
      <c r="AV16" s="359" t="s">
        <v>1354</v>
      </c>
      <c r="AW16" s="360"/>
      <c r="AX16" s="360"/>
      <c r="AY16" s="360"/>
      <c r="AZ16" s="361"/>
      <c r="BA16" s="362" t="s">
        <v>1355</v>
      </c>
      <c r="BB16" s="363"/>
      <c r="BC16" s="363"/>
      <c r="BD16" s="363"/>
      <c r="BE16" s="364"/>
      <c r="BF16" s="359" t="s">
        <v>1356</v>
      </c>
      <c r="BG16" s="360"/>
      <c r="BH16" s="360"/>
      <c r="BI16" s="360"/>
      <c r="BJ16" s="361"/>
      <c r="BK16" s="370" t="s">
        <v>1357</v>
      </c>
      <c r="BL16" s="371"/>
      <c r="BM16" s="371"/>
      <c r="BN16" s="371"/>
      <c r="BO16" s="372"/>
      <c r="BP16" s="373" t="s">
        <v>1358</v>
      </c>
      <c r="BQ16" s="374"/>
      <c r="BR16" s="374"/>
      <c r="BS16" s="374"/>
      <c r="BT16" s="374"/>
      <c r="BU16" s="368" t="s">
        <v>1359</v>
      </c>
      <c r="BV16" s="368"/>
      <c r="BW16" s="368"/>
      <c r="BX16" s="368"/>
      <c r="BY16" s="369"/>
    </row>
    <row r="17" spans="2:77" s="21" customFormat="1" ht="18">
      <c r="B17" s="30"/>
      <c r="C17" s="31"/>
      <c r="D17" s="32"/>
      <c r="E17" s="33"/>
      <c r="F17" s="33"/>
      <c r="G17" s="33"/>
      <c r="H17" s="34"/>
      <c r="I17" s="34"/>
      <c r="J17" s="34"/>
      <c r="K17" s="29" t="s">
        <v>856</v>
      </c>
      <c r="L17" s="29" t="s">
        <v>1247</v>
      </c>
      <c r="M17" s="37" t="s">
        <v>1248</v>
      </c>
      <c r="N17" s="38" t="s">
        <v>1249</v>
      </c>
      <c r="O17" s="38" t="s">
        <v>1250</v>
      </c>
      <c r="P17" s="38" t="s">
        <v>1251</v>
      </c>
      <c r="Q17" s="38" t="s">
        <v>1252</v>
      </c>
      <c r="R17" s="39" t="s">
        <v>1248</v>
      </c>
      <c r="S17" s="40" t="s">
        <v>1249</v>
      </c>
      <c r="T17" s="40" t="s">
        <v>1250</v>
      </c>
      <c r="U17" s="40" t="s">
        <v>1251</v>
      </c>
      <c r="V17" s="39" t="s">
        <v>1252</v>
      </c>
      <c r="W17" s="41" t="s">
        <v>1248</v>
      </c>
      <c r="X17" s="42" t="s">
        <v>1249</v>
      </c>
      <c r="Y17" s="42" t="s">
        <v>1250</v>
      </c>
      <c r="Z17" s="42" t="s">
        <v>1251</v>
      </c>
      <c r="AA17" s="42" t="s">
        <v>1252</v>
      </c>
      <c r="AB17" s="45" t="s">
        <v>1248</v>
      </c>
      <c r="AC17" s="46" t="s">
        <v>1249</v>
      </c>
      <c r="AD17" s="44" t="s">
        <v>1250</v>
      </c>
      <c r="AE17" s="44" t="s">
        <v>1251</v>
      </c>
      <c r="AF17" s="44" t="s">
        <v>1252</v>
      </c>
      <c r="AG17" s="35" t="s">
        <v>1248</v>
      </c>
      <c r="AH17" s="36" t="s">
        <v>1249</v>
      </c>
      <c r="AI17" s="36" t="s">
        <v>1250</v>
      </c>
      <c r="AJ17" s="36" t="s">
        <v>1251</v>
      </c>
      <c r="AK17" s="36" t="s">
        <v>1252</v>
      </c>
      <c r="AL17" s="37" t="s">
        <v>1248</v>
      </c>
      <c r="AM17" s="38" t="s">
        <v>1249</v>
      </c>
      <c r="AN17" s="38" t="s">
        <v>1250</v>
      </c>
      <c r="AO17" s="38" t="s">
        <v>1251</v>
      </c>
      <c r="AP17" s="38" t="s">
        <v>1252</v>
      </c>
      <c r="AQ17" s="39" t="s">
        <v>1248</v>
      </c>
      <c r="AR17" s="40" t="s">
        <v>1249</v>
      </c>
      <c r="AS17" s="40" t="s">
        <v>1250</v>
      </c>
      <c r="AT17" s="40" t="s">
        <v>1251</v>
      </c>
      <c r="AU17" s="39" t="s">
        <v>1252</v>
      </c>
      <c r="AV17" s="41" t="s">
        <v>1248</v>
      </c>
      <c r="AW17" s="42" t="s">
        <v>1249</v>
      </c>
      <c r="AX17" s="42" t="s">
        <v>1250</v>
      </c>
      <c r="AY17" s="42" t="s">
        <v>1251</v>
      </c>
      <c r="AZ17" s="42" t="s">
        <v>1252</v>
      </c>
      <c r="BA17" s="39" t="s">
        <v>1248</v>
      </c>
      <c r="BB17" s="40" t="s">
        <v>1249</v>
      </c>
      <c r="BC17" s="40" t="s">
        <v>1250</v>
      </c>
      <c r="BD17" s="40" t="s">
        <v>1251</v>
      </c>
      <c r="BE17" s="39" t="s">
        <v>1252</v>
      </c>
      <c r="BF17" s="41" t="s">
        <v>1248</v>
      </c>
      <c r="BG17" s="42" t="s">
        <v>1249</v>
      </c>
      <c r="BH17" s="42" t="s">
        <v>1250</v>
      </c>
      <c r="BI17" s="42" t="s">
        <v>1251</v>
      </c>
      <c r="BJ17" s="42" t="s">
        <v>1252</v>
      </c>
      <c r="BK17" s="43" t="s">
        <v>1248</v>
      </c>
      <c r="BL17" s="44" t="s">
        <v>1249</v>
      </c>
      <c r="BM17" s="44" t="s">
        <v>1250</v>
      </c>
      <c r="BN17" s="44" t="s">
        <v>1251</v>
      </c>
      <c r="BO17" s="44" t="s">
        <v>1252</v>
      </c>
      <c r="BP17" s="35" t="s">
        <v>1248</v>
      </c>
      <c r="BQ17" s="36" t="s">
        <v>1249</v>
      </c>
      <c r="BR17" s="36" t="s">
        <v>1250</v>
      </c>
      <c r="BS17" s="36" t="s">
        <v>1251</v>
      </c>
      <c r="BT17" s="36" t="s">
        <v>1252</v>
      </c>
      <c r="BU17" s="37" t="s">
        <v>1248</v>
      </c>
      <c r="BV17" s="38" t="s">
        <v>1249</v>
      </c>
      <c r="BW17" s="38" t="s">
        <v>1250</v>
      </c>
      <c r="BX17" s="38" t="s">
        <v>1251</v>
      </c>
      <c r="BY17" s="38" t="s">
        <v>1252</v>
      </c>
    </row>
    <row r="18" spans="2:77" ht="45">
      <c r="B18" s="47" t="s">
        <v>864</v>
      </c>
      <c r="C18" s="48" t="s">
        <v>1037</v>
      </c>
      <c r="D18" s="49" t="s">
        <v>1038</v>
      </c>
      <c r="E18" s="70" t="s">
        <v>1039</v>
      </c>
      <c r="F18" s="273">
        <v>45450</v>
      </c>
      <c r="G18" s="273">
        <v>45478</v>
      </c>
      <c r="H18" s="273">
        <v>45513</v>
      </c>
      <c r="I18" s="273">
        <v>45520</v>
      </c>
      <c r="J18" s="273">
        <v>45758</v>
      </c>
      <c r="K18" s="49" t="s">
        <v>485</v>
      </c>
      <c r="L18" s="49" t="s">
        <v>1400</v>
      </c>
      <c r="M18" s="304"/>
      <c r="N18" s="262"/>
      <c r="O18" s="262"/>
      <c r="P18" s="262"/>
      <c r="Q18" s="262"/>
      <c r="R18" s="305"/>
      <c r="S18" s="221"/>
      <c r="T18" s="221"/>
      <c r="U18" s="221"/>
      <c r="V18" s="305"/>
      <c r="W18" s="307" t="s">
        <v>860</v>
      </c>
      <c r="X18" s="263"/>
      <c r="Y18" s="263"/>
      <c r="Z18" s="263"/>
      <c r="AA18" s="263"/>
      <c r="AB18" s="306"/>
      <c r="AC18" s="79" t="s">
        <v>861</v>
      </c>
      <c r="AD18" s="246"/>
      <c r="AE18" s="246"/>
      <c r="AF18" s="246"/>
      <c r="AG18" s="263"/>
      <c r="AH18" s="308"/>
      <c r="AI18" s="308"/>
      <c r="AJ18" s="308"/>
      <c r="AK18" s="308"/>
      <c r="AL18" s="304"/>
      <c r="AM18" s="262"/>
      <c r="AN18" s="246"/>
      <c r="AO18" s="262"/>
      <c r="AP18" s="262"/>
      <c r="AQ18" s="305"/>
      <c r="AR18" s="221"/>
      <c r="AS18" s="221"/>
      <c r="AT18" s="221"/>
      <c r="AU18" s="305"/>
      <c r="AV18" s="311"/>
      <c r="AW18" s="263"/>
      <c r="AX18" s="263"/>
      <c r="AY18" s="263"/>
      <c r="AZ18" s="263"/>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row>
    <row r="19" spans="2:77" ht="45">
      <c r="B19" s="47" t="s">
        <v>864</v>
      </c>
      <c r="C19" s="48" t="s">
        <v>1041</v>
      </c>
      <c r="D19" s="49" t="s">
        <v>1042</v>
      </c>
      <c r="E19" s="70" t="s">
        <v>1043</v>
      </c>
      <c r="F19" s="273">
        <v>45505</v>
      </c>
      <c r="G19" s="273">
        <v>45541</v>
      </c>
      <c r="H19" s="273">
        <v>45583</v>
      </c>
      <c r="I19" s="273">
        <v>45604</v>
      </c>
      <c r="J19" s="273">
        <v>45667</v>
      </c>
      <c r="K19" s="49" t="s">
        <v>527</v>
      </c>
      <c r="L19" s="49" t="s">
        <v>1401</v>
      </c>
      <c r="M19" s="66"/>
      <c r="N19" s="56"/>
      <c r="O19" s="56"/>
      <c r="P19" s="56"/>
      <c r="Q19" s="56"/>
      <c r="R19" s="57"/>
      <c r="S19" s="58"/>
      <c r="T19" s="58"/>
      <c r="U19" s="58"/>
      <c r="V19" s="57"/>
      <c r="W19" s="61"/>
      <c r="X19" s="61"/>
      <c r="Y19" s="61"/>
      <c r="Z19" s="61"/>
      <c r="AA19" s="61"/>
      <c r="AB19" s="63"/>
      <c r="AC19" s="64"/>
      <c r="AD19" s="64"/>
      <c r="AE19" s="64"/>
      <c r="AF19" s="64"/>
      <c r="AG19" s="307" t="s">
        <v>860</v>
      </c>
      <c r="AH19" s="73"/>
      <c r="AI19" s="61"/>
      <c r="AJ19" s="73"/>
      <c r="AK19" s="73"/>
      <c r="AL19" s="66"/>
      <c r="AM19" s="56"/>
      <c r="AN19" s="95" t="s">
        <v>861</v>
      </c>
      <c r="AO19" s="56"/>
      <c r="AP19" s="56"/>
      <c r="AQ19" s="57"/>
      <c r="AR19" s="58"/>
      <c r="AS19" s="58"/>
      <c r="AT19" s="58"/>
      <c r="AU19" s="57"/>
      <c r="AV19" s="60"/>
      <c r="AW19" s="61"/>
      <c r="AX19" s="61"/>
      <c r="AY19" s="61"/>
      <c r="AZ19" s="61"/>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row>
    <row r="20" spans="2:77" ht="45">
      <c r="B20" s="47" t="s">
        <v>864</v>
      </c>
      <c r="C20" s="48" t="s">
        <v>1044</v>
      </c>
      <c r="D20" s="49" t="s">
        <v>1045</v>
      </c>
      <c r="E20" s="70" t="s">
        <v>1046</v>
      </c>
      <c r="F20" s="273">
        <v>45463</v>
      </c>
      <c r="G20" s="273">
        <v>45555</v>
      </c>
      <c r="H20" s="273">
        <v>45583</v>
      </c>
      <c r="I20" s="273">
        <v>45603</v>
      </c>
      <c r="J20" s="273">
        <v>45649</v>
      </c>
      <c r="K20" s="49" t="s">
        <v>527</v>
      </c>
      <c r="L20" s="49" t="s">
        <v>1401</v>
      </c>
      <c r="M20" s="66"/>
      <c r="N20" s="56"/>
      <c r="O20" s="56"/>
      <c r="P20" s="56"/>
      <c r="Q20" s="56"/>
      <c r="R20" s="57"/>
      <c r="S20" s="58"/>
      <c r="T20" s="58"/>
      <c r="U20" s="58"/>
      <c r="V20" s="57"/>
      <c r="W20" s="61"/>
      <c r="X20" s="61"/>
      <c r="Y20" s="61"/>
      <c r="Z20" s="61"/>
      <c r="AA20" s="61"/>
      <c r="AB20" s="63"/>
      <c r="AC20" s="64"/>
      <c r="AD20" s="64"/>
      <c r="AE20" s="64"/>
      <c r="AF20" s="64"/>
      <c r="AG20" s="72"/>
      <c r="AH20" s="73"/>
      <c r="AI20" s="309" t="s">
        <v>860</v>
      </c>
      <c r="AJ20" s="73"/>
      <c r="AK20" s="73"/>
      <c r="AL20" s="66"/>
      <c r="AM20" s="56"/>
      <c r="AN20" s="95" t="s">
        <v>861</v>
      </c>
      <c r="AO20" s="61"/>
      <c r="AP20" s="56"/>
      <c r="AQ20" s="57"/>
      <c r="AR20" s="58"/>
      <c r="AS20" s="64"/>
      <c r="AT20" s="58"/>
      <c r="AU20" s="57"/>
      <c r="AV20" s="60"/>
      <c r="AW20" s="61"/>
      <c r="AX20" s="61"/>
      <c r="AY20" s="61"/>
      <c r="AZ20" s="61"/>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row>
    <row r="21" spans="2:77" ht="90">
      <c r="B21" s="47" t="s">
        <v>899</v>
      </c>
      <c r="C21" s="48" t="s">
        <v>1047</v>
      </c>
      <c r="D21" s="49" t="s">
        <v>1048</v>
      </c>
      <c r="E21" s="70" t="s">
        <v>1049</v>
      </c>
      <c r="F21" s="273">
        <v>45450</v>
      </c>
      <c r="G21" s="273">
        <v>45588</v>
      </c>
      <c r="H21" s="273">
        <v>45609</v>
      </c>
      <c r="I21" s="273">
        <v>45630</v>
      </c>
      <c r="J21" s="273">
        <v>45681</v>
      </c>
      <c r="K21" s="49" t="s">
        <v>527</v>
      </c>
      <c r="L21" s="49" t="s">
        <v>1401</v>
      </c>
      <c r="M21" s="66"/>
      <c r="N21" s="56"/>
      <c r="O21" s="56"/>
      <c r="P21" s="56"/>
      <c r="Q21" s="56"/>
      <c r="R21" s="57"/>
      <c r="S21" s="58"/>
      <c r="T21" s="58"/>
      <c r="U21" s="58"/>
      <c r="V21" s="57"/>
      <c r="W21" s="61"/>
      <c r="X21" s="61"/>
      <c r="Y21" s="61"/>
      <c r="Z21" s="61"/>
      <c r="AA21" s="61"/>
      <c r="AB21" s="63"/>
      <c r="AC21" s="64"/>
      <c r="AD21" s="64"/>
      <c r="AE21" s="64"/>
      <c r="AF21" s="64"/>
      <c r="AG21" s="72"/>
      <c r="AH21" s="73"/>
      <c r="AI21" s="73"/>
      <c r="AJ21" s="73"/>
      <c r="AK21" s="73"/>
      <c r="AL21" s="66"/>
      <c r="AM21" s="56"/>
      <c r="AN21" s="56"/>
      <c r="AO21" s="78" t="s">
        <v>860</v>
      </c>
      <c r="AP21" s="56"/>
      <c r="AQ21" s="61"/>
      <c r="AR21" s="58"/>
      <c r="AS21" s="269" t="s">
        <v>861</v>
      </c>
      <c r="AT21" s="64"/>
      <c r="AU21" s="57"/>
      <c r="AV21" s="60"/>
      <c r="AW21" s="61"/>
      <c r="AX21" s="61"/>
      <c r="AY21" s="61"/>
      <c r="AZ21" s="61"/>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row>
    <row r="22" spans="2:77" ht="45">
      <c r="B22" s="47" t="s">
        <v>864</v>
      </c>
      <c r="C22" s="48" t="s">
        <v>1044</v>
      </c>
      <c r="D22" s="49" t="s">
        <v>1050</v>
      </c>
      <c r="E22" s="70" t="s">
        <v>1051</v>
      </c>
      <c r="F22" s="273">
        <v>45481</v>
      </c>
      <c r="G22" s="273">
        <v>45597</v>
      </c>
      <c r="H22" s="273">
        <v>45618</v>
      </c>
      <c r="I22" s="273">
        <v>45639</v>
      </c>
      <c r="J22" s="273">
        <v>45674</v>
      </c>
      <c r="K22" s="49" t="s">
        <v>1402</v>
      </c>
      <c r="L22" s="49" t="s">
        <v>1403</v>
      </c>
      <c r="M22" s="66"/>
      <c r="N22" s="56"/>
      <c r="O22" s="56"/>
      <c r="P22" s="56"/>
      <c r="Q22" s="56"/>
      <c r="R22" s="57"/>
      <c r="S22" s="58"/>
      <c r="T22" s="58"/>
      <c r="U22" s="58"/>
      <c r="V22" s="57"/>
      <c r="W22" s="61"/>
      <c r="X22" s="61"/>
      <c r="Y22" s="61"/>
      <c r="Z22" s="61"/>
      <c r="AA22" s="61"/>
      <c r="AB22" s="63"/>
      <c r="AC22" s="64"/>
      <c r="AD22" s="64"/>
      <c r="AE22" s="64"/>
      <c r="AF22" s="64"/>
      <c r="AG22" s="72"/>
      <c r="AH22" s="73"/>
      <c r="AI22" s="73"/>
      <c r="AJ22" s="73"/>
      <c r="AK22" s="73"/>
      <c r="AL22" s="66"/>
      <c r="AM22" s="56"/>
      <c r="AN22" s="56"/>
      <c r="AO22" s="56"/>
      <c r="AP22" s="56"/>
      <c r="AQ22" s="138" t="s">
        <v>860</v>
      </c>
      <c r="AR22" s="58"/>
      <c r="AS22" s="58"/>
      <c r="AT22" s="95" t="s">
        <v>861</v>
      </c>
      <c r="AU22" s="57"/>
      <c r="AV22" s="60"/>
      <c r="AW22" s="61"/>
      <c r="AX22" s="61"/>
      <c r="AY22" s="61"/>
      <c r="AZ22" s="61"/>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row>
    <row r="23" spans="2:77" ht="45">
      <c r="B23" s="47" t="s">
        <v>864</v>
      </c>
      <c r="C23" s="48" t="s">
        <v>1044</v>
      </c>
      <c r="D23" s="49" t="s">
        <v>1052</v>
      </c>
      <c r="E23" s="70" t="s">
        <v>1053</v>
      </c>
      <c r="F23" s="273">
        <v>45481</v>
      </c>
      <c r="G23" s="273">
        <v>45597</v>
      </c>
      <c r="H23" s="273">
        <v>45618</v>
      </c>
      <c r="I23" s="273">
        <v>45639</v>
      </c>
      <c r="J23" s="273">
        <v>45674</v>
      </c>
      <c r="K23" s="49" t="s">
        <v>1402</v>
      </c>
      <c r="L23" s="49" t="s">
        <v>1403</v>
      </c>
      <c r="M23" s="66"/>
      <c r="N23" s="56"/>
      <c r="O23" s="56"/>
      <c r="P23" s="56"/>
      <c r="Q23" s="56"/>
      <c r="R23" s="57"/>
      <c r="S23" s="58"/>
      <c r="T23" s="58"/>
      <c r="U23" s="58"/>
      <c r="V23" s="57"/>
      <c r="W23" s="61"/>
      <c r="X23" s="61"/>
      <c r="Y23" s="61"/>
      <c r="Z23" s="61"/>
      <c r="AA23" s="61"/>
      <c r="AB23" s="63"/>
      <c r="AC23" s="64"/>
      <c r="AD23" s="64"/>
      <c r="AE23" s="64"/>
      <c r="AF23" s="64"/>
      <c r="AG23" s="72"/>
      <c r="AH23" s="73"/>
      <c r="AI23" s="73"/>
      <c r="AJ23" s="73"/>
      <c r="AK23" s="73"/>
      <c r="AL23" s="66"/>
      <c r="AM23" s="56"/>
      <c r="AN23" s="56"/>
      <c r="AO23" s="56"/>
      <c r="AP23" s="56"/>
      <c r="AQ23" s="310" t="s">
        <v>860</v>
      </c>
      <c r="AR23" s="58"/>
      <c r="AS23" s="58"/>
      <c r="AT23" s="55" t="s">
        <v>861</v>
      </c>
      <c r="AU23" s="57"/>
      <c r="AV23" s="58"/>
      <c r="AW23" s="80"/>
      <c r="AX23" s="61"/>
      <c r="AY23" s="61"/>
      <c r="AZ23" s="61"/>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row>
    <row r="24" spans="2:77" ht="45">
      <c r="B24" s="47" t="s">
        <v>864</v>
      </c>
      <c r="C24" s="48" t="s">
        <v>1037</v>
      </c>
      <c r="D24" s="49" t="s">
        <v>1054</v>
      </c>
      <c r="E24" s="70" t="s">
        <v>1055</v>
      </c>
      <c r="F24" s="273">
        <v>45540</v>
      </c>
      <c r="G24" s="273">
        <v>45615</v>
      </c>
      <c r="H24" s="273">
        <v>45636</v>
      </c>
      <c r="I24" s="273">
        <v>45650</v>
      </c>
      <c r="J24" s="273">
        <v>45674</v>
      </c>
      <c r="K24" s="49" t="s">
        <v>1402</v>
      </c>
      <c r="L24" s="49" t="s">
        <v>1403</v>
      </c>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137" t="s">
        <v>860</v>
      </c>
      <c r="AU24" s="80"/>
      <c r="AV24" s="61"/>
      <c r="AW24" s="55" t="s">
        <v>861</v>
      </c>
      <c r="AX24" s="64"/>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row>
    <row r="25" spans="2:77" ht="47.25" customHeight="1">
      <c r="B25" s="47" t="s">
        <v>864</v>
      </c>
      <c r="C25" s="48" t="s">
        <v>1056</v>
      </c>
      <c r="D25" s="49" t="s">
        <v>1057</v>
      </c>
      <c r="E25" s="70" t="s">
        <v>1058</v>
      </c>
      <c r="F25" s="273">
        <v>45510</v>
      </c>
      <c r="G25" s="273">
        <v>45646</v>
      </c>
      <c r="H25" s="273">
        <v>45660</v>
      </c>
      <c r="I25" s="273">
        <v>45673</v>
      </c>
      <c r="J25" s="273">
        <v>45705</v>
      </c>
      <c r="K25" s="49" t="s">
        <v>1404</v>
      </c>
      <c r="L25" s="49" t="s">
        <v>1405</v>
      </c>
      <c r="AX25" s="137" t="s">
        <v>860</v>
      </c>
      <c r="BA25" s="55" t="s">
        <v>861</v>
      </c>
      <c r="BB25" s="112"/>
    </row>
    <row r="26" spans="2:77" ht="45">
      <c r="B26" s="47" t="s">
        <v>899</v>
      </c>
      <c r="C26" s="48" t="s">
        <v>1059</v>
      </c>
      <c r="D26" s="49" t="s">
        <v>1060</v>
      </c>
      <c r="E26" s="70" t="s">
        <v>1061</v>
      </c>
      <c r="F26" s="273">
        <v>45517</v>
      </c>
      <c r="G26" s="273">
        <v>45656</v>
      </c>
      <c r="H26" s="273">
        <v>45691</v>
      </c>
      <c r="I26" s="273">
        <v>45712</v>
      </c>
      <c r="J26" s="273">
        <v>45734</v>
      </c>
      <c r="K26" s="49" t="s">
        <v>1406</v>
      </c>
      <c r="L26" s="49" t="s">
        <v>1407</v>
      </c>
      <c r="AX26" s="61"/>
      <c r="AZ26" s="137" t="s">
        <v>860</v>
      </c>
      <c r="BB26" s="76"/>
      <c r="BF26" s="55" t="s">
        <v>861</v>
      </c>
    </row>
    <row r="27" spans="2:77" ht="45">
      <c r="B27" s="47" t="s">
        <v>899</v>
      </c>
      <c r="C27" s="48" t="s">
        <v>1059</v>
      </c>
      <c r="D27" s="49" t="s">
        <v>1062</v>
      </c>
      <c r="E27" s="70" t="s">
        <v>1063</v>
      </c>
      <c r="F27" s="273">
        <v>45517</v>
      </c>
      <c r="G27" s="273">
        <v>45656</v>
      </c>
      <c r="H27" s="273">
        <v>45691</v>
      </c>
      <c r="I27" s="273">
        <v>45712</v>
      </c>
      <c r="J27" s="273">
        <v>45734</v>
      </c>
      <c r="K27" s="49" t="s">
        <v>1406</v>
      </c>
      <c r="L27" s="49" t="s">
        <v>1407</v>
      </c>
      <c r="AX27" s="80"/>
      <c r="AZ27" s="137" t="s">
        <v>860</v>
      </c>
      <c r="BB27" s="76"/>
      <c r="BF27" s="55" t="s">
        <v>861</v>
      </c>
    </row>
    <row r="28" spans="2:77" ht="45">
      <c r="B28" s="47" t="s">
        <v>899</v>
      </c>
      <c r="C28" s="48" t="s">
        <v>1064</v>
      </c>
      <c r="D28" s="49" t="s">
        <v>1065</v>
      </c>
      <c r="E28" s="70" t="s">
        <v>1066</v>
      </c>
      <c r="F28" s="273">
        <v>45517</v>
      </c>
      <c r="G28" s="273">
        <v>45656</v>
      </c>
      <c r="H28" s="273">
        <v>45691</v>
      </c>
      <c r="I28" s="273">
        <v>45712</v>
      </c>
      <c r="J28" s="273">
        <v>45734</v>
      </c>
      <c r="K28" s="49" t="s">
        <v>1406</v>
      </c>
      <c r="L28" s="49" t="s">
        <v>1407</v>
      </c>
      <c r="AZ28" s="137" t="s">
        <v>860</v>
      </c>
      <c r="BB28" s="76"/>
      <c r="BF28" s="55" t="s">
        <v>861</v>
      </c>
    </row>
    <row r="29" spans="2:77" ht="45">
      <c r="B29" s="47" t="s">
        <v>899</v>
      </c>
      <c r="C29" s="48" t="s">
        <v>1064</v>
      </c>
      <c r="D29" s="49" t="s">
        <v>1067</v>
      </c>
      <c r="E29" s="70" t="s">
        <v>1068</v>
      </c>
      <c r="F29" s="273">
        <v>45517</v>
      </c>
      <c r="G29" s="273">
        <v>45656</v>
      </c>
      <c r="H29" s="273">
        <v>45691</v>
      </c>
      <c r="I29" s="273">
        <v>45712</v>
      </c>
      <c r="J29" s="273">
        <v>45734</v>
      </c>
      <c r="K29" s="49" t="s">
        <v>1406</v>
      </c>
      <c r="L29" s="49" t="s">
        <v>1407</v>
      </c>
      <c r="AZ29" s="137" t="s">
        <v>860</v>
      </c>
      <c r="BB29" s="76"/>
      <c r="BF29" s="55" t="s">
        <v>861</v>
      </c>
    </row>
    <row r="30" spans="2:77" ht="45">
      <c r="B30" s="47" t="s">
        <v>899</v>
      </c>
      <c r="C30" s="48" t="s">
        <v>1056</v>
      </c>
      <c r="D30" s="49" t="s">
        <v>1069</v>
      </c>
      <c r="E30" s="70" t="s">
        <v>1070</v>
      </c>
      <c r="F30" s="273">
        <v>45517</v>
      </c>
      <c r="G30" s="273">
        <v>45656</v>
      </c>
      <c r="H30" s="273">
        <v>45691</v>
      </c>
      <c r="I30" s="273">
        <v>45712</v>
      </c>
      <c r="J30" s="273">
        <v>45734</v>
      </c>
      <c r="K30" s="49" t="s">
        <v>1406</v>
      </c>
      <c r="L30" s="49" t="s">
        <v>1407</v>
      </c>
      <c r="AZ30" s="137" t="s">
        <v>860</v>
      </c>
      <c r="BB30" s="80"/>
      <c r="BC30" s="263"/>
      <c r="BF30" s="55" t="s">
        <v>861</v>
      </c>
      <c r="BH30" s="246"/>
    </row>
    <row r="31" spans="2:77" ht="45">
      <c r="B31" s="47" t="s">
        <v>864</v>
      </c>
      <c r="C31" s="48" t="s">
        <v>1071</v>
      </c>
      <c r="D31" s="49" t="s">
        <v>1072</v>
      </c>
      <c r="E31" s="70" t="s">
        <v>1073</v>
      </c>
      <c r="F31" s="273">
        <v>45540</v>
      </c>
      <c r="G31" s="273">
        <v>45665</v>
      </c>
      <c r="H31" s="273">
        <v>45693</v>
      </c>
      <c r="I31" s="273">
        <v>45714</v>
      </c>
      <c r="J31" s="273">
        <v>45744</v>
      </c>
      <c r="K31" s="49" t="s">
        <v>1406</v>
      </c>
      <c r="L31" s="49" t="s">
        <v>1407</v>
      </c>
      <c r="BB31" s="137" t="s">
        <v>860</v>
      </c>
      <c r="BC31" s="263"/>
      <c r="BG31" s="55" t="s">
        <v>861</v>
      </c>
      <c r="BH31" s="246"/>
    </row>
    <row r="32" spans="2:77" ht="45">
      <c r="B32" s="47" t="s">
        <v>864</v>
      </c>
      <c r="C32" s="48" t="s">
        <v>1071</v>
      </c>
      <c r="D32" s="49" t="s">
        <v>1074</v>
      </c>
      <c r="E32" s="70" t="s">
        <v>1075</v>
      </c>
      <c r="F32" s="273">
        <v>45540</v>
      </c>
      <c r="G32" s="273">
        <v>45665</v>
      </c>
      <c r="H32" s="273">
        <v>45693</v>
      </c>
      <c r="I32" s="273">
        <v>45714</v>
      </c>
      <c r="J32" s="273">
        <v>45744</v>
      </c>
      <c r="K32" s="49" t="s">
        <v>1406</v>
      </c>
      <c r="L32" s="49" t="s">
        <v>1407</v>
      </c>
      <c r="BB32" s="138" t="s">
        <v>860</v>
      </c>
      <c r="BG32" s="95" t="s">
        <v>861</v>
      </c>
    </row>
    <row r="33" spans="2:66" ht="45">
      <c r="B33" s="47" t="s">
        <v>864</v>
      </c>
      <c r="C33" s="48" t="s">
        <v>1064</v>
      </c>
      <c r="D33" s="49" t="s">
        <v>1076</v>
      </c>
      <c r="E33" s="70" t="s">
        <v>1077</v>
      </c>
      <c r="F33" s="273">
        <v>45540</v>
      </c>
      <c r="G33" s="273">
        <v>45665</v>
      </c>
      <c r="H33" s="273">
        <v>45693</v>
      </c>
      <c r="I33" s="273">
        <v>45714</v>
      </c>
      <c r="J33" s="273">
        <v>45744</v>
      </c>
      <c r="K33" s="49" t="s">
        <v>1406</v>
      </c>
      <c r="L33" s="49" t="s">
        <v>1407</v>
      </c>
      <c r="BB33" s="138" t="s">
        <v>860</v>
      </c>
      <c r="BG33" s="95" t="s">
        <v>861</v>
      </c>
    </row>
    <row r="34" spans="2:66" ht="45">
      <c r="B34" s="47" t="s">
        <v>864</v>
      </c>
      <c r="C34" s="48" t="s">
        <v>1064</v>
      </c>
      <c r="D34" s="49" t="s">
        <v>1078</v>
      </c>
      <c r="E34" s="70" t="s">
        <v>1079</v>
      </c>
      <c r="F34" s="273">
        <v>45540</v>
      </c>
      <c r="G34" s="273">
        <v>45665</v>
      </c>
      <c r="H34" s="273">
        <v>45693</v>
      </c>
      <c r="I34" s="273">
        <v>45714</v>
      </c>
      <c r="J34" s="273">
        <v>45744</v>
      </c>
      <c r="K34" s="49" t="s">
        <v>1406</v>
      </c>
      <c r="L34" s="49" t="s">
        <v>1407</v>
      </c>
      <c r="BB34" s="138" t="s">
        <v>860</v>
      </c>
      <c r="BG34" s="95" t="s">
        <v>861</v>
      </c>
    </row>
    <row r="35" spans="2:66" ht="45">
      <c r="B35" s="47" t="s">
        <v>864</v>
      </c>
      <c r="C35" s="48" t="s">
        <v>1064</v>
      </c>
      <c r="D35" s="49" t="s">
        <v>1080</v>
      </c>
      <c r="E35" s="70" t="s">
        <v>1081</v>
      </c>
      <c r="F35" s="273">
        <v>45540</v>
      </c>
      <c r="G35" s="273">
        <v>45665</v>
      </c>
      <c r="H35" s="273">
        <v>45693</v>
      </c>
      <c r="I35" s="273">
        <v>45714</v>
      </c>
      <c r="J35" s="273">
        <v>45744</v>
      </c>
      <c r="K35" s="49" t="s">
        <v>1406</v>
      </c>
      <c r="L35" s="49" t="s">
        <v>1407</v>
      </c>
      <c r="BB35" s="138" t="s">
        <v>860</v>
      </c>
      <c r="BG35" s="95" t="s">
        <v>861</v>
      </c>
    </row>
    <row r="36" spans="2:66" ht="45">
      <c r="B36" s="47" t="s">
        <v>864</v>
      </c>
      <c r="C36" s="48" t="s">
        <v>1064</v>
      </c>
      <c r="D36" s="49" t="s">
        <v>1082</v>
      </c>
      <c r="E36" s="70" t="s">
        <v>1083</v>
      </c>
      <c r="F36" s="273">
        <v>45540</v>
      </c>
      <c r="G36" s="273">
        <v>45665</v>
      </c>
      <c r="H36" s="273">
        <v>45693</v>
      </c>
      <c r="I36" s="273">
        <v>45714</v>
      </c>
      <c r="J36" s="273">
        <v>45744</v>
      </c>
      <c r="K36" s="49" t="s">
        <v>1406</v>
      </c>
      <c r="L36" s="49" t="s">
        <v>1407</v>
      </c>
      <c r="BB36" s="138" t="s">
        <v>860</v>
      </c>
      <c r="BG36" s="95" t="s">
        <v>861</v>
      </c>
    </row>
    <row r="37" spans="2:66" ht="45">
      <c r="B37" s="47" t="s">
        <v>864</v>
      </c>
      <c r="C37" s="48" t="s">
        <v>1084</v>
      </c>
      <c r="D37" s="49" t="s">
        <v>1085</v>
      </c>
      <c r="E37" s="70" t="s">
        <v>1086</v>
      </c>
      <c r="F37" s="273">
        <v>45568</v>
      </c>
      <c r="G37" s="273">
        <v>45667</v>
      </c>
      <c r="H37" s="273">
        <v>45694</v>
      </c>
      <c r="I37" s="273">
        <v>45715</v>
      </c>
      <c r="J37" s="273">
        <v>45744</v>
      </c>
      <c r="K37" s="49" t="s">
        <v>1406</v>
      </c>
      <c r="L37" s="49" t="s">
        <v>1407</v>
      </c>
      <c r="BB37" s="138" t="s">
        <v>860</v>
      </c>
      <c r="BG37" s="95" t="s">
        <v>861</v>
      </c>
    </row>
    <row r="38" spans="2:66" ht="45">
      <c r="B38" s="47" t="s">
        <v>864</v>
      </c>
      <c r="C38" s="48" t="s">
        <v>1059</v>
      </c>
      <c r="D38" s="49" t="s">
        <v>1087</v>
      </c>
      <c r="E38" s="70" t="s">
        <v>1088</v>
      </c>
      <c r="F38" s="273">
        <v>45568</v>
      </c>
      <c r="G38" s="273">
        <v>45667</v>
      </c>
      <c r="H38" s="273">
        <v>45694</v>
      </c>
      <c r="I38" s="273">
        <v>45715</v>
      </c>
      <c r="J38" s="273">
        <v>45744</v>
      </c>
      <c r="K38" s="49" t="s">
        <v>1406</v>
      </c>
      <c r="L38" s="49" t="s">
        <v>1407</v>
      </c>
      <c r="BB38" s="138" t="s">
        <v>860</v>
      </c>
      <c r="BG38" s="95" t="s">
        <v>861</v>
      </c>
    </row>
    <row r="39" spans="2:66" ht="45">
      <c r="B39" s="47" t="s">
        <v>864</v>
      </c>
      <c r="C39" s="48" t="s">
        <v>1059</v>
      </c>
      <c r="D39" s="49" t="s">
        <v>1089</v>
      </c>
      <c r="E39" s="70" t="s">
        <v>1090</v>
      </c>
      <c r="F39" s="273">
        <v>45568</v>
      </c>
      <c r="G39" s="273">
        <v>45667</v>
      </c>
      <c r="H39" s="273">
        <v>45694</v>
      </c>
      <c r="I39" s="273">
        <v>45715</v>
      </c>
      <c r="J39" s="273">
        <v>45744</v>
      </c>
      <c r="K39" s="49" t="s">
        <v>1406</v>
      </c>
      <c r="L39" s="49" t="s">
        <v>1407</v>
      </c>
      <c r="BB39" s="138" t="s">
        <v>860</v>
      </c>
      <c r="BG39" s="95" t="s">
        <v>861</v>
      </c>
    </row>
    <row r="40" spans="2:66" ht="45">
      <c r="B40" s="47" t="s">
        <v>864</v>
      </c>
      <c r="C40" s="48" t="s">
        <v>1091</v>
      </c>
      <c r="D40" s="49" t="s">
        <v>1092</v>
      </c>
      <c r="E40" s="70" t="s">
        <v>1093</v>
      </c>
      <c r="F40" s="273">
        <v>45568</v>
      </c>
      <c r="G40" s="273">
        <v>45667</v>
      </c>
      <c r="H40" s="273">
        <v>45694</v>
      </c>
      <c r="I40" s="273">
        <v>45715</v>
      </c>
      <c r="J40" s="273">
        <v>45744</v>
      </c>
      <c r="K40" s="49" t="s">
        <v>1406</v>
      </c>
      <c r="L40" s="49" t="s">
        <v>1407</v>
      </c>
      <c r="BB40" s="138" t="s">
        <v>860</v>
      </c>
      <c r="BG40" s="95" t="s">
        <v>861</v>
      </c>
    </row>
    <row r="41" spans="2:66" ht="45">
      <c r="B41" s="47" t="s">
        <v>864</v>
      </c>
      <c r="C41" s="48" t="s">
        <v>1091</v>
      </c>
      <c r="D41" s="49" t="s">
        <v>1094</v>
      </c>
      <c r="E41" s="70" t="s">
        <v>1095</v>
      </c>
      <c r="F41" s="273">
        <v>45568</v>
      </c>
      <c r="G41" s="273">
        <v>45667</v>
      </c>
      <c r="H41" s="273">
        <v>45694</v>
      </c>
      <c r="I41" s="273">
        <v>45715</v>
      </c>
      <c r="J41" s="273">
        <v>45744</v>
      </c>
      <c r="K41" s="49" t="s">
        <v>1406</v>
      </c>
      <c r="L41" s="49" t="s">
        <v>1407</v>
      </c>
      <c r="BB41" s="138" t="s">
        <v>860</v>
      </c>
      <c r="BG41" s="95" t="s">
        <v>861</v>
      </c>
    </row>
    <row r="42" spans="2:66" ht="45">
      <c r="B42" s="47" t="s">
        <v>899</v>
      </c>
      <c r="C42" s="48" t="s">
        <v>1059</v>
      </c>
      <c r="D42" s="49" t="s">
        <v>1096</v>
      </c>
      <c r="E42" s="70" t="s">
        <v>1097</v>
      </c>
      <c r="F42" s="273">
        <v>45586</v>
      </c>
      <c r="G42" s="273">
        <v>45672</v>
      </c>
      <c r="H42" s="273">
        <v>45700</v>
      </c>
      <c r="I42" s="273">
        <v>45720</v>
      </c>
      <c r="J42" s="273">
        <v>45754</v>
      </c>
      <c r="K42" s="49" t="s">
        <v>1408</v>
      </c>
      <c r="L42" s="49" t="s">
        <v>1409</v>
      </c>
      <c r="BB42" s="263"/>
      <c r="BC42" s="137" t="s">
        <v>860</v>
      </c>
      <c r="BG42" s="246"/>
      <c r="BH42" s="55" t="s">
        <v>861</v>
      </c>
    </row>
    <row r="43" spans="2:66" ht="45">
      <c r="B43" s="47" t="s">
        <v>899</v>
      </c>
      <c r="C43" s="48" t="s">
        <v>1064</v>
      </c>
      <c r="D43" s="49" t="s">
        <v>1098</v>
      </c>
      <c r="E43" s="70" t="s">
        <v>1099</v>
      </c>
      <c r="F43" s="273">
        <v>45586</v>
      </c>
      <c r="G43" s="273">
        <v>45672</v>
      </c>
      <c r="H43" s="273">
        <v>45700</v>
      </c>
      <c r="I43" s="273">
        <v>45720</v>
      </c>
      <c r="J43" s="273">
        <v>45754</v>
      </c>
      <c r="K43" s="49" t="s">
        <v>1408</v>
      </c>
      <c r="L43" s="49" t="s">
        <v>1409</v>
      </c>
      <c r="BC43" s="138" t="s">
        <v>860</v>
      </c>
      <c r="BH43" s="55" t="s">
        <v>861</v>
      </c>
      <c r="BI43" s="246"/>
    </row>
    <row r="44" spans="2:66" ht="45">
      <c r="B44" s="47" t="s">
        <v>899</v>
      </c>
      <c r="C44" s="48" t="s">
        <v>1047</v>
      </c>
      <c r="D44" s="49" t="s">
        <v>1100</v>
      </c>
      <c r="E44" s="70" t="s">
        <v>1101</v>
      </c>
      <c r="F44" s="273">
        <v>45586</v>
      </c>
      <c r="G44" s="273">
        <v>45672</v>
      </c>
      <c r="H44" s="273">
        <v>45700</v>
      </c>
      <c r="I44" s="273">
        <v>45720</v>
      </c>
      <c r="J44" s="273">
        <v>45754</v>
      </c>
      <c r="K44" s="49" t="s">
        <v>1408</v>
      </c>
      <c r="L44" s="49" t="s">
        <v>1409</v>
      </c>
      <c r="BC44" s="137" t="s">
        <v>860</v>
      </c>
      <c r="BG44" s="263"/>
      <c r="BH44" s="55" t="s">
        <v>861</v>
      </c>
      <c r="BJ44" s="246"/>
    </row>
    <row r="45" spans="2:66" ht="45">
      <c r="B45" s="47" t="s">
        <v>864</v>
      </c>
      <c r="C45" s="48" t="s">
        <v>1102</v>
      </c>
      <c r="D45" s="49" t="s">
        <v>1103</v>
      </c>
      <c r="E45" s="70" t="s">
        <v>1104</v>
      </c>
      <c r="F45" s="273">
        <v>45576</v>
      </c>
      <c r="G45" s="273">
        <v>45674</v>
      </c>
      <c r="H45" s="273">
        <v>45709</v>
      </c>
      <c r="I45" s="273">
        <v>45729</v>
      </c>
      <c r="J45" s="273">
        <v>45758</v>
      </c>
      <c r="K45" s="49" t="s">
        <v>1410</v>
      </c>
      <c r="L45" s="49" t="s">
        <v>1411</v>
      </c>
      <c r="BC45" s="137" t="s">
        <v>860</v>
      </c>
      <c r="BG45" s="263"/>
      <c r="BI45" s="55" t="s">
        <v>861</v>
      </c>
      <c r="BJ45" s="246"/>
    </row>
    <row r="46" spans="2:66" ht="45">
      <c r="B46" s="47" t="s">
        <v>864</v>
      </c>
      <c r="C46" s="48" t="s">
        <v>1102</v>
      </c>
      <c r="D46" s="49" t="s">
        <v>1158</v>
      </c>
      <c r="E46" s="70" t="s">
        <v>1159</v>
      </c>
      <c r="F46" s="273">
        <v>45576</v>
      </c>
      <c r="G46" s="273">
        <v>45674</v>
      </c>
      <c r="H46" s="273">
        <v>45709</v>
      </c>
      <c r="I46" s="273">
        <v>45729</v>
      </c>
      <c r="J46" s="273">
        <v>45758</v>
      </c>
      <c r="K46" s="49" t="s">
        <v>1410</v>
      </c>
      <c r="L46" s="49" t="s">
        <v>1411</v>
      </c>
      <c r="BC46" s="137" t="s">
        <v>860</v>
      </c>
      <c r="BG46" s="263"/>
      <c r="BI46" s="55" t="s">
        <v>861</v>
      </c>
      <c r="BJ46" s="246"/>
    </row>
    <row r="47" spans="2:66" ht="45">
      <c r="B47" s="47" t="s">
        <v>864</v>
      </c>
      <c r="C47" s="48" t="s">
        <v>1084</v>
      </c>
      <c r="D47" s="49" t="s">
        <v>1105</v>
      </c>
      <c r="E47" s="70" t="s">
        <v>1106</v>
      </c>
      <c r="F47" s="273">
        <v>45593</v>
      </c>
      <c r="G47" s="273">
        <v>45695</v>
      </c>
      <c r="H47" s="273">
        <v>45716</v>
      </c>
      <c r="I47" s="273">
        <v>45737</v>
      </c>
      <c r="J47" s="273">
        <v>45772</v>
      </c>
      <c r="K47" s="49" t="s">
        <v>1410</v>
      </c>
      <c r="L47" s="49" t="s">
        <v>1411</v>
      </c>
      <c r="BG47" s="138" t="s">
        <v>860</v>
      </c>
      <c r="BJ47" s="95" t="s">
        <v>861</v>
      </c>
    </row>
    <row r="48" spans="2:66" ht="45">
      <c r="B48" s="47" t="s">
        <v>864</v>
      </c>
      <c r="C48" s="48" t="s">
        <v>1084</v>
      </c>
      <c r="D48" s="49" t="s">
        <v>1107</v>
      </c>
      <c r="E48" s="70" t="s">
        <v>1108</v>
      </c>
      <c r="F48" s="273">
        <v>45593</v>
      </c>
      <c r="G48" s="273">
        <v>45695</v>
      </c>
      <c r="H48" s="273">
        <v>45716</v>
      </c>
      <c r="I48" s="273">
        <v>45737</v>
      </c>
      <c r="J48" s="273">
        <v>45772</v>
      </c>
      <c r="K48" s="49" t="s">
        <v>1410</v>
      </c>
      <c r="L48" s="49" t="s">
        <v>1411</v>
      </c>
      <c r="BG48" s="137" t="s">
        <v>860</v>
      </c>
      <c r="BH48" s="263"/>
      <c r="BJ48" s="55" t="s">
        <v>861</v>
      </c>
      <c r="BN48" s="246"/>
    </row>
    <row r="49" spans="2:66" ht="45">
      <c r="B49" s="47" t="s">
        <v>864</v>
      </c>
      <c r="C49" s="48" t="s">
        <v>1059</v>
      </c>
      <c r="D49" s="49" t="s">
        <v>1109</v>
      </c>
      <c r="E49" s="70" t="s">
        <v>1110</v>
      </c>
      <c r="F49" s="273">
        <v>45596</v>
      </c>
      <c r="G49" s="273">
        <v>45695</v>
      </c>
      <c r="H49" s="273">
        <v>45716</v>
      </c>
      <c r="I49" s="273">
        <v>45737</v>
      </c>
      <c r="J49" s="273">
        <v>45772</v>
      </c>
      <c r="K49" s="49" t="s">
        <v>1410</v>
      </c>
      <c r="L49" s="49" t="s">
        <v>1411</v>
      </c>
      <c r="BG49" s="137" t="s">
        <v>860</v>
      </c>
      <c r="BH49" s="263"/>
      <c r="BJ49" s="55" t="s">
        <v>861</v>
      </c>
      <c r="BN49" s="246"/>
    </row>
    <row r="50" spans="2:66" ht="45">
      <c r="B50" s="47" t="s">
        <v>864</v>
      </c>
      <c r="C50" s="48" t="s">
        <v>1059</v>
      </c>
      <c r="D50" s="49" t="s">
        <v>1111</v>
      </c>
      <c r="E50" s="70" t="s">
        <v>1112</v>
      </c>
      <c r="F50" s="273">
        <v>45596</v>
      </c>
      <c r="G50" s="273">
        <v>45695</v>
      </c>
      <c r="H50" s="273">
        <v>45716</v>
      </c>
      <c r="I50" s="273">
        <v>45737</v>
      </c>
      <c r="J50" s="273">
        <v>45772</v>
      </c>
      <c r="K50" s="49" t="s">
        <v>1410</v>
      </c>
      <c r="L50" s="49" t="s">
        <v>1411</v>
      </c>
      <c r="BG50" s="137" t="s">
        <v>860</v>
      </c>
      <c r="BH50" s="263"/>
      <c r="BJ50" s="55" t="s">
        <v>861</v>
      </c>
      <c r="BN50" s="246"/>
    </row>
    <row r="51" spans="2:66" ht="45">
      <c r="B51" s="47" t="s">
        <v>864</v>
      </c>
      <c r="C51" s="48" t="s">
        <v>1084</v>
      </c>
      <c r="D51" s="49" t="s">
        <v>1144</v>
      </c>
      <c r="E51" s="70" t="s">
        <v>1145</v>
      </c>
      <c r="F51" s="273">
        <v>45593</v>
      </c>
      <c r="G51" s="273">
        <v>45695</v>
      </c>
      <c r="H51" s="273">
        <v>45716</v>
      </c>
      <c r="I51" s="273">
        <v>45737</v>
      </c>
      <c r="J51" s="273">
        <v>45772</v>
      </c>
      <c r="K51" s="49" t="s">
        <v>1410</v>
      </c>
      <c r="L51" s="49" t="s">
        <v>1411</v>
      </c>
      <c r="BG51" s="137" t="s">
        <v>860</v>
      </c>
      <c r="BH51" s="263"/>
      <c r="BJ51" s="95" t="s">
        <v>861</v>
      </c>
    </row>
    <row r="52" spans="2:66" ht="45">
      <c r="B52" s="47" t="s">
        <v>864</v>
      </c>
      <c r="C52" s="48" t="s">
        <v>1064</v>
      </c>
      <c r="D52" s="49" t="s">
        <v>1135</v>
      </c>
      <c r="E52" s="70" t="s">
        <v>1136</v>
      </c>
      <c r="F52" s="273">
        <v>45589</v>
      </c>
      <c r="G52" s="273">
        <v>45695</v>
      </c>
      <c r="H52" s="273">
        <v>45719</v>
      </c>
      <c r="I52" s="273">
        <v>45741</v>
      </c>
      <c r="J52" s="273">
        <v>45776</v>
      </c>
      <c r="K52" s="49" t="s">
        <v>1410</v>
      </c>
      <c r="L52" s="49" t="s">
        <v>1411</v>
      </c>
      <c r="BG52" s="137" t="s">
        <v>860</v>
      </c>
      <c r="BH52" s="263"/>
      <c r="BJ52" s="246"/>
      <c r="BL52" s="55" t="s">
        <v>861</v>
      </c>
    </row>
    <row r="53" spans="2:66" ht="45">
      <c r="B53" s="47" t="s">
        <v>864</v>
      </c>
      <c r="C53" s="48" t="s">
        <v>1059</v>
      </c>
      <c r="D53" s="49" t="s">
        <v>1146</v>
      </c>
      <c r="E53" s="70" t="s">
        <v>1147</v>
      </c>
      <c r="F53" s="273">
        <v>45653</v>
      </c>
      <c r="G53" s="273">
        <v>45695</v>
      </c>
      <c r="H53" s="273">
        <v>45719</v>
      </c>
      <c r="I53" s="273">
        <v>45740</v>
      </c>
      <c r="J53" s="273">
        <v>45772</v>
      </c>
      <c r="K53" s="49" t="s">
        <v>1410</v>
      </c>
      <c r="L53" s="49" t="s">
        <v>1411</v>
      </c>
      <c r="BG53" s="137" t="s">
        <v>860</v>
      </c>
      <c r="BH53" s="263"/>
      <c r="BJ53" s="246"/>
      <c r="BL53" s="55" t="s">
        <v>861</v>
      </c>
    </row>
    <row r="54" spans="2:66" ht="45">
      <c r="B54" s="47" t="s">
        <v>864</v>
      </c>
      <c r="C54" s="48" t="s">
        <v>1059</v>
      </c>
      <c r="D54" s="49" t="s">
        <v>1148</v>
      </c>
      <c r="E54" s="70" t="s">
        <v>1149</v>
      </c>
      <c r="F54" s="273">
        <v>45653</v>
      </c>
      <c r="G54" s="273">
        <v>45695</v>
      </c>
      <c r="H54" s="273">
        <v>45719</v>
      </c>
      <c r="I54" s="273">
        <v>45740</v>
      </c>
      <c r="J54" s="273">
        <v>45772</v>
      </c>
      <c r="K54" s="49" t="s">
        <v>1410</v>
      </c>
      <c r="L54" s="49" t="s">
        <v>1411</v>
      </c>
      <c r="BG54" s="137" t="s">
        <v>860</v>
      </c>
      <c r="BH54" s="263"/>
      <c r="BJ54" s="246"/>
      <c r="BL54" s="55" t="s">
        <v>861</v>
      </c>
    </row>
    <row r="55" spans="2:66" ht="45">
      <c r="B55" s="47" t="s">
        <v>864</v>
      </c>
      <c r="C55" s="48" t="s">
        <v>1064</v>
      </c>
      <c r="D55" s="49" t="s">
        <v>1150</v>
      </c>
      <c r="E55" s="70" t="s">
        <v>1151</v>
      </c>
      <c r="F55" s="273">
        <v>45589</v>
      </c>
      <c r="G55" s="273">
        <v>45695</v>
      </c>
      <c r="H55" s="273">
        <v>45719</v>
      </c>
      <c r="I55" s="273">
        <v>45741</v>
      </c>
      <c r="J55" s="273">
        <v>45776</v>
      </c>
      <c r="K55" s="49" t="s">
        <v>1410</v>
      </c>
      <c r="L55" s="49" t="s">
        <v>1411</v>
      </c>
      <c r="BG55" s="137" t="s">
        <v>860</v>
      </c>
      <c r="BH55" s="263"/>
      <c r="BJ55" s="246"/>
      <c r="BL55" s="55" t="s">
        <v>861</v>
      </c>
    </row>
    <row r="56" spans="2:66" ht="45">
      <c r="B56" s="47" t="s">
        <v>864</v>
      </c>
      <c r="C56" s="48" t="s">
        <v>1091</v>
      </c>
      <c r="D56" s="49" t="s">
        <v>1154</v>
      </c>
      <c r="E56" s="70" t="s">
        <v>1155</v>
      </c>
      <c r="F56" s="273">
        <v>45653</v>
      </c>
      <c r="G56" s="273">
        <v>45695</v>
      </c>
      <c r="H56" s="273">
        <v>45719</v>
      </c>
      <c r="I56" s="273">
        <v>45740</v>
      </c>
      <c r="J56" s="273">
        <v>45772</v>
      </c>
      <c r="K56" s="49" t="s">
        <v>1410</v>
      </c>
      <c r="L56" s="49" t="s">
        <v>1411</v>
      </c>
      <c r="BG56" s="137" t="s">
        <v>860</v>
      </c>
      <c r="BH56" s="263"/>
      <c r="BJ56" s="246"/>
      <c r="BL56" s="55" t="s">
        <v>861</v>
      </c>
    </row>
    <row r="57" spans="2:66" ht="45">
      <c r="B57" s="47" t="s">
        <v>864</v>
      </c>
      <c r="C57" s="48" t="s">
        <v>1084</v>
      </c>
      <c r="D57" s="49" t="s">
        <v>1156</v>
      </c>
      <c r="E57" s="70" t="s">
        <v>1157</v>
      </c>
      <c r="F57" s="273">
        <v>45653</v>
      </c>
      <c r="G57" s="273">
        <v>45695</v>
      </c>
      <c r="H57" s="273">
        <v>45719</v>
      </c>
      <c r="I57" s="273">
        <v>45740</v>
      </c>
      <c r="J57" s="273">
        <v>45772</v>
      </c>
      <c r="K57" s="49" t="s">
        <v>1410</v>
      </c>
      <c r="L57" s="49" t="s">
        <v>1411</v>
      </c>
      <c r="BG57" s="137" t="s">
        <v>860</v>
      </c>
      <c r="BH57" s="263"/>
      <c r="BJ57" s="246"/>
      <c r="BL57" s="55" t="s">
        <v>861</v>
      </c>
    </row>
    <row r="58" spans="2:66" ht="45">
      <c r="B58" s="47" t="s">
        <v>864</v>
      </c>
      <c r="C58" s="48" t="s">
        <v>1064</v>
      </c>
      <c r="D58" s="49" t="s">
        <v>1121</v>
      </c>
      <c r="E58" s="70" t="s">
        <v>1122</v>
      </c>
      <c r="F58" s="273">
        <v>45589</v>
      </c>
      <c r="G58" s="273">
        <v>45702</v>
      </c>
      <c r="H58" s="273">
        <v>45723</v>
      </c>
      <c r="I58" s="273">
        <v>45744</v>
      </c>
      <c r="J58" s="273">
        <v>45772</v>
      </c>
      <c r="K58" s="49" t="s">
        <v>1410</v>
      </c>
      <c r="L58" s="49" t="s">
        <v>1411</v>
      </c>
      <c r="BH58" s="137" t="s">
        <v>860</v>
      </c>
      <c r="BL58" s="55" t="s">
        <v>861</v>
      </c>
    </row>
    <row r="59" spans="2:66" ht="45">
      <c r="B59" s="47" t="s">
        <v>864</v>
      </c>
      <c r="C59" s="48" t="s">
        <v>1064</v>
      </c>
      <c r="D59" s="49" t="s">
        <v>1123</v>
      </c>
      <c r="E59" s="70" t="s">
        <v>1124</v>
      </c>
      <c r="F59" s="273">
        <v>45589</v>
      </c>
      <c r="G59" s="273">
        <v>45702</v>
      </c>
      <c r="H59" s="273">
        <v>45723</v>
      </c>
      <c r="I59" s="273">
        <v>45744</v>
      </c>
      <c r="J59" s="273">
        <v>45772</v>
      </c>
      <c r="K59" s="49" t="s">
        <v>1410</v>
      </c>
      <c r="L59" s="49" t="s">
        <v>1411</v>
      </c>
      <c r="BH59" s="137" t="s">
        <v>860</v>
      </c>
      <c r="BL59" s="55" t="s">
        <v>861</v>
      </c>
      <c r="BN59" s="246"/>
    </row>
    <row r="60" spans="2:66" ht="45">
      <c r="B60" s="47" t="s">
        <v>864</v>
      </c>
      <c r="C60" s="48" t="s">
        <v>1064</v>
      </c>
      <c r="D60" s="49" t="s">
        <v>1125</v>
      </c>
      <c r="E60" s="70" t="s">
        <v>1126</v>
      </c>
      <c r="F60" s="273">
        <v>45589</v>
      </c>
      <c r="G60" s="273">
        <v>45702</v>
      </c>
      <c r="H60" s="273">
        <v>45723</v>
      </c>
      <c r="I60" s="273">
        <v>45744</v>
      </c>
      <c r="J60" s="273">
        <v>45772</v>
      </c>
      <c r="K60" s="49" t="s">
        <v>1410</v>
      </c>
      <c r="L60" s="49" t="s">
        <v>1411</v>
      </c>
      <c r="BH60" s="137" t="s">
        <v>860</v>
      </c>
      <c r="BL60" s="55" t="s">
        <v>861</v>
      </c>
    </row>
    <row r="61" spans="2:66" ht="45">
      <c r="B61" s="47" t="s">
        <v>864</v>
      </c>
      <c r="C61" s="48" t="s">
        <v>1064</v>
      </c>
      <c r="D61" s="49" t="s">
        <v>1127</v>
      </c>
      <c r="E61" s="70" t="s">
        <v>1128</v>
      </c>
      <c r="F61" s="273">
        <v>45589</v>
      </c>
      <c r="G61" s="273">
        <v>45702</v>
      </c>
      <c r="H61" s="273">
        <v>45723</v>
      </c>
      <c r="I61" s="273">
        <v>45744</v>
      </c>
      <c r="J61" s="273">
        <v>45772</v>
      </c>
      <c r="K61" s="49" t="s">
        <v>1410</v>
      </c>
      <c r="L61" s="49" t="s">
        <v>1411</v>
      </c>
      <c r="BH61" s="137" t="s">
        <v>860</v>
      </c>
      <c r="BL61" s="55" t="s">
        <v>861</v>
      </c>
    </row>
    <row r="62" spans="2:66" ht="45">
      <c r="B62" s="47" t="s">
        <v>864</v>
      </c>
      <c r="C62" s="48" t="s">
        <v>1064</v>
      </c>
      <c r="D62" s="49" t="s">
        <v>1129</v>
      </c>
      <c r="E62" s="70" t="s">
        <v>1130</v>
      </c>
      <c r="F62" s="273">
        <v>45589</v>
      </c>
      <c r="G62" s="273">
        <v>45702</v>
      </c>
      <c r="H62" s="273">
        <v>45723</v>
      </c>
      <c r="I62" s="273">
        <v>45744</v>
      </c>
      <c r="J62" s="273">
        <v>45772</v>
      </c>
      <c r="K62" s="49" t="s">
        <v>1410</v>
      </c>
      <c r="L62" s="49" t="s">
        <v>1411</v>
      </c>
      <c r="BH62" s="137" t="s">
        <v>860</v>
      </c>
      <c r="BL62" s="55" t="s">
        <v>861</v>
      </c>
    </row>
    <row r="63" spans="2:66" ht="45">
      <c r="B63" s="47" t="s">
        <v>864</v>
      </c>
      <c r="C63" s="48" t="s">
        <v>1064</v>
      </c>
      <c r="D63" s="49" t="s">
        <v>1131</v>
      </c>
      <c r="E63" s="70" t="s">
        <v>1132</v>
      </c>
      <c r="F63" s="273">
        <v>45589</v>
      </c>
      <c r="G63" s="273">
        <v>45702</v>
      </c>
      <c r="H63" s="273">
        <v>45723</v>
      </c>
      <c r="I63" s="273">
        <v>45744</v>
      </c>
      <c r="J63" s="273">
        <v>45772</v>
      </c>
      <c r="K63" s="49" t="s">
        <v>1410</v>
      </c>
      <c r="L63" s="49" t="s">
        <v>1411</v>
      </c>
      <c r="BH63" s="137" t="s">
        <v>860</v>
      </c>
      <c r="BL63" s="55" t="s">
        <v>861</v>
      </c>
    </row>
    <row r="64" spans="2:66" ht="60">
      <c r="B64" s="47" t="s">
        <v>864</v>
      </c>
      <c r="C64" s="48" t="s">
        <v>1064</v>
      </c>
      <c r="D64" s="49" t="s">
        <v>1133</v>
      </c>
      <c r="E64" s="70" t="s">
        <v>1134</v>
      </c>
      <c r="F64" s="273">
        <v>45589</v>
      </c>
      <c r="G64" s="273">
        <v>45702</v>
      </c>
      <c r="H64" s="273">
        <v>45723</v>
      </c>
      <c r="I64" s="273">
        <v>45744</v>
      </c>
      <c r="J64" s="273">
        <v>45772</v>
      </c>
      <c r="K64" s="49" t="s">
        <v>1410</v>
      </c>
      <c r="L64" s="49" t="s">
        <v>1411</v>
      </c>
      <c r="BH64" s="137" t="s">
        <v>860</v>
      </c>
      <c r="BL64" s="55" t="s">
        <v>861</v>
      </c>
    </row>
    <row r="65" spans="2:71" ht="45">
      <c r="B65" s="47" t="s">
        <v>864</v>
      </c>
      <c r="C65" s="48" t="s">
        <v>1064</v>
      </c>
      <c r="D65" s="49" t="s">
        <v>1139</v>
      </c>
      <c r="E65" s="70" t="s">
        <v>1140</v>
      </c>
      <c r="F65" s="273">
        <v>45589</v>
      </c>
      <c r="G65" s="273">
        <v>45702</v>
      </c>
      <c r="H65" s="273">
        <v>45723</v>
      </c>
      <c r="I65" s="273">
        <v>45744</v>
      </c>
      <c r="J65" s="273">
        <v>45772</v>
      </c>
      <c r="K65" s="49" t="s">
        <v>1410</v>
      </c>
      <c r="L65" s="49" t="s">
        <v>1411</v>
      </c>
      <c r="BH65" s="137" t="s">
        <v>860</v>
      </c>
      <c r="BL65" s="55" t="s">
        <v>861</v>
      </c>
    </row>
    <row r="66" spans="2:71" ht="45">
      <c r="B66" s="47" t="s">
        <v>899</v>
      </c>
      <c r="C66" s="48" t="s">
        <v>1059</v>
      </c>
      <c r="D66" s="49" t="s">
        <v>1113</v>
      </c>
      <c r="E66" s="70" t="s">
        <v>1114</v>
      </c>
      <c r="F66" s="273">
        <v>45588</v>
      </c>
      <c r="G66" s="273">
        <v>45699</v>
      </c>
      <c r="H66" s="273">
        <v>45737</v>
      </c>
      <c r="I66" s="273">
        <v>45758</v>
      </c>
      <c r="J66" s="273">
        <v>45793</v>
      </c>
      <c r="K66" s="49" t="s">
        <v>1361</v>
      </c>
      <c r="L66" s="49" t="s">
        <v>1362</v>
      </c>
      <c r="BH66" s="137" t="s">
        <v>860</v>
      </c>
      <c r="BN66" s="55" t="s">
        <v>861</v>
      </c>
    </row>
    <row r="67" spans="2:71" ht="45">
      <c r="B67" s="47" t="s">
        <v>899</v>
      </c>
      <c r="C67" s="48" t="s">
        <v>1064</v>
      </c>
      <c r="D67" s="49" t="s">
        <v>1115</v>
      </c>
      <c r="E67" s="70" t="s">
        <v>1116</v>
      </c>
      <c r="F67" s="273">
        <v>45588</v>
      </c>
      <c r="G67" s="273">
        <v>45699</v>
      </c>
      <c r="H67" s="273">
        <v>45737</v>
      </c>
      <c r="I67" s="273">
        <v>45758</v>
      </c>
      <c r="J67" s="273">
        <v>45793</v>
      </c>
      <c r="K67" s="49" t="s">
        <v>1361</v>
      </c>
      <c r="L67" s="49" t="s">
        <v>1362</v>
      </c>
      <c r="BH67" s="137" t="s">
        <v>860</v>
      </c>
      <c r="BN67" s="55" t="s">
        <v>861</v>
      </c>
    </row>
    <row r="68" spans="2:71" ht="45">
      <c r="B68" s="47" t="s">
        <v>899</v>
      </c>
      <c r="C68" s="48" t="s">
        <v>1064</v>
      </c>
      <c r="D68" s="49" t="s">
        <v>1117</v>
      </c>
      <c r="E68" s="70" t="s">
        <v>1118</v>
      </c>
      <c r="F68" s="273">
        <v>45588</v>
      </c>
      <c r="G68" s="273">
        <v>45699</v>
      </c>
      <c r="H68" s="273">
        <v>45737</v>
      </c>
      <c r="I68" s="273">
        <v>45758</v>
      </c>
      <c r="J68" s="273">
        <v>45793</v>
      </c>
      <c r="K68" s="49" t="s">
        <v>1361</v>
      </c>
      <c r="L68" s="49" t="s">
        <v>1362</v>
      </c>
      <c r="BH68" s="137" t="s">
        <v>860</v>
      </c>
      <c r="BN68" s="55" t="s">
        <v>861</v>
      </c>
    </row>
    <row r="69" spans="2:71" ht="60">
      <c r="B69" s="47" t="s">
        <v>864</v>
      </c>
      <c r="C69" s="48" t="s">
        <v>1056</v>
      </c>
      <c r="D69" s="49" t="s">
        <v>1119</v>
      </c>
      <c r="E69" s="70" t="s">
        <v>1120</v>
      </c>
      <c r="F69" s="273">
        <v>45541</v>
      </c>
      <c r="G69" s="273">
        <v>45722</v>
      </c>
      <c r="H69" s="273">
        <v>45744</v>
      </c>
      <c r="I69" s="273">
        <v>45758</v>
      </c>
      <c r="J69" s="273">
        <v>45793</v>
      </c>
      <c r="K69" s="49" t="s">
        <v>1361</v>
      </c>
      <c r="L69" s="49" t="s">
        <v>1362</v>
      </c>
      <c r="BL69" s="137" t="s">
        <v>860</v>
      </c>
      <c r="BO69" s="55" t="s">
        <v>861</v>
      </c>
    </row>
    <row r="70" spans="2:71" ht="45">
      <c r="B70" s="47" t="s">
        <v>864</v>
      </c>
      <c r="C70" s="48" t="s">
        <v>1056</v>
      </c>
      <c r="D70" s="49" t="s">
        <v>1141</v>
      </c>
      <c r="E70" s="70" t="s">
        <v>1142</v>
      </c>
      <c r="F70" s="273">
        <v>45611</v>
      </c>
      <c r="G70" s="273">
        <v>45733</v>
      </c>
      <c r="H70" s="273">
        <v>45754</v>
      </c>
      <c r="I70" s="273">
        <v>45768</v>
      </c>
      <c r="J70" s="273">
        <v>45793</v>
      </c>
      <c r="K70" s="49" t="s">
        <v>1361</v>
      </c>
      <c r="L70" s="49" t="s">
        <v>1362</v>
      </c>
      <c r="BN70" s="137" t="s">
        <v>860</v>
      </c>
      <c r="BQ70" s="55" t="s">
        <v>861</v>
      </c>
    </row>
    <row r="71" spans="2:71" ht="45">
      <c r="B71" s="47" t="s">
        <v>864</v>
      </c>
      <c r="C71" s="48" t="s">
        <v>1056</v>
      </c>
      <c r="D71" s="49" t="s">
        <v>1152</v>
      </c>
      <c r="E71" s="70" t="s">
        <v>1153</v>
      </c>
      <c r="F71" s="273">
        <v>45611</v>
      </c>
      <c r="G71" s="273">
        <v>45733</v>
      </c>
      <c r="H71" s="273">
        <v>45754</v>
      </c>
      <c r="I71" s="273">
        <v>45768</v>
      </c>
      <c r="J71" s="273">
        <v>45793</v>
      </c>
      <c r="K71" s="49" t="s">
        <v>1361</v>
      </c>
      <c r="L71" s="49" t="s">
        <v>1362</v>
      </c>
      <c r="BN71" s="137" t="s">
        <v>860</v>
      </c>
      <c r="BQ71" s="55" t="s">
        <v>861</v>
      </c>
    </row>
    <row r="72" spans="2:71" ht="45">
      <c r="B72" s="47" t="s">
        <v>899</v>
      </c>
      <c r="C72" s="48" t="s">
        <v>1064</v>
      </c>
      <c r="D72" s="49" t="s">
        <v>1137</v>
      </c>
      <c r="E72" s="70" t="s">
        <v>1138</v>
      </c>
      <c r="F72" s="273">
        <v>45608</v>
      </c>
      <c r="G72" s="273">
        <v>45730</v>
      </c>
      <c r="H72" s="273">
        <v>45758</v>
      </c>
      <c r="I72" s="273">
        <v>45786</v>
      </c>
      <c r="J72" s="273">
        <v>45824</v>
      </c>
      <c r="K72" s="49" t="s">
        <v>1361</v>
      </c>
      <c r="L72" s="49" t="s">
        <v>1362</v>
      </c>
      <c r="BM72" s="137" t="s">
        <v>860</v>
      </c>
      <c r="BQ72" s="55" t="s">
        <v>861</v>
      </c>
    </row>
    <row r="73" spans="2:71" ht="45">
      <c r="B73" s="47" t="s">
        <v>864</v>
      </c>
      <c r="C73" s="48" t="s">
        <v>1056</v>
      </c>
      <c r="D73" s="49" t="s">
        <v>1143</v>
      </c>
      <c r="E73" s="70" t="s">
        <v>1142</v>
      </c>
      <c r="F73" s="273">
        <v>45611</v>
      </c>
      <c r="G73" s="273">
        <v>45758</v>
      </c>
      <c r="H73" s="273">
        <v>45772</v>
      </c>
      <c r="I73" s="273">
        <v>45800</v>
      </c>
      <c r="J73" s="273">
        <v>45821</v>
      </c>
      <c r="K73" s="116" t="s">
        <v>1364</v>
      </c>
      <c r="L73" s="116" t="s">
        <v>1365</v>
      </c>
      <c r="BQ73" s="137" t="s">
        <v>860</v>
      </c>
      <c r="BS73" s="55" t="s">
        <v>861</v>
      </c>
    </row>
  </sheetData>
  <sheetProtection algorithmName="SHA-512" hashValue="4zn5a09s6dZCitdF/5Sy4ZEDlPCtS9lhZllOXYvIQH/e3BD32bBKdvpeYq7b17QsGxBunvkLmMVaIEAH+TuS+g==" saltValue="IatwDNnpzGD+g0j9t8BQrQ==" spinCount="100000" sheet="1" sort="0" autoFilter="0"/>
  <autoFilter ref="B17:BY73" xr:uid="{9D2B4294-E2EB-4D48-869A-1AEE3CD8D4CF}">
    <sortState xmlns:xlrd2="http://schemas.microsoft.com/office/spreadsheetml/2017/richdata2" ref="B18:BY73">
      <sortCondition ref="H17:H73"/>
    </sortState>
  </autoFilter>
  <mergeCells count="23">
    <mergeCell ref="E8:L8"/>
    <mergeCell ref="E3:L3"/>
    <mergeCell ref="E4:L4"/>
    <mergeCell ref="E5:L5"/>
    <mergeCell ref="E6:L6"/>
    <mergeCell ref="E7:L7"/>
    <mergeCell ref="AV16:AZ16"/>
    <mergeCell ref="E9:L9"/>
    <mergeCell ref="E10:L10"/>
    <mergeCell ref="E11:L11"/>
    <mergeCell ref="E12:L12"/>
    <mergeCell ref="M16:Q16"/>
    <mergeCell ref="R16:V16"/>
    <mergeCell ref="W16:AA16"/>
    <mergeCell ref="AB16:AF16"/>
    <mergeCell ref="AG16:AK16"/>
    <mergeCell ref="AL16:AP16"/>
    <mergeCell ref="AQ16:AU16"/>
    <mergeCell ref="BA16:BE16"/>
    <mergeCell ref="BF16:BJ16"/>
    <mergeCell ref="BK16:BO16"/>
    <mergeCell ref="BP16:BT16"/>
    <mergeCell ref="BU16:BY16"/>
  </mergeCells>
  <phoneticPr fontId="29" type="noConversion"/>
  <conditionalFormatting sqref="M18:Q23">
    <cfRule type="expression" dxfId="881" priority="320">
      <formula>(TEXT(TODAY(),"aaaa"))="Friday"</formula>
    </cfRule>
  </conditionalFormatting>
  <conditionalFormatting sqref="M23:AS23">
    <cfRule type="cellIs" dxfId="880" priority="35" operator="equal">
      <formula>"✔"</formula>
    </cfRule>
    <cfRule type="cellIs" dxfId="879" priority="36" operator="equal">
      <formula>"✖"</formula>
    </cfRule>
  </conditionalFormatting>
  <conditionalFormatting sqref="M18:BY22">
    <cfRule type="cellIs" dxfId="878" priority="252" operator="equal">
      <formula>"✖"</formula>
    </cfRule>
    <cfRule type="cellIs" dxfId="877" priority="251" operator="equal">
      <formula>"✔"</formula>
    </cfRule>
  </conditionalFormatting>
  <conditionalFormatting sqref="O18:O23">
    <cfRule type="iconSet" priority="319">
      <iconSet iconSet="3Symbols2" showValue="0">
        <cfvo type="percent" val="0"/>
        <cfvo type="percent" val="33"/>
        <cfvo type="percent" val="67"/>
      </iconSet>
    </cfRule>
    <cfRule type="expression" dxfId="876" priority="317">
      <formula>(TEXT(TODAY(),"aaaa"))="Wednesday"</formula>
    </cfRule>
  </conditionalFormatting>
  <conditionalFormatting sqref="O21">
    <cfRule type="iconSet" priority="318">
      <iconSet iconSet="3Symbols2" showValue="0">
        <cfvo type="percent" val="0"/>
        <cfvo type="percent" val="33"/>
        <cfvo type="percent" val="67"/>
      </iconSet>
    </cfRule>
  </conditionalFormatting>
  <conditionalFormatting sqref="R18:W23">
    <cfRule type="expression" dxfId="875" priority="315">
      <formula>(TEXT(TODAY(),"aaaa"))="Monday"</formula>
    </cfRule>
  </conditionalFormatting>
  <conditionalFormatting sqref="W18">
    <cfRule type="expression" dxfId="874" priority="2">
      <formula>(TEXT(TODAY(),"aaaa"))="Thursday"</formula>
    </cfRule>
    <cfRule type="iconSet" priority="3">
      <iconSet iconSet="3Symbols2" showValue="0">
        <cfvo type="percent" val="0"/>
        <cfvo type="percent" val="33"/>
        <cfvo type="percent" val="67"/>
      </iconSet>
    </cfRule>
  </conditionalFormatting>
  <conditionalFormatting sqref="W18:W23">
    <cfRule type="iconSet" priority="316">
      <iconSet iconSet="3Symbols2" showValue="0">
        <cfvo type="percent" val="0"/>
        <cfvo type="percent" val="33"/>
        <cfvo type="percent" val="67"/>
      </iconSet>
    </cfRule>
    <cfRule type="expression" dxfId="873" priority="313">
      <formula>(TEXT(TODAY(),"aaaa"))="Wednesday"</formula>
    </cfRule>
    <cfRule type="iconSet" priority="312">
      <iconSet iconSet="3Symbols2" showValue="0">
        <cfvo type="percent" val="0"/>
        <cfvo type="percent" val="33"/>
        <cfvo type="percent" val="67"/>
      </iconSet>
    </cfRule>
    <cfRule type="iconSet" priority="304">
      <iconSet iconSet="3Symbols2" showValue="0">
        <cfvo type="percent" val="0"/>
        <cfvo type="percent" val="33"/>
        <cfvo type="percent" val="67"/>
      </iconSet>
    </cfRule>
    <cfRule type="iconSet" priority="314">
      <iconSet iconSet="3Symbols2" showValue="0">
        <cfvo type="percent" val="0"/>
        <cfvo type="percent" val="33"/>
        <cfvo type="percent" val="67"/>
      </iconSet>
    </cfRule>
  </conditionalFormatting>
  <conditionalFormatting sqref="W18:AA23">
    <cfRule type="expression" dxfId="872" priority="302">
      <formula>(TEXT(TODAY(),"aaaa"))="Tuesday"</formula>
    </cfRule>
  </conditionalFormatting>
  <conditionalFormatting sqref="X18:Y23 M18:V23 AH18:AM18 AA19:AH19 AJ19:AM19 AO18:BY19 AA20:AN20 AP20:AR20 AT20:BY20 AA21:AP22 AR21:AS22 AA23:AS23 AU21:BY22 AU23:AV23 AX23:BY23 AA18:AF18">
    <cfRule type="iconSet" priority="326">
      <iconSet iconSet="3Symbols2" showValue="0">
        <cfvo type="percent" val="0"/>
        <cfvo type="percent" val="33"/>
        <cfvo type="percent" val="67"/>
      </iconSet>
    </cfRule>
  </conditionalFormatting>
  <conditionalFormatting sqref="Z18:Z23">
    <cfRule type="expression" dxfId="871" priority="309">
      <formula>(TEXT(TODAY(),"aaaa"))="Monday"</formula>
    </cfRule>
    <cfRule type="iconSet" priority="310">
      <iconSet iconSet="3Symbols2" showValue="0">
        <cfvo type="percent" val="0"/>
        <cfvo type="percent" val="33"/>
        <cfvo type="percent" val="67"/>
      </iconSet>
    </cfRule>
    <cfRule type="iconSet" priority="306">
      <iconSet iconSet="3Symbols2" showValue="0">
        <cfvo type="percent" val="0"/>
        <cfvo type="percent" val="33"/>
        <cfvo type="percent" val="67"/>
      </iconSet>
    </cfRule>
    <cfRule type="expression" dxfId="870" priority="305">
      <formula>(TEXT(TODAY(),"aaaa"))="Wednesday"</formula>
    </cfRule>
    <cfRule type="iconSet" priority="303">
      <iconSet iconSet="3Symbols2" showValue="0">
        <cfvo type="percent" val="0"/>
        <cfvo type="percent" val="33"/>
        <cfvo type="percent" val="67"/>
      </iconSet>
    </cfRule>
  </conditionalFormatting>
  <conditionalFormatting sqref="AB18:AF23">
    <cfRule type="expression" dxfId="869" priority="324">
      <formula>(TEXT(TODAY(),"aaaa"))="Wednesday"</formula>
    </cfRule>
  </conditionalFormatting>
  <conditionalFormatting sqref="AC18">
    <cfRule type="expression" dxfId="868" priority="1">
      <formula>(TEXT(TODAY(),"aaaa"))="Friday"</formula>
    </cfRule>
  </conditionalFormatting>
  <conditionalFormatting sqref="AG18">
    <cfRule type="iconSet" priority="301">
      <iconSet iconSet="3Symbols2" showValue="0">
        <cfvo type="percent" val="0"/>
        <cfvo type="percent" val="33"/>
        <cfvo type="percent" val="67"/>
      </iconSet>
    </cfRule>
    <cfRule type="iconSet" priority="297">
      <iconSet iconSet="3Symbols2" showValue="0">
        <cfvo type="percent" val="0"/>
        <cfvo type="percent" val="33"/>
        <cfvo type="percent" val="67"/>
      </iconSet>
    </cfRule>
    <cfRule type="expression" dxfId="867" priority="295">
      <formula>(TEXT(TODAY(),"aaaa"))="Wednesday"</formula>
    </cfRule>
    <cfRule type="iconSet" priority="294">
      <iconSet iconSet="3Symbols2" showValue="0">
        <cfvo type="percent" val="0"/>
        <cfvo type="percent" val="33"/>
        <cfvo type="percent" val="67"/>
      </iconSet>
    </cfRule>
    <cfRule type="expression" dxfId="866" priority="293">
      <formula>(TEXT(TODAY(),"aaaa"))="Tuesday"</formula>
    </cfRule>
    <cfRule type="iconSet" priority="296">
      <iconSet iconSet="3Symbols2" showValue="0">
        <cfvo type="percent" val="0"/>
        <cfvo type="percent" val="33"/>
        <cfvo type="percent" val="67"/>
      </iconSet>
    </cfRule>
    <cfRule type="expression" dxfId="865" priority="300">
      <formula>(TEXT(TODAY(),"aaaa"))="Monday"</formula>
    </cfRule>
  </conditionalFormatting>
  <conditionalFormatting sqref="AH18:AK18 AG19:AH19 AJ19:AK19 AG20:AK23">
    <cfRule type="expression" dxfId="864" priority="325">
      <formula>(TEXT(TODAY(),"aaaa"))="Thursday"</formula>
    </cfRule>
  </conditionalFormatting>
  <conditionalFormatting sqref="AI19">
    <cfRule type="iconSet" priority="286">
      <iconSet iconSet="3Symbols2" showValue="0">
        <cfvo type="percent" val="0"/>
        <cfvo type="percent" val="33"/>
        <cfvo type="percent" val="67"/>
      </iconSet>
    </cfRule>
    <cfRule type="expression" dxfId="863" priority="285">
      <formula>(TEXT(TODAY(),"aaaa"))="Monday"</formula>
    </cfRule>
    <cfRule type="iconSet" priority="282">
      <iconSet iconSet="3Symbols2" showValue="0">
        <cfvo type="percent" val="0"/>
        <cfvo type="percent" val="33"/>
        <cfvo type="percent" val="67"/>
      </iconSet>
    </cfRule>
    <cfRule type="iconSet" priority="281">
      <iconSet iconSet="3Symbols2" showValue="0">
        <cfvo type="percent" val="0"/>
        <cfvo type="percent" val="33"/>
        <cfvo type="percent" val="67"/>
      </iconSet>
    </cfRule>
    <cfRule type="expression" dxfId="862" priority="278">
      <formula>(TEXT(TODAY(),"aaaa"))="Tuesday"</formula>
    </cfRule>
    <cfRule type="expression" dxfId="861" priority="280">
      <formula>(TEXT(TODAY(),"aaaa"))="Wednesday"</formula>
    </cfRule>
    <cfRule type="iconSet" priority="279">
      <iconSet iconSet="3Symbols2" showValue="0">
        <cfvo type="percent" val="0"/>
        <cfvo type="percent" val="33"/>
        <cfvo type="percent" val="67"/>
      </iconSet>
    </cfRule>
  </conditionalFormatting>
  <conditionalFormatting sqref="AL18:AM19 AO18:AP19 AL20:AN20 AP20 AL21:AP23">
    <cfRule type="expression" dxfId="860" priority="322">
      <formula>(TEXT(TODAY(),"aaaa"))="Friday"</formula>
    </cfRule>
  </conditionalFormatting>
  <conditionalFormatting sqref="AN18:AN20">
    <cfRule type="expression" dxfId="859" priority="289">
      <formula>(TEXT(TODAY(),"aaaa"))="Tuesday"</formula>
    </cfRule>
    <cfRule type="iconSet" priority="288">
      <iconSet iconSet="3Symbols2" showValue="0">
        <cfvo type="percent" val="0"/>
        <cfvo type="percent" val="33"/>
        <cfvo type="percent" val="67"/>
      </iconSet>
    </cfRule>
    <cfRule type="iconSet" priority="292">
      <iconSet iconSet="3Symbols2" showValue="0">
        <cfvo type="percent" val="0"/>
        <cfvo type="percent" val="33"/>
        <cfvo type="percent" val="67"/>
      </iconSet>
    </cfRule>
    <cfRule type="expression" dxfId="858" priority="287">
      <formula>(TEXT(TODAY(),"aaaa"))="Wednesday"</formula>
    </cfRule>
  </conditionalFormatting>
  <conditionalFormatting sqref="AO20">
    <cfRule type="iconSet" priority="270">
      <iconSet iconSet="3Symbols2" showValue="0">
        <cfvo type="percent" val="0"/>
        <cfvo type="percent" val="33"/>
        <cfvo type="percent" val="67"/>
      </iconSet>
    </cfRule>
    <cfRule type="expression" dxfId="857" priority="271">
      <formula>(TEXT(TODAY(),"aaaa"))="Wednesday"</formula>
    </cfRule>
    <cfRule type="iconSet" priority="277">
      <iconSet iconSet="3Symbols2" showValue="0">
        <cfvo type="percent" val="0"/>
        <cfvo type="percent" val="33"/>
        <cfvo type="percent" val="67"/>
      </iconSet>
    </cfRule>
    <cfRule type="expression" dxfId="856" priority="276">
      <formula>(TEXT(TODAY(),"aaaa"))="Monday"</formula>
    </cfRule>
    <cfRule type="iconSet" priority="273">
      <iconSet iconSet="3Symbols2" showValue="0">
        <cfvo type="percent" val="0"/>
        <cfvo type="percent" val="33"/>
        <cfvo type="percent" val="67"/>
      </iconSet>
    </cfRule>
    <cfRule type="iconSet" priority="272">
      <iconSet iconSet="3Symbols2" showValue="0">
        <cfvo type="percent" val="0"/>
        <cfvo type="percent" val="33"/>
        <cfvo type="percent" val="67"/>
      </iconSet>
    </cfRule>
    <cfRule type="expression" dxfId="855" priority="269">
      <formula>(TEXT(TODAY(),"aaaa"))="Tuesday"</formula>
    </cfRule>
  </conditionalFormatting>
  <conditionalFormatting sqref="AQ21:AQ22">
    <cfRule type="iconSet" priority="262">
      <iconSet iconSet="3Symbols2" showValue="0">
        <cfvo type="percent" val="0"/>
        <cfvo type="percent" val="33"/>
        <cfvo type="percent" val="67"/>
      </iconSet>
    </cfRule>
    <cfRule type="iconSet" priority="258">
      <iconSet iconSet="3Symbols2" showValue="0">
        <cfvo type="percent" val="0"/>
        <cfvo type="percent" val="33"/>
        <cfvo type="percent" val="67"/>
      </iconSet>
    </cfRule>
    <cfRule type="iconSet" priority="257">
      <iconSet iconSet="3Symbols2" showValue="0">
        <cfvo type="percent" val="0"/>
        <cfvo type="percent" val="33"/>
        <cfvo type="percent" val="67"/>
      </iconSet>
    </cfRule>
    <cfRule type="expression" dxfId="854" priority="256">
      <formula>(TEXT(TODAY(),"aaaa"))="Wednesday"</formula>
    </cfRule>
    <cfRule type="iconSet" priority="255">
      <iconSet iconSet="3Symbols2" showValue="0">
        <cfvo type="percent" val="0"/>
        <cfvo type="percent" val="33"/>
        <cfvo type="percent" val="67"/>
      </iconSet>
    </cfRule>
    <cfRule type="expression" dxfId="853" priority="254">
      <formula>(TEXT(TODAY(),"aaaa"))="Tuesday"</formula>
    </cfRule>
  </conditionalFormatting>
  <conditionalFormatting sqref="AQ21:AS23">
    <cfRule type="expression" dxfId="852" priority="37">
      <formula>(TEXT(TODAY(),"aaaa"))="Monday"</formula>
    </cfRule>
  </conditionalFormatting>
  <conditionalFormatting sqref="AQ18:AU19 AQ20:AR20 AT20:AU20">
    <cfRule type="expression" dxfId="851" priority="321">
      <formula>(TEXT(TODAY(),"aaaa"))="Monday"</formula>
    </cfRule>
  </conditionalFormatting>
  <conditionalFormatting sqref="AS20">
    <cfRule type="iconSet" priority="268">
      <iconSet iconSet="3Symbols2" showValue="0">
        <cfvo type="percent" val="0"/>
        <cfvo type="percent" val="33"/>
        <cfvo type="percent" val="67"/>
      </iconSet>
    </cfRule>
    <cfRule type="expression" dxfId="850" priority="265">
      <formula>(TEXT(TODAY(),"aaaa"))="Tuesday"</formula>
    </cfRule>
    <cfRule type="iconSet" priority="264">
      <iconSet iconSet="3Symbols2" showValue="0">
        <cfvo type="percent" val="0"/>
        <cfvo type="percent" val="33"/>
        <cfvo type="percent" val="67"/>
      </iconSet>
    </cfRule>
    <cfRule type="expression" dxfId="849" priority="263">
      <formula>(TEXT(TODAY(),"aaaa"))="Wednesday"</formula>
    </cfRule>
  </conditionalFormatting>
  <conditionalFormatting sqref="AT21:AT22">
    <cfRule type="iconSet" priority="249">
      <iconSet iconSet="3Symbols2" showValue="0">
        <cfvo type="percent" val="0"/>
        <cfvo type="percent" val="33"/>
        <cfvo type="percent" val="67"/>
      </iconSet>
    </cfRule>
    <cfRule type="expression" dxfId="848" priority="248">
      <formula>(TEXT(TODAY(),"aaaa"))="Wednesday"</formula>
    </cfRule>
    <cfRule type="iconSet" priority="253">
      <iconSet iconSet="3Symbols2" showValue="0">
        <cfvo type="percent" val="0"/>
        <cfvo type="percent" val="33"/>
        <cfvo type="percent" val="67"/>
      </iconSet>
    </cfRule>
    <cfRule type="expression" dxfId="847" priority="250">
      <formula>(TEXT(TODAY(),"aaaa"))="Tuesday"</formula>
    </cfRule>
  </conditionalFormatting>
  <conditionalFormatting sqref="AU21:AU23">
    <cfRule type="expression" dxfId="846" priority="246">
      <formula>(TEXT(TODAY(),"aaaa"))="Monday"</formula>
    </cfRule>
  </conditionalFormatting>
  <conditionalFormatting sqref="AU23">
    <cfRule type="cellIs" dxfId="845" priority="245" operator="equal">
      <formula>"✖"</formula>
    </cfRule>
    <cfRule type="cellIs" dxfId="844" priority="244" operator="equal">
      <formula>"✔"</formula>
    </cfRule>
  </conditionalFormatting>
  <conditionalFormatting sqref="AV23:AV24">
    <cfRule type="cellIs" dxfId="843" priority="32" operator="equal">
      <formula>"✔"</formula>
    </cfRule>
    <cfRule type="expression" dxfId="842" priority="34">
      <formula>(TEXT(TODAY(),"aaaa"))="Monday"</formula>
    </cfRule>
    <cfRule type="cellIs" dxfId="841" priority="33" operator="equal">
      <formula>"✖"</formula>
    </cfRule>
  </conditionalFormatting>
  <conditionalFormatting sqref="AV24">
    <cfRule type="iconSet" priority="225">
      <iconSet iconSet="3Symbols2" showValue="0">
        <cfvo type="percent" val="0"/>
        <cfvo type="percent" val="33"/>
        <cfvo type="percent" val="67"/>
      </iconSet>
    </cfRule>
    <cfRule type="expression" dxfId="840" priority="224">
      <formula>(TEXT(TODAY(),"aaaa"))="Tuesday"</formula>
    </cfRule>
    <cfRule type="iconSet" priority="227">
      <iconSet iconSet="3Symbols2" showValue="0">
        <cfvo type="percent" val="0"/>
        <cfvo type="percent" val="33"/>
        <cfvo type="percent" val="67"/>
      </iconSet>
    </cfRule>
    <cfRule type="iconSet" priority="232">
      <iconSet iconSet="3Symbols2" showValue="0">
        <cfvo type="percent" val="0"/>
        <cfvo type="percent" val="33"/>
        <cfvo type="percent" val="67"/>
      </iconSet>
    </cfRule>
    <cfRule type="iconSet" priority="228">
      <iconSet iconSet="3Symbols2" showValue="0">
        <cfvo type="percent" val="0"/>
        <cfvo type="percent" val="33"/>
        <cfvo type="percent" val="67"/>
      </iconSet>
    </cfRule>
    <cfRule type="expression" dxfId="839" priority="226">
      <formula>(TEXT(TODAY(),"aaaa"))="Wednesday"</formula>
    </cfRule>
  </conditionalFormatting>
  <conditionalFormatting sqref="AV18:BY22 AX23:BY23">
    <cfRule type="expression" dxfId="838" priority="323">
      <formula>(TEXT(TODAY(),"aaaa"))="Tuesday"</formula>
    </cfRule>
  </conditionalFormatting>
  <conditionalFormatting sqref="AX24 AX26">
    <cfRule type="cellIs" dxfId="837" priority="24" operator="equal">
      <formula>"✔"</formula>
    </cfRule>
    <cfRule type="cellIs" dxfId="836" priority="25" operator="equal">
      <formula>"✖"</formula>
    </cfRule>
    <cfRule type="expression" dxfId="835" priority="26">
      <formula>(TEXT(TODAY(),"aaaa"))="Tuesday"</formula>
    </cfRule>
  </conditionalFormatting>
  <conditionalFormatting sqref="AX24">
    <cfRule type="iconSet" priority="223">
      <iconSet iconSet="3Symbols2" showValue="0">
        <cfvo type="percent" val="0"/>
        <cfvo type="percent" val="33"/>
        <cfvo type="percent" val="67"/>
      </iconSet>
    </cfRule>
    <cfRule type="iconSet" priority="219">
      <iconSet iconSet="3Symbols2" showValue="0">
        <cfvo type="percent" val="0"/>
        <cfvo type="percent" val="33"/>
        <cfvo type="percent" val="67"/>
      </iconSet>
    </cfRule>
    <cfRule type="expression" dxfId="834" priority="211">
      <formula>(TEXT(TODAY(),"aaaa"))="Wednesday"</formula>
    </cfRule>
  </conditionalFormatting>
  <conditionalFormatting sqref="AX26">
    <cfRule type="iconSet" priority="27">
      <iconSet iconSet="3Symbols2" showValue="0">
        <cfvo type="percent" val="0"/>
        <cfvo type="percent" val="33"/>
        <cfvo type="percent" val="67"/>
      </iconSet>
    </cfRule>
  </conditionalFormatting>
  <conditionalFormatting sqref="AX23:BY23">
    <cfRule type="cellIs" dxfId="833" priority="308" operator="equal">
      <formula>"✖"</formula>
    </cfRule>
    <cfRule type="cellIs" dxfId="832" priority="307" operator="equal">
      <formula>"✔"</formula>
    </cfRule>
  </conditionalFormatting>
  <conditionalFormatting sqref="BB25">
    <cfRule type="iconSet" priority="23">
      <iconSet iconSet="3Symbols2" showValue="0">
        <cfvo type="percent" val="0"/>
        <cfvo type="percent" val="33"/>
        <cfvo type="percent" val="67"/>
      </iconSet>
    </cfRule>
  </conditionalFormatting>
  <conditionalFormatting sqref="BB25:BB29">
    <cfRule type="cellIs" dxfId="831" priority="4" operator="equal">
      <formula>"✔"</formula>
    </cfRule>
    <cfRule type="cellIs" dxfId="830" priority="5" operator="equal">
      <formula>"✖"</formula>
    </cfRule>
    <cfRule type="expression" dxfId="829" priority="6">
      <formula>(TEXT(TODAY(),"aaaa"))="Tuesday"</formula>
    </cfRule>
  </conditionalFormatting>
  <conditionalFormatting sqref="BB26">
    <cfRule type="iconSet" priority="19">
      <iconSet iconSet="3Symbols2" showValue="0">
        <cfvo type="percent" val="0"/>
        <cfvo type="percent" val="33"/>
        <cfvo type="percent" val="67"/>
      </iconSet>
    </cfRule>
  </conditionalFormatting>
  <conditionalFormatting sqref="BB27">
    <cfRule type="iconSet" priority="15">
      <iconSet iconSet="3Symbols2" showValue="0">
        <cfvo type="percent" val="0"/>
        <cfvo type="percent" val="33"/>
        <cfvo type="percent" val="67"/>
      </iconSet>
    </cfRule>
  </conditionalFormatting>
  <conditionalFormatting sqref="BB28">
    <cfRule type="iconSet" priority="11">
      <iconSet iconSet="3Symbols2" showValue="0">
        <cfvo type="percent" val="0"/>
        <cfvo type="percent" val="33"/>
        <cfvo type="percent" val="67"/>
      </iconSet>
    </cfRule>
  </conditionalFormatting>
  <conditionalFormatting sqref="BB29">
    <cfRule type="iconSet" priority="7">
      <iconSet iconSet="3Symbols2" showValue="0">
        <cfvo type="percent" val="0"/>
        <cfvo type="percent" val="33"/>
        <cfvo type="percent" val="67"/>
      </iconSet>
    </cfRule>
  </conditionalFormatting>
  <conditionalFormatting sqref="BB32:BB42">
    <cfRule type="expression" dxfId="828" priority="181">
      <formula>(TEXT(TODAY(),"aaaa"))="Wednesday"</formula>
    </cfRule>
    <cfRule type="iconSet" priority="180">
      <iconSet iconSet="3Symbols2" showValue="0">
        <cfvo type="percent" val="0"/>
        <cfvo type="percent" val="33"/>
        <cfvo type="percent" val="67"/>
      </iconSet>
    </cfRule>
    <cfRule type="expression" dxfId="827" priority="179">
      <formula>(TEXT(TODAY(),"aaaa"))="Tuesday"</formula>
    </cfRule>
    <cfRule type="expression" dxfId="826" priority="186">
      <formula>(TEXT(TODAY(),"aaaa"))="Monday"</formula>
    </cfRule>
    <cfRule type="iconSet" priority="187">
      <iconSet iconSet="3Symbols2" showValue="0">
        <cfvo type="percent" val="0"/>
        <cfvo type="percent" val="33"/>
        <cfvo type="percent" val="67"/>
      </iconSet>
    </cfRule>
    <cfRule type="cellIs" dxfId="825" priority="185" operator="equal">
      <formula>"✖"</formula>
    </cfRule>
    <cfRule type="cellIs" dxfId="824" priority="184" operator="equal">
      <formula>"✔"</formula>
    </cfRule>
    <cfRule type="iconSet" priority="183">
      <iconSet iconSet="3Symbols2" showValue="0">
        <cfvo type="percent" val="0"/>
        <cfvo type="percent" val="33"/>
        <cfvo type="percent" val="67"/>
      </iconSet>
    </cfRule>
    <cfRule type="iconSet" priority="182">
      <iconSet iconSet="3Symbols2" showValue="0">
        <cfvo type="percent" val="0"/>
        <cfvo type="percent" val="33"/>
        <cfvo type="percent" val="67"/>
      </iconSet>
    </cfRule>
  </conditionalFormatting>
  <conditionalFormatting sqref="BC30">
    <cfRule type="iconSet" priority="52">
      <iconSet iconSet="3Symbols2" showValue="0">
        <cfvo type="percent" val="0"/>
        <cfvo type="percent" val="33"/>
        <cfvo type="percent" val="67"/>
      </iconSet>
    </cfRule>
    <cfRule type="iconSet" priority="45">
      <iconSet iconSet="3Symbols2" showValue="0">
        <cfvo type="percent" val="0"/>
        <cfvo type="percent" val="33"/>
        <cfvo type="percent" val="67"/>
      </iconSet>
    </cfRule>
    <cfRule type="iconSet" priority="47">
      <iconSet iconSet="3Symbols2" showValue="0">
        <cfvo type="percent" val="0"/>
        <cfvo type="percent" val="33"/>
        <cfvo type="percent" val="67"/>
      </iconSet>
    </cfRule>
    <cfRule type="iconSet" priority="48">
      <iconSet iconSet="3Symbols2" showValue="0">
        <cfvo type="percent" val="0"/>
        <cfvo type="percent" val="33"/>
        <cfvo type="percent" val="67"/>
      </iconSet>
    </cfRule>
  </conditionalFormatting>
  <conditionalFormatting sqref="BC30:BC31">
    <cfRule type="expression" dxfId="823" priority="44">
      <formula>(TEXT(TODAY(),"aaaa"))="Tuesday"</formula>
    </cfRule>
    <cfRule type="cellIs" dxfId="822" priority="50" operator="equal">
      <formula>"✖"</formula>
    </cfRule>
    <cfRule type="cellIs" dxfId="821" priority="49" operator="equal">
      <formula>"✔"</formula>
    </cfRule>
    <cfRule type="expression" dxfId="820" priority="46">
      <formula>(TEXT(TODAY(),"aaaa"))="Wednesday"</formula>
    </cfRule>
    <cfRule type="expression" dxfId="819" priority="51">
      <formula>(TEXT(TODAY(),"aaaa"))="Monday"</formula>
    </cfRule>
  </conditionalFormatting>
  <conditionalFormatting sqref="BC31">
    <cfRule type="iconSet" priority="7207">
      <iconSet iconSet="3Symbols2" showValue="0">
        <cfvo type="percent" val="0"/>
        <cfvo type="percent" val="33"/>
        <cfvo type="percent" val="67"/>
      </iconSet>
    </cfRule>
    <cfRule type="iconSet" priority="7204">
      <iconSet iconSet="3Symbols2" showValue="0">
        <cfvo type="percent" val="0"/>
        <cfvo type="percent" val="33"/>
        <cfvo type="percent" val="67"/>
      </iconSet>
    </cfRule>
    <cfRule type="iconSet" priority="7205">
      <iconSet iconSet="3Symbols2" showValue="0">
        <cfvo type="percent" val="0"/>
        <cfvo type="percent" val="33"/>
        <cfvo type="percent" val="67"/>
      </iconSet>
    </cfRule>
    <cfRule type="iconSet" priority="7206">
      <iconSet iconSet="3Symbols2" showValue="0">
        <cfvo type="percent" val="0"/>
        <cfvo type="percent" val="33"/>
        <cfvo type="percent" val="67"/>
      </iconSet>
    </cfRule>
  </conditionalFormatting>
  <conditionalFormatting sqref="BC43">
    <cfRule type="expression" dxfId="818" priority="171">
      <formula>(TEXT(TODAY(),"aaaa"))="Monday"</formula>
    </cfRule>
    <cfRule type="cellIs" dxfId="817" priority="169" operator="equal">
      <formula>"✔"</formula>
    </cfRule>
    <cfRule type="iconSet" priority="168">
      <iconSet iconSet="3Symbols2" showValue="0">
        <cfvo type="percent" val="0"/>
        <cfvo type="percent" val="33"/>
        <cfvo type="percent" val="67"/>
      </iconSet>
    </cfRule>
    <cfRule type="iconSet" priority="167">
      <iconSet iconSet="3Symbols2" showValue="0">
        <cfvo type="percent" val="0"/>
        <cfvo type="percent" val="33"/>
        <cfvo type="percent" val="67"/>
      </iconSet>
    </cfRule>
    <cfRule type="expression" dxfId="816" priority="166">
      <formula>(TEXT(TODAY(),"aaaa"))="Wednesday"</formula>
    </cfRule>
    <cfRule type="iconSet" priority="165">
      <iconSet iconSet="3Symbols2" showValue="0">
        <cfvo type="percent" val="0"/>
        <cfvo type="percent" val="33"/>
        <cfvo type="percent" val="67"/>
      </iconSet>
    </cfRule>
    <cfRule type="expression" dxfId="815" priority="164">
      <formula>(TEXT(TODAY(),"aaaa"))="Tuesday"</formula>
    </cfRule>
    <cfRule type="cellIs" dxfId="814" priority="170" operator="equal">
      <formula>"✖"</formula>
    </cfRule>
    <cfRule type="iconSet" priority="172">
      <iconSet iconSet="3Symbols2" showValue="0">
        <cfvo type="percent" val="0"/>
        <cfvo type="percent" val="33"/>
        <cfvo type="percent" val="67"/>
      </iconSet>
    </cfRule>
  </conditionalFormatting>
  <conditionalFormatting sqref="BG32:BG42">
    <cfRule type="expression" dxfId="813" priority="175">
      <formula>(TEXT(TODAY(),"aaaa"))="Tuesday"</formula>
    </cfRule>
    <cfRule type="cellIs" dxfId="812" priority="176" operator="equal">
      <formula>"✔"</formula>
    </cfRule>
    <cfRule type="cellIs" dxfId="811" priority="177" operator="equal">
      <formula>"✖"</formula>
    </cfRule>
    <cfRule type="iconSet" priority="178">
      <iconSet iconSet="3Symbols2" showValue="0">
        <cfvo type="percent" val="0"/>
        <cfvo type="percent" val="33"/>
        <cfvo type="percent" val="67"/>
      </iconSet>
    </cfRule>
    <cfRule type="expression" dxfId="810" priority="173">
      <formula>(TEXT(TODAY(),"aaaa"))="Wednesday"</formula>
    </cfRule>
    <cfRule type="iconSet" priority="174">
      <iconSet iconSet="3Symbols2" showValue="0">
        <cfvo type="percent" val="0"/>
        <cfvo type="percent" val="33"/>
        <cfvo type="percent" val="67"/>
      </iconSet>
    </cfRule>
  </conditionalFormatting>
  <conditionalFormatting sqref="BG44:BG47">
    <cfRule type="iconSet" priority="150">
      <iconSet iconSet="3Symbols2" showValue="0">
        <cfvo type="percent" val="0"/>
        <cfvo type="percent" val="33"/>
        <cfvo type="percent" val="67"/>
      </iconSet>
    </cfRule>
    <cfRule type="expression" dxfId="809" priority="151">
      <formula>(TEXT(TODAY(),"aaaa"))="Wednesday"</formula>
    </cfRule>
    <cfRule type="iconSet" priority="153">
      <iconSet iconSet="3Symbols2" showValue="0">
        <cfvo type="percent" val="0"/>
        <cfvo type="percent" val="33"/>
        <cfvo type="percent" val="67"/>
      </iconSet>
    </cfRule>
    <cfRule type="iconSet" priority="152">
      <iconSet iconSet="3Symbols2" showValue="0">
        <cfvo type="percent" val="0"/>
        <cfvo type="percent" val="33"/>
        <cfvo type="percent" val="67"/>
      </iconSet>
    </cfRule>
    <cfRule type="cellIs" dxfId="808" priority="154" operator="equal">
      <formula>"✔"</formula>
    </cfRule>
    <cfRule type="cellIs" dxfId="807" priority="155" operator="equal">
      <formula>"✖"</formula>
    </cfRule>
    <cfRule type="expression" dxfId="806" priority="156">
      <formula>(TEXT(TODAY(),"aaaa"))="Monday"</formula>
    </cfRule>
    <cfRule type="iconSet" priority="157">
      <iconSet iconSet="3Symbols2" showValue="0">
        <cfvo type="percent" val="0"/>
        <cfvo type="percent" val="33"/>
        <cfvo type="percent" val="67"/>
      </iconSet>
    </cfRule>
    <cfRule type="expression" dxfId="805" priority="149">
      <formula>(TEXT(TODAY(),"aaaa"))="Tuesday"</formula>
    </cfRule>
  </conditionalFormatting>
  <conditionalFormatting sqref="BH30">
    <cfRule type="iconSet" priority="43">
      <iconSet iconSet="3Symbols2" showValue="0">
        <cfvo type="percent" val="0"/>
        <cfvo type="percent" val="33"/>
        <cfvo type="percent" val="67"/>
      </iconSet>
    </cfRule>
    <cfRule type="iconSet" priority="39">
      <iconSet iconSet="3Symbols2" showValue="0">
        <cfvo type="percent" val="0"/>
        <cfvo type="percent" val="33"/>
        <cfvo type="percent" val="67"/>
      </iconSet>
    </cfRule>
  </conditionalFormatting>
  <conditionalFormatting sqref="BH30:BH31">
    <cfRule type="cellIs" dxfId="804" priority="42" operator="equal">
      <formula>"✖"</formula>
    </cfRule>
    <cfRule type="expression" dxfId="803" priority="40">
      <formula>(TEXT(TODAY(),"aaaa"))="Tuesday"</formula>
    </cfRule>
    <cfRule type="expression" dxfId="802" priority="38">
      <formula>(TEXT(TODAY(),"aaaa"))="Wednesday"</formula>
    </cfRule>
    <cfRule type="cellIs" dxfId="801" priority="41" operator="equal">
      <formula>"✔"</formula>
    </cfRule>
  </conditionalFormatting>
  <conditionalFormatting sqref="BH31">
    <cfRule type="iconSet" priority="7216">
      <iconSet iconSet="3Symbols2" showValue="0">
        <cfvo type="percent" val="0"/>
        <cfvo type="percent" val="33"/>
        <cfvo type="percent" val="67"/>
      </iconSet>
    </cfRule>
    <cfRule type="iconSet" priority="7217">
      <iconSet iconSet="3Symbols2" showValue="0">
        <cfvo type="percent" val="0"/>
        <cfvo type="percent" val="33"/>
        <cfvo type="percent" val="67"/>
      </iconSet>
    </cfRule>
  </conditionalFormatting>
  <conditionalFormatting sqref="BH48:BH57">
    <cfRule type="iconSet" priority="138">
      <iconSet iconSet="3Symbols2" showValue="0">
        <cfvo type="percent" val="0"/>
        <cfvo type="percent" val="33"/>
        <cfvo type="percent" val="67"/>
      </iconSet>
    </cfRule>
    <cfRule type="expression" dxfId="800" priority="136">
      <formula>(TEXT(TODAY(),"aaaa"))="Wednesday"</formula>
    </cfRule>
    <cfRule type="iconSet" priority="135">
      <iconSet iconSet="3Symbols2" showValue="0">
        <cfvo type="percent" val="0"/>
        <cfvo type="percent" val="33"/>
        <cfvo type="percent" val="67"/>
      </iconSet>
    </cfRule>
    <cfRule type="expression" dxfId="799" priority="134">
      <formula>(TEXT(TODAY(),"aaaa"))="Tuesday"</formula>
    </cfRule>
    <cfRule type="iconSet" priority="137">
      <iconSet iconSet="3Symbols2" showValue="0">
        <cfvo type="percent" val="0"/>
        <cfvo type="percent" val="33"/>
        <cfvo type="percent" val="67"/>
      </iconSet>
    </cfRule>
    <cfRule type="iconSet" priority="142">
      <iconSet iconSet="3Symbols2" showValue="0">
        <cfvo type="percent" val="0"/>
        <cfvo type="percent" val="33"/>
        <cfvo type="percent" val="67"/>
      </iconSet>
    </cfRule>
    <cfRule type="expression" dxfId="798" priority="141">
      <formula>(TEXT(TODAY(),"aaaa"))="Monday"</formula>
    </cfRule>
    <cfRule type="cellIs" dxfId="797" priority="140" operator="equal">
      <formula>"✖"</formula>
    </cfRule>
    <cfRule type="cellIs" dxfId="796" priority="139" operator="equal">
      <formula>"✔"</formula>
    </cfRule>
  </conditionalFormatting>
  <conditionalFormatting sqref="BI43">
    <cfRule type="expression" dxfId="795" priority="160">
      <formula>(TEXT(TODAY(),"aaaa"))="Tuesday"</formula>
    </cfRule>
    <cfRule type="iconSet" priority="159">
      <iconSet iconSet="3Symbols2" showValue="0">
        <cfvo type="percent" val="0"/>
        <cfvo type="percent" val="33"/>
        <cfvo type="percent" val="67"/>
      </iconSet>
    </cfRule>
    <cfRule type="expression" dxfId="794" priority="158">
      <formula>(TEXT(TODAY(),"aaaa"))="Wednesday"</formula>
    </cfRule>
    <cfRule type="iconSet" priority="163">
      <iconSet iconSet="3Symbols2" showValue="0">
        <cfvo type="percent" val="0"/>
        <cfvo type="percent" val="33"/>
        <cfvo type="percent" val="67"/>
      </iconSet>
    </cfRule>
    <cfRule type="cellIs" dxfId="793" priority="162" operator="equal">
      <formula>"✖"</formula>
    </cfRule>
    <cfRule type="cellIs" dxfId="792" priority="161" operator="equal">
      <formula>"✔"</formula>
    </cfRule>
  </conditionalFormatting>
  <conditionalFormatting sqref="BJ44:BJ47">
    <cfRule type="expression" dxfId="791" priority="145">
      <formula>(TEXT(TODAY(),"aaaa"))="Tuesday"</formula>
    </cfRule>
    <cfRule type="iconSet" priority="144">
      <iconSet iconSet="3Symbols2" showValue="0">
        <cfvo type="percent" val="0"/>
        <cfvo type="percent" val="33"/>
        <cfvo type="percent" val="67"/>
      </iconSet>
    </cfRule>
    <cfRule type="expression" dxfId="790" priority="143">
      <formula>(TEXT(TODAY(),"aaaa"))="Wednesday"</formula>
    </cfRule>
    <cfRule type="iconSet" priority="148">
      <iconSet iconSet="3Symbols2" showValue="0">
        <cfvo type="percent" val="0"/>
        <cfvo type="percent" val="33"/>
        <cfvo type="percent" val="67"/>
      </iconSet>
    </cfRule>
    <cfRule type="cellIs" dxfId="789" priority="147" operator="equal">
      <formula>"✖"</formula>
    </cfRule>
    <cfRule type="cellIs" dxfId="788" priority="146" operator="equal">
      <formula>"✔"</formula>
    </cfRule>
  </conditionalFormatting>
  <conditionalFormatting sqref="BJ51:BJ57">
    <cfRule type="expression" dxfId="787" priority="124">
      <formula>(TEXT(TODAY(),"aaaa"))="Tuesday"</formula>
    </cfRule>
    <cfRule type="iconSet" priority="123">
      <iconSet iconSet="3Symbols2" showValue="0">
        <cfvo type="percent" val="0"/>
        <cfvo type="percent" val="33"/>
        <cfvo type="percent" val="67"/>
      </iconSet>
    </cfRule>
    <cfRule type="expression" dxfId="786" priority="122">
      <formula>(TEXT(TODAY(),"aaaa"))="Wednesday"</formula>
    </cfRule>
    <cfRule type="iconSet" priority="127">
      <iconSet iconSet="3Symbols2" showValue="0">
        <cfvo type="percent" val="0"/>
        <cfvo type="percent" val="33"/>
        <cfvo type="percent" val="67"/>
      </iconSet>
    </cfRule>
    <cfRule type="cellIs" dxfId="785" priority="126" operator="equal">
      <formula>"✖"</formula>
    </cfRule>
    <cfRule type="cellIs" dxfId="784" priority="125" operator="equal">
      <formula>"✔"</formula>
    </cfRule>
  </conditionalFormatting>
  <conditionalFormatting sqref="BN48">
    <cfRule type="iconSet" priority="81">
      <iconSet iconSet="3Symbols2" showValue="0">
        <cfvo type="percent" val="0"/>
        <cfvo type="percent" val="33"/>
        <cfvo type="percent" val="67"/>
      </iconSet>
    </cfRule>
    <cfRule type="iconSet" priority="85">
      <iconSet iconSet="3Symbols2" showValue="0">
        <cfvo type="percent" val="0"/>
        <cfvo type="percent" val="33"/>
        <cfvo type="percent" val="67"/>
      </iconSet>
    </cfRule>
  </conditionalFormatting>
  <conditionalFormatting sqref="BN48:BN50">
    <cfRule type="cellIs" dxfId="783" priority="72" operator="equal">
      <formula>"✖"</formula>
    </cfRule>
    <cfRule type="cellIs" dxfId="782" priority="71" operator="equal">
      <formula>"✔"</formula>
    </cfRule>
    <cfRule type="expression" dxfId="781" priority="70">
      <formula>(TEXT(TODAY(),"aaaa"))="Tuesday"</formula>
    </cfRule>
    <cfRule type="expression" dxfId="780" priority="68">
      <formula>(TEXT(TODAY(),"aaaa"))="Wednesday"</formula>
    </cfRule>
  </conditionalFormatting>
  <conditionalFormatting sqref="BN49">
    <cfRule type="iconSet" priority="75">
      <iconSet iconSet="3Symbols2" showValue="0">
        <cfvo type="percent" val="0"/>
        <cfvo type="percent" val="33"/>
        <cfvo type="percent" val="67"/>
      </iconSet>
    </cfRule>
    <cfRule type="iconSet" priority="79">
      <iconSet iconSet="3Symbols2" showValue="0">
        <cfvo type="percent" val="0"/>
        <cfvo type="percent" val="33"/>
        <cfvo type="percent" val="67"/>
      </iconSet>
    </cfRule>
  </conditionalFormatting>
  <conditionalFormatting sqref="BN50">
    <cfRule type="iconSet" priority="73">
      <iconSet iconSet="3Symbols2" showValue="0">
        <cfvo type="percent" val="0"/>
        <cfvo type="percent" val="33"/>
        <cfvo type="percent" val="67"/>
      </iconSet>
    </cfRule>
    <cfRule type="iconSet" priority="69">
      <iconSet iconSet="3Symbols2" showValue="0">
        <cfvo type="percent" val="0"/>
        <cfvo type="percent" val="33"/>
        <cfvo type="percent" val="67"/>
      </iconSet>
    </cfRule>
  </conditionalFormatting>
  <conditionalFormatting sqref="BN59">
    <cfRule type="iconSet" priority="106">
      <iconSet iconSet="3Symbols2" showValue="0">
        <cfvo type="percent" val="0"/>
        <cfvo type="percent" val="33"/>
        <cfvo type="percent" val="67"/>
      </iconSet>
    </cfRule>
    <cfRule type="cellIs" dxfId="779" priority="105" operator="equal">
      <formula>"✖"</formula>
    </cfRule>
    <cfRule type="cellIs" dxfId="778" priority="104" operator="equal">
      <formula>"✔"</formula>
    </cfRule>
    <cfRule type="iconSet" priority="102">
      <iconSet iconSet="3Symbols2" showValue="0">
        <cfvo type="percent" val="0"/>
        <cfvo type="percent" val="33"/>
        <cfvo type="percent" val="67"/>
      </iconSet>
    </cfRule>
    <cfRule type="expression" dxfId="777" priority="101">
      <formula>(TEXT(TODAY(),"aaaa"))="Wednesday"</formula>
    </cfRule>
    <cfRule type="expression" dxfId="776" priority="103">
      <formula>(TEXT(TODAY(),"aaaa"))="Tuesday"</formula>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65FC-3483-4672-A61B-B47BF5F1A173}">
  <sheetPr filterMode="1"/>
  <dimension ref="B1:AU89"/>
  <sheetViews>
    <sheetView zoomScale="55" zoomScaleNormal="55" workbookViewId="0">
      <selection activeCell="B18" sqref="B18"/>
    </sheetView>
  </sheetViews>
  <sheetFormatPr defaultColWidth="10.42578125" defaultRowHeight="15"/>
  <cols>
    <col min="1" max="1" width="4.5703125" style="7" customWidth="1"/>
    <col min="2" max="2" width="17.140625" style="7" customWidth="1"/>
    <col min="3" max="3" width="33.7109375" style="7" bestFit="1" customWidth="1"/>
    <col min="4" max="4" width="33.7109375" style="7" customWidth="1"/>
    <col min="5" max="5" width="58.5703125" style="8" bestFit="1" customWidth="1"/>
    <col min="6" max="6" width="18" style="8" customWidth="1"/>
    <col min="7" max="8" width="16.28515625" style="8" bestFit="1" customWidth="1"/>
    <col min="9" max="10" width="16.28515625" style="8" customWidth="1"/>
    <col min="11" max="11" width="15" style="8" customWidth="1"/>
    <col min="12" max="12" width="25" style="8" customWidth="1"/>
    <col min="13" max="15" width="23.85546875" style="7" bestFit="1" customWidth="1"/>
    <col min="16" max="16" width="24.7109375" style="7" bestFit="1" customWidth="1"/>
    <col min="17" max="17" width="26.28515625" style="7" bestFit="1" customWidth="1"/>
    <col min="18" max="19" width="23.85546875" style="7" bestFit="1" customWidth="1"/>
    <col min="20" max="21" width="23.28515625" style="7" bestFit="1" customWidth="1"/>
    <col min="22" max="22" width="19.85546875" style="7" bestFit="1" customWidth="1"/>
    <col min="23" max="23" width="17.85546875" style="7" customWidth="1"/>
    <col min="24" max="24" width="23.28515625" style="7" bestFit="1" customWidth="1"/>
    <col min="25" max="27" width="24.7109375" style="7" bestFit="1" customWidth="1"/>
    <col min="28" max="30" width="17.85546875" style="7" customWidth="1"/>
    <col min="31" max="31" width="19.85546875" style="7" bestFit="1" customWidth="1"/>
    <col min="32" max="47" width="17.85546875" style="7" customWidth="1"/>
    <col min="48" max="16384" width="10.42578125" style="7"/>
  </cols>
  <sheetData>
    <row r="1" spans="2:47" ht="39.75">
      <c r="B1" s="6" t="s">
        <v>1213</v>
      </c>
    </row>
    <row r="2" spans="2:47" ht="39.75">
      <c r="B2" s="6"/>
    </row>
    <row r="3" spans="2:47" ht="18.75" customHeight="1">
      <c r="B3" s="17"/>
      <c r="E3" s="366" t="s">
        <v>0</v>
      </c>
      <c r="F3" s="366"/>
      <c r="G3" s="366"/>
      <c r="H3" s="366"/>
      <c r="I3" s="366"/>
      <c r="J3" s="366"/>
      <c r="K3" s="366"/>
      <c r="L3" s="366"/>
    </row>
    <row r="4" spans="2:47" ht="18.75" customHeight="1">
      <c r="B4" s="17"/>
      <c r="E4" s="365" t="s">
        <v>1214</v>
      </c>
      <c r="F4" s="365"/>
      <c r="G4" s="365"/>
      <c r="H4" s="365"/>
      <c r="I4" s="365"/>
      <c r="J4" s="365"/>
      <c r="K4" s="365"/>
      <c r="L4" s="365"/>
    </row>
    <row r="5" spans="2:47" ht="18.75" customHeight="1">
      <c r="B5" s="6"/>
      <c r="E5" s="365" t="s">
        <v>1215</v>
      </c>
      <c r="F5" s="365"/>
      <c r="G5" s="365"/>
      <c r="H5" s="365"/>
      <c r="I5" s="365"/>
      <c r="J5" s="365"/>
      <c r="K5" s="365"/>
      <c r="L5" s="365"/>
    </row>
    <row r="6" spans="2:47" ht="18.75" customHeight="1">
      <c r="B6" s="6"/>
      <c r="E6" s="367" t="s">
        <v>1216</v>
      </c>
      <c r="F6" s="367"/>
      <c r="G6" s="367"/>
      <c r="H6" s="367"/>
      <c r="I6" s="367"/>
      <c r="J6" s="367"/>
      <c r="K6" s="367"/>
      <c r="L6" s="367"/>
    </row>
    <row r="7" spans="2:47" ht="18.75" customHeight="1">
      <c r="E7" s="366" t="s">
        <v>33</v>
      </c>
      <c r="F7" s="366"/>
      <c r="G7" s="366"/>
      <c r="H7" s="366"/>
      <c r="I7" s="366"/>
      <c r="J7" s="366"/>
      <c r="K7" s="366"/>
      <c r="L7" s="366"/>
    </row>
    <row r="8" spans="2:47" ht="18.75" customHeight="1">
      <c r="E8" s="365" t="s">
        <v>1217</v>
      </c>
      <c r="F8" s="365"/>
      <c r="G8" s="365"/>
      <c r="H8" s="365"/>
      <c r="I8" s="365"/>
      <c r="J8" s="365"/>
      <c r="K8" s="365"/>
      <c r="L8" s="365"/>
    </row>
    <row r="9" spans="2:47" ht="21.75" customHeight="1">
      <c r="E9" s="365" t="s">
        <v>1218</v>
      </c>
      <c r="F9" s="365"/>
      <c r="G9" s="365"/>
      <c r="H9" s="365"/>
      <c r="I9" s="365"/>
      <c r="J9" s="365"/>
      <c r="K9" s="365"/>
      <c r="L9" s="365"/>
    </row>
    <row r="10" spans="2:47" ht="30">
      <c r="E10" s="365" t="s">
        <v>1219</v>
      </c>
      <c r="F10" s="365"/>
      <c r="G10" s="365"/>
      <c r="H10" s="365"/>
      <c r="I10" s="365"/>
      <c r="J10" s="365"/>
      <c r="K10" s="365"/>
      <c r="L10" s="365"/>
      <c r="M10" s="11"/>
      <c r="N10" s="11"/>
      <c r="O10" s="11"/>
      <c r="P10" s="322" t="s">
        <v>606</v>
      </c>
      <c r="Q10" s="322" t="s">
        <v>615</v>
      </c>
      <c r="R10" s="322" t="s">
        <v>623</v>
      </c>
      <c r="S10" s="322" t="s">
        <v>626</v>
      </c>
      <c r="T10" s="322" t="s">
        <v>629</v>
      </c>
    </row>
    <row r="11" spans="2:47" ht="34.5" customHeight="1">
      <c r="E11" s="365" t="s">
        <v>1220</v>
      </c>
      <c r="F11" s="365"/>
      <c r="G11" s="365"/>
      <c r="H11" s="365"/>
      <c r="I11" s="365"/>
      <c r="J11" s="365"/>
      <c r="K11" s="365"/>
      <c r="L11" s="365"/>
      <c r="M11" s="11"/>
      <c r="N11" s="11"/>
      <c r="O11" s="11"/>
      <c r="U11" s="322" t="s">
        <v>633</v>
      </c>
      <c r="X11" s="322" t="s">
        <v>637</v>
      </c>
      <c r="Y11" s="322" t="s">
        <v>645</v>
      </c>
      <c r="Z11" s="322" t="s">
        <v>650</v>
      </c>
    </row>
    <row r="12" spans="2:47" ht="30">
      <c r="E12" s="367" t="s">
        <v>1216</v>
      </c>
      <c r="F12" s="367"/>
      <c r="G12" s="367"/>
      <c r="H12" s="367"/>
      <c r="I12" s="367"/>
      <c r="J12" s="367"/>
      <c r="K12" s="367"/>
      <c r="L12" s="367"/>
      <c r="V12" s="322" t="s">
        <v>1392</v>
      </c>
      <c r="X12" s="322" t="s">
        <v>1349</v>
      </c>
      <c r="Y12" s="322" t="s">
        <v>1350</v>
      </c>
      <c r="AE12" s="322" t="s">
        <v>1351</v>
      </c>
    </row>
    <row r="13" spans="2:47">
      <c r="E13" s="12"/>
    </row>
    <row r="14" spans="2:47" s="13" customFormat="1" ht="39.75">
      <c r="E14" s="14"/>
      <c r="F14" s="15"/>
      <c r="G14" s="15"/>
      <c r="H14" s="15"/>
      <c r="I14" s="15"/>
      <c r="J14" s="15"/>
      <c r="K14" s="15"/>
      <c r="L14" s="15"/>
    </row>
    <row r="15" spans="2:47">
      <c r="E15" s="22"/>
      <c r="F15" s="23"/>
      <c r="G15" s="23"/>
      <c r="H15" s="23"/>
      <c r="I15" s="23"/>
      <c r="J15" s="23"/>
      <c r="K15" s="23"/>
      <c r="L15" s="23"/>
    </row>
    <row r="16" spans="2:47" s="13" customFormat="1" ht="18">
      <c r="B16" s="25" t="s">
        <v>855</v>
      </c>
      <c r="C16" s="26" t="s">
        <v>856</v>
      </c>
      <c r="D16" s="27" t="s">
        <v>857</v>
      </c>
      <c r="E16" s="28" t="s">
        <v>859</v>
      </c>
      <c r="F16" s="28" t="s">
        <v>1229</v>
      </c>
      <c r="G16" s="28" t="s">
        <v>860</v>
      </c>
      <c r="H16" s="29" t="s">
        <v>861</v>
      </c>
      <c r="I16" s="29" t="s">
        <v>1230</v>
      </c>
      <c r="J16" s="29" t="s">
        <v>1231</v>
      </c>
      <c r="K16" s="29" t="s">
        <v>1232</v>
      </c>
      <c r="L16" s="29" t="s">
        <v>140</v>
      </c>
      <c r="M16" s="359" t="s">
        <v>1354</v>
      </c>
      <c r="N16" s="360"/>
      <c r="O16" s="360"/>
      <c r="P16" s="360"/>
      <c r="Q16" s="361"/>
      <c r="R16" s="362" t="s">
        <v>1355</v>
      </c>
      <c r="S16" s="363"/>
      <c r="T16" s="363"/>
      <c r="U16" s="363"/>
      <c r="V16" s="364"/>
      <c r="W16" s="359" t="s">
        <v>1356</v>
      </c>
      <c r="X16" s="360"/>
      <c r="Y16" s="360"/>
      <c r="Z16" s="360"/>
      <c r="AA16" s="361"/>
      <c r="AB16" s="370" t="s">
        <v>1357</v>
      </c>
      <c r="AC16" s="371"/>
      <c r="AD16" s="371"/>
      <c r="AE16" s="371"/>
      <c r="AF16" s="372"/>
      <c r="AG16" s="373" t="s">
        <v>1358</v>
      </c>
      <c r="AH16" s="374"/>
      <c r="AI16" s="374"/>
      <c r="AJ16" s="374"/>
      <c r="AK16" s="374"/>
      <c r="AL16" s="368" t="s">
        <v>1359</v>
      </c>
      <c r="AM16" s="368"/>
      <c r="AN16" s="368"/>
      <c r="AO16" s="368"/>
      <c r="AP16" s="369"/>
      <c r="AQ16" s="362" t="s">
        <v>1233</v>
      </c>
      <c r="AR16" s="363"/>
      <c r="AS16" s="363"/>
      <c r="AT16" s="363"/>
      <c r="AU16" s="364"/>
    </row>
    <row r="17" spans="2:47" s="21" customFormat="1" ht="18">
      <c r="B17" s="30"/>
      <c r="C17" s="31"/>
      <c r="D17" s="32"/>
      <c r="E17" s="33"/>
      <c r="F17" s="33"/>
      <c r="G17" s="33"/>
      <c r="H17" s="34"/>
      <c r="I17" s="34"/>
      <c r="J17" s="34"/>
      <c r="K17" s="29" t="s">
        <v>856</v>
      </c>
      <c r="L17" s="29" t="s">
        <v>1247</v>
      </c>
      <c r="M17" s="41" t="s">
        <v>1248</v>
      </c>
      <c r="N17" s="42" t="s">
        <v>1249</v>
      </c>
      <c r="O17" s="42" t="s">
        <v>1250</v>
      </c>
      <c r="P17" s="42" t="s">
        <v>1251</v>
      </c>
      <c r="Q17" s="42" t="s">
        <v>1252</v>
      </c>
      <c r="R17" s="39" t="s">
        <v>1248</v>
      </c>
      <c r="S17" s="40" t="s">
        <v>1249</v>
      </c>
      <c r="T17" s="40" t="s">
        <v>1250</v>
      </c>
      <c r="U17" s="40" t="s">
        <v>1251</v>
      </c>
      <c r="V17" s="39" t="s">
        <v>1252</v>
      </c>
      <c r="W17" s="41" t="s">
        <v>1248</v>
      </c>
      <c r="X17" s="42" t="s">
        <v>1249</v>
      </c>
      <c r="Y17" s="42" t="s">
        <v>1250</v>
      </c>
      <c r="Z17" s="42" t="s">
        <v>1251</v>
      </c>
      <c r="AA17" s="42" t="s">
        <v>1252</v>
      </c>
      <c r="AB17" s="43" t="s">
        <v>1248</v>
      </c>
      <c r="AC17" s="44" t="s">
        <v>1249</v>
      </c>
      <c r="AD17" s="44" t="s">
        <v>1250</v>
      </c>
      <c r="AE17" s="44" t="s">
        <v>1251</v>
      </c>
      <c r="AF17" s="44" t="s">
        <v>1252</v>
      </c>
      <c r="AG17" s="35" t="s">
        <v>1248</v>
      </c>
      <c r="AH17" s="36" t="s">
        <v>1249</v>
      </c>
      <c r="AI17" s="36" t="s">
        <v>1250</v>
      </c>
      <c r="AJ17" s="36" t="s">
        <v>1251</v>
      </c>
      <c r="AK17" s="36" t="s">
        <v>1252</v>
      </c>
      <c r="AL17" s="37" t="s">
        <v>1248</v>
      </c>
      <c r="AM17" s="38" t="s">
        <v>1249</v>
      </c>
      <c r="AN17" s="38" t="s">
        <v>1250</v>
      </c>
      <c r="AO17" s="38" t="s">
        <v>1251</v>
      </c>
      <c r="AP17" s="38" t="s">
        <v>1252</v>
      </c>
      <c r="AQ17" s="39" t="s">
        <v>1248</v>
      </c>
      <c r="AR17" s="40" t="s">
        <v>1249</v>
      </c>
      <c r="AS17" s="40" t="s">
        <v>1250</v>
      </c>
      <c r="AT17" s="40" t="s">
        <v>1251</v>
      </c>
      <c r="AU17" s="39" t="s">
        <v>1252</v>
      </c>
    </row>
    <row r="18" spans="2:47" ht="45">
      <c r="B18" s="47" t="s">
        <v>899</v>
      </c>
      <c r="C18" s="48" t="s">
        <v>1304</v>
      </c>
      <c r="D18" s="48" t="s">
        <v>1315</v>
      </c>
      <c r="E18" s="70" t="s">
        <v>1412</v>
      </c>
      <c r="F18" s="273">
        <v>45672</v>
      </c>
      <c r="G18" s="273">
        <v>45700</v>
      </c>
      <c r="H18" s="273">
        <v>45722</v>
      </c>
      <c r="I18" s="273">
        <v>45736</v>
      </c>
      <c r="J18" s="273">
        <v>45754</v>
      </c>
      <c r="K18" s="49" t="s">
        <v>1410</v>
      </c>
      <c r="L18" s="49" t="s">
        <v>1411</v>
      </c>
      <c r="Y18" s="137" t="s">
        <v>860</v>
      </c>
      <c r="AC18" s="55" t="s">
        <v>861</v>
      </c>
    </row>
    <row r="19" spans="2:47" ht="45">
      <c r="B19" s="47" t="s">
        <v>899</v>
      </c>
      <c r="C19" s="48" t="s">
        <v>1304</v>
      </c>
      <c r="D19" s="48" t="s">
        <v>1413</v>
      </c>
      <c r="E19" s="70" t="s">
        <v>1412</v>
      </c>
      <c r="F19" s="273">
        <v>45672</v>
      </c>
      <c r="G19" s="273">
        <v>45700</v>
      </c>
      <c r="H19" s="273">
        <v>45722</v>
      </c>
      <c r="I19" s="273">
        <v>45736</v>
      </c>
      <c r="J19" s="273">
        <v>45754</v>
      </c>
      <c r="K19" s="49" t="s">
        <v>1410</v>
      </c>
      <c r="L19" s="49" t="s">
        <v>1411</v>
      </c>
      <c r="AJ19" s="137" t="s">
        <v>860</v>
      </c>
      <c r="AO19" s="55" t="s">
        <v>861</v>
      </c>
    </row>
    <row r="20" spans="2:47" ht="45">
      <c r="B20" s="47" t="s">
        <v>899</v>
      </c>
      <c r="C20" s="48" t="s">
        <v>1334</v>
      </c>
      <c r="D20" s="48" t="s">
        <v>1335</v>
      </c>
      <c r="E20" s="70" t="s">
        <v>1412</v>
      </c>
      <c r="F20" s="273">
        <v>45672</v>
      </c>
      <c r="G20" s="273">
        <v>45700</v>
      </c>
      <c r="H20" s="273">
        <v>45722</v>
      </c>
      <c r="I20" s="273">
        <v>45736</v>
      </c>
      <c r="J20" s="273">
        <v>45754</v>
      </c>
      <c r="K20" s="49" t="s">
        <v>1410</v>
      </c>
      <c r="L20" s="49" t="s">
        <v>1411</v>
      </c>
    </row>
    <row r="21" spans="2:47" ht="45">
      <c r="B21" s="47" t="s">
        <v>899</v>
      </c>
      <c r="C21" s="48" t="s">
        <v>1334</v>
      </c>
      <c r="D21" s="48" t="s">
        <v>951</v>
      </c>
      <c r="E21" s="70" t="s">
        <v>1412</v>
      </c>
      <c r="F21" s="273">
        <v>45672</v>
      </c>
      <c r="G21" s="273">
        <v>45700</v>
      </c>
      <c r="H21" s="273">
        <v>45722</v>
      </c>
      <c r="I21" s="273">
        <v>45736</v>
      </c>
      <c r="J21" s="273">
        <v>45754</v>
      </c>
      <c r="K21" s="49" t="s">
        <v>1410</v>
      </c>
      <c r="L21" s="49" t="s">
        <v>1411</v>
      </c>
    </row>
    <row r="22" spans="2:47" ht="45">
      <c r="B22" s="47" t="s">
        <v>899</v>
      </c>
      <c r="C22" s="48" t="s">
        <v>1316</v>
      </c>
      <c r="D22" s="48" t="s">
        <v>1317</v>
      </c>
      <c r="E22" s="70" t="s">
        <v>1412</v>
      </c>
      <c r="F22" s="273">
        <v>45672</v>
      </c>
      <c r="G22" s="273">
        <v>45700</v>
      </c>
      <c r="H22" s="273">
        <v>45722</v>
      </c>
      <c r="I22" s="273">
        <v>45736</v>
      </c>
      <c r="J22" s="273">
        <v>45754</v>
      </c>
      <c r="K22" s="49" t="s">
        <v>1410</v>
      </c>
      <c r="L22" s="49" t="s">
        <v>1411</v>
      </c>
    </row>
    <row r="23" spans="2:47" ht="45">
      <c r="B23" s="47" t="s">
        <v>899</v>
      </c>
      <c r="C23" s="48" t="s">
        <v>1316</v>
      </c>
      <c r="D23" s="48" t="s">
        <v>1318</v>
      </c>
      <c r="E23" s="70" t="s">
        <v>1412</v>
      </c>
      <c r="F23" s="273">
        <v>45672</v>
      </c>
      <c r="G23" s="273">
        <v>45700</v>
      </c>
      <c r="H23" s="273">
        <v>45722</v>
      </c>
      <c r="I23" s="273">
        <v>45736</v>
      </c>
      <c r="J23" s="273">
        <v>45754</v>
      </c>
      <c r="K23" s="49" t="s">
        <v>1410</v>
      </c>
      <c r="L23" s="49" t="s">
        <v>1411</v>
      </c>
    </row>
    <row r="24" spans="2:47" ht="45">
      <c r="B24" s="47" t="s">
        <v>899</v>
      </c>
      <c r="C24" s="48" t="s">
        <v>1316</v>
      </c>
      <c r="D24" s="48" t="s">
        <v>1319</v>
      </c>
      <c r="E24" s="70" t="s">
        <v>1412</v>
      </c>
      <c r="F24" s="273">
        <v>45672</v>
      </c>
      <c r="G24" s="273">
        <v>45700</v>
      </c>
      <c r="H24" s="273">
        <v>45722</v>
      </c>
      <c r="I24" s="273">
        <v>45736</v>
      </c>
      <c r="J24" s="273">
        <v>45754</v>
      </c>
      <c r="K24" s="49" t="s">
        <v>1410</v>
      </c>
      <c r="L24" s="49" t="s">
        <v>1411</v>
      </c>
    </row>
    <row r="25" spans="2:47" ht="45">
      <c r="B25" s="47" t="s">
        <v>899</v>
      </c>
      <c r="C25" s="48" t="s">
        <v>1414</v>
      </c>
      <c r="D25" s="48" t="s">
        <v>1415</v>
      </c>
      <c r="E25" s="70" t="s">
        <v>1412</v>
      </c>
      <c r="F25" s="273">
        <v>45672</v>
      </c>
      <c r="G25" s="273">
        <v>45700</v>
      </c>
      <c r="H25" s="273">
        <v>45722</v>
      </c>
      <c r="I25" s="273">
        <v>45736</v>
      </c>
      <c r="J25" s="273">
        <v>45754</v>
      </c>
      <c r="K25" s="49" t="s">
        <v>1410</v>
      </c>
      <c r="L25" s="49" t="s">
        <v>1411</v>
      </c>
    </row>
    <row r="26" spans="2:47" ht="45">
      <c r="B26" s="47" t="s">
        <v>899</v>
      </c>
      <c r="C26" s="48" t="s">
        <v>1414</v>
      </c>
      <c r="D26" s="48" t="s">
        <v>1416</v>
      </c>
      <c r="E26" s="70" t="s">
        <v>1412</v>
      </c>
      <c r="F26" s="273">
        <v>45672</v>
      </c>
      <c r="G26" s="273">
        <v>45700</v>
      </c>
      <c r="H26" s="273">
        <v>45722</v>
      </c>
      <c r="I26" s="273">
        <v>45736</v>
      </c>
      <c r="J26" s="273">
        <v>45754</v>
      </c>
      <c r="K26" s="49" t="s">
        <v>1410</v>
      </c>
      <c r="L26" s="49" t="s">
        <v>1411</v>
      </c>
    </row>
    <row r="27" spans="2:47" ht="45">
      <c r="B27" s="47" t="s">
        <v>899</v>
      </c>
      <c r="C27" s="48" t="s">
        <v>1320</v>
      </c>
      <c r="D27" s="48" t="s">
        <v>1321</v>
      </c>
      <c r="E27" s="70" t="s">
        <v>1412</v>
      </c>
      <c r="F27" s="273">
        <v>45672</v>
      </c>
      <c r="G27" s="273">
        <v>45700</v>
      </c>
      <c r="H27" s="273">
        <v>45722</v>
      </c>
      <c r="I27" s="273">
        <v>45736</v>
      </c>
      <c r="J27" s="273">
        <v>45754</v>
      </c>
      <c r="K27" s="49" t="s">
        <v>1410</v>
      </c>
      <c r="L27" s="49" t="s">
        <v>1411</v>
      </c>
    </row>
    <row r="28" spans="2:47" ht="45">
      <c r="B28" s="47" t="s">
        <v>899</v>
      </c>
      <c r="C28" s="48" t="s">
        <v>1320</v>
      </c>
      <c r="D28" s="48" t="s">
        <v>1322</v>
      </c>
      <c r="E28" s="70" t="s">
        <v>1412</v>
      </c>
      <c r="F28" s="273">
        <v>45672</v>
      </c>
      <c r="G28" s="273">
        <v>45700</v>
      </c>
      <c r="H28" s="273">
        <v>45722</v>
      </c>
      <c r="I28" s="273">
        <v>45736</v>
      </c>
      <c r="J28" s="273">
        <v>45754</v>
      </c>
      <c r="K28" s="49" t="s">
        <v>1410</v>
      </c>
      <c r="L28" s="49" t="s">
        <v>1411</v>
      </c>
    </row>
    <row r="29" spans="2:47" ht="45">
      <c r="B29" s="47" t="s">
        <v>899</v>
      </c>
      <c r="C29" s="48" t="s">
        <v>1316</v>
      </c>
      <c r="D29" s="48" t="s">
        <v>1323</v>
      </c>
      <c r="E29" s="70" t="s">
        <v>1412</v>
      </c>
      <c r="F29" s="273">
        <v>45672</v>
      </c>
      <c r="G29" s="273">
        <v>45700</v>
      </c>
      <c r="H29" s="273">
        <v>45722</v>
      </c>
      <c r="I29" s="273">
        <v>45736</v>
      </c>
      <c r="J29" s="273">
        <v>45754</v>
      </c>
      <c r="K29" s="49" t="s">
        <v>1410</v>
      </c>
      <c r="L29" s="49" t="s">
        <v>1411</v>
      </c>
    </row>
    <row r="30" spans="2:47" ht="45">
      <c r="B30" s="47" t="s">
        <v>899</v>
      </c>
      <c r="C30" s="48" t="s">
        <v>1316</v>
      </c>
      <c r="D30" s="48" t="s">
        <v>1324</v>
      </c>
      <c r="E30" s="70" t="s">
        <v>1412</v>
      </c>
      <c r="F30" s="273">
        <v>45672</v>
      </c>
      <c r="G30" s="273">
        <v>45700</v>
      </c>
      <c r="H30" s="273">
        <v>45722</v>
      </c>
      <c r="I30" s="273">
        <v>45736</v>
      </c>
      <c r="J30" s="273">
        <v>45754</v>
      </c>
      <c r="K30" s="49" t="s">
        <v>1410</v>
      </c>
      <c r="L30" s="49" t="s">
        <v>1411</v>
      </c>
    </row>
    <row r="31" spans="2:47" ht="45">
      <c r="B31" s="47" t="s">
        <v>899</v>
      </c>
      <c r="C31" s="48" t="s">
        <v>1320</v>
      </c>
      <c r="D31" s="48" t="s">
        <v>1325</v>
      </c>
      <c r="E31" s="70" t="s">
        <v>1412</v>
      </c>
      <c r="F31" s="273">
        <v>45672</v>
      </c>
      <c r="G31" s="273">
        <v>45700</v>
      </c>
      <c r="H31" s="273">
        <v>45722</v>
      </c>
      <c r="I31" s="273">
        <v>45736</v>
      </c>
      <c r="J31" s="273">
        <v>45754</v>
      </c>
      <c r="K31" s="49" t="s">
        <v>1410</v>
      </c>
      <c r="L31" s="49" t="s">
        <v>1411</v>
      </c>
    </row>
    <row r="32" spans="2:47" ht="45">
      <c r="B32" s="47" t="s">
        <v>899</v>
      </c>
      <c r="C32" s="48" t="s">
        <v>1316</v>
      </c>
      <c r="D32" s="48" t="s">
        <v>1326</v>
      </c>
      <c r="E32" s="70" t="s">
        <v>1412</v>
      </c>
      <c r="F32" s="273">
        <v>45672</v>
      </c>
      <c r="G32" s="273">
        <v>45700</v>
      </c>
      <c r="H32" s="273">
        <v>45722</v>
      </c>
      <c r="I32" s="273">
        <v>45736</v>
      </c>
      <c r="J32" s="273">
        <v>45754</v>
      </c>
      <c r="K32" s="49" t="s">
        <v>1410</v>
      </c>
      <c r="L32" s="49" t="s">
        <v>1411</v>
      </c>
    </row>
    <row r="33" spans="2:32" ht="45">
      <c r="B33" s="47" t="s">
        <v>899</v>
      </c>
      <c r="C33" s="48" t="s">
        <v>1316</v>
      </c>
      <c r="D33" s="48" t="s">
        <v>1417</v>
      </c>
      <c r="E33" s="70" t="s">
        <v>1412</v>
      </c>
      <c r="F33" s="273">
        <v>45672</v>
      </c>
      <c r="G33" s="273">
        <v>45700</v>
      </c>
      <c r="H33" s="273">
        <v>45722</v>
      </c>
      <c r="I33" s="273">
        <v>45736</v>
      </c>
      <c r="J33" s="273">
        <v>45754</v>
      </c>
      <c r="K33" s="49" t="s">
        <v>1410</v>
      </c>
      <c r="L33" s="49" t="s">
        <v>1411</v>
      </c>
    </row>
    <row r="34" spans="2:32" ht="45">
      <c r="B34" s="47" t="s">
        <v>899</v>
      </c>
      <c r="C34" s="48" t="s">
        <v>1414</v>
      </c>
      <c r="D34" s="48" t="s">
        <v>1418</v>
      </c>
      <c r="E34" s="70" t="s">
        <v>1412</v>
      </c>
      <c r="F34" s="273">
        <v>45672</v>
      </c>
      <c r="G34" s="273">
        <v>45700</v>
      </c>
      <c r="H34" s="273">
        <v>45722</v>
      </c>
      <c r="I34" s="273">
        <v>45736</v>
      </c>
      <c r="J34" s="273">
        <v>45754</v>
      </c>
      <c r="K34" s="49" t="s">
        <v>1410</v>
      </c>
      <c r="L34" s="49" t="s">
        <v>1411</v>
      </c>
    </row>
    <row r="35" spans="2:32" ht="45">
      <c r="B35" s="47" t="s">
        <v>899</v>
      </c>
      <c r="C35" s="48" t="s">
        <v>1320</v>
      </c>
      <c r="D35" s="48" t="s">
        <v>1327</v>
      </c>
      <c r="E35" s="70" t="s">
        <v>1412</v>
      </c>
      <c r="F35" s="273">
        <v>45672</v>
      </c>
      <c r="G35" s="273">
        <v>45700</v>
      </c>
      <c r="H35" s="273">
        <v>45722</v>
      </c>
      <c r="I35" s="273">
        <v>45736</v>
      </c>
      <c r="J35" s="273">
        <v>45754</v>
      </c>
      <c r="K35" s="49" t="s">
        <v>1410</v>
      </c>
      <c r="L35" s="49" t="s">
        <v>1411</v>
      </c>
    </row>
    <row r="36" spans="2:32" ht="45">
      <c r="B36" s="47" t="s">
        <v>899</v>
      </c>
      <c r="C36" s="48" t="s">
        <v>1328</v>
      </c>
      <c r="D36" s="48" t="s">
        <v>1329</v>
      </c>
      <c r="E36" s="70" t="s">
        <v>1412</v>
      </c>
      <c r="F36" s="273">
        <v>45672</v>
      </c>
      <c r="G36" s="273">
        <v>45700</v>
      </c>
      <c r="H36" s="273">
        <v>45722</v>
      </c>
      <c r="I36" s="273">
        <v>45736</v>
      </c>
      <c r="J36" s="273">
        <v>45754</v>
      </c>
      <c r="K36" s="49" t="s">
        <v>1410</v>
      </c>
      <c r="L36" s="49" t="s">
        <v>1411</v>
      </c>
    </row>
    <row r="37" spans="2:32" ht="45">
      <c r="B37" s="47" t="s">
        <v>899</v>
      </c>
      <c r="C37" s="48" t="s">
        <v>1330</v>
      </c>
      <c r="D37" s="48" t="s">
        <v>1331</v>
      </c>
      <c r="E37" s="70" t="s">
        <v>1412</v>
      </c>
      <c r="F37" s="273">
        <v>45672</v>
      </c>
      <c r="G37" s="273">
        <v>45700</v>
      </c>
      <c r="H37" s="273">
        <v>45722</v>
      </c>
      <c r="I37" s="273">
        <v>45736</v>
      </c>
      <c r="J37" s="273">
        <v>45754</v>
      </c>
      <c r="K37" s="49" t="s">
        <v>1410</v>
      </c>
      <c r="L37" s="49" t="s">
        <v>1411</v>
      </c>
    </row>
    <row r="38" spans="2:32" ht="45">
      <c r="B38" s="47" t="s">
        <v>899</v>
      </c>
      <c r="C38" s="48" t="s">
        <v>1332</v>
      </c>
      <c r="D38" s="48" t="s">
        <v>1333</v>
      </c>
      <c r="E38" s="70" t="s">
        <v>1412</v>
      </c>
      <c r="F38" s="273">
        <v>45672</v>
      </c>
      <c r="G38" s="273">
        <v>45700</v>
      </c>
      <c r="H38" s="273">
        <v>45722</v>
      </c>
      <c r="I38" s="273">
        <v>45736</v>
      </c>
      <c r="J38" s="273">
        <v>45754</v>
      </c>
      <c r="K38" s="49" t="s">
        <v>1410</v>
      </c>
      <c r="L38" s="49" t="s">
        <v>1411</v>
      </c>
    </row>
    <row r="39" spans="2:32" ht="45" hidden="1">
      <c r="B39" s="47" t="s">
        <v>864</v>
      </c>
      <c r="C39" s="48" t="s">
        <v>1412</v>
      </c>
      <c r="D39" s="48" t="s">
        <v>1419</v>
      </c>
      <c r="E39" s="70" t="s">
        <v>1412</v>
      </c>
      <c r="F39" s="273">
        <v>45749</v>
      </c>
      <c r="G39" s="273">
        <v>45772</v>
      </c>
      <c r="H39" s="273">
        <v>45798</v>
      </c>
      <c r="I39" s="273">
        <v>45813</v>
      </c>
      <c r="J39" s="273">
        <v>45838</v>
      </c>
      <c r="K39" s="342" t="s">
        <v>1420</v>
      </c>
      <c r="L39" s="342" t="s">
        <v>1421</v>
      </c>
    </row>
    <row r="40" spans="2:32" ht="45">
      <c r="B40" s="47" t="s">
        <v>864</v>
      </c>
      <c r="C40" s="48" t="s">
        <v>1310</v>
      </c>
      <c r="D40" s="48" t="s">
        <v>1422</v>
      </c>
      <c r="E40" s="70" t="s">
        <v>1423</v>
      </c>
      <c r="F40" s="273">
        <v>45705</v>
      </c>
      <c r="G40" s="273" t="s">
        <v>1302</v>
      </c>
      <c r="H40" s="273">
        <v>45742</v>
      </c>
      <c r="I40" s="273">
        <v>45763</v>
      </c>
      <c r="J40" s="273">
        <v>45770</v>
      </c>
      <c r="K40" s="49" t="s">
        <v>1410</v>
      </c>
      <c r="L40" s="49" t="s">
        <v>1411</v>
      </c>
      <c r="AF40" s="55" t="s">
        <v>861</v>
      </c>
    </row>
    <row r="41" spans="2:32" ht="45">
      <c r="B41" s="47" t="s">
        <v>864</v>
      </c>
      <c r="C41" s="48" t="s">
        <v>1310</v>
      </c>
      <c r="D41" s="48" t="s">
        <v>1424</v>
      </c>
      <c r="E41" s="70" t="s">
        <v>1425</v>
      </c>
      <c r="F41" s="273">
        <v>45705</v>
      </c>
      <c r="G41" s="273" t="s">
        <v>1302</v>
      </c>
      <c r="H41" s="273">
        <v>45742</v>
      </c>
      <c r="I41" s="273">
        <v>45763</v>
      </c>
      <c r="J41" s="273">
        <v>45770</v>
      </c>
      <c r="K41" s="49" t="s">
        <v>1410</v>
      </c>
      <c r="L41" s="49" t="s">
        <v>1411</v>
      </c>
      <c r="AF41" s="55" t="s">
        <v>861</v>
      </c>
    </row>
    <row r="42" spans="2:32" ht="45">
      <c r="B42" s="47" t="s">
        <v>864</v>
      </c>
      <c r="C42" s="48" t="s">
        <v>1310</v>
      </c>
      <c r="D42" s="48" t="s">
        <v>1311</v>
      </c>
      <c r="E42" s="70" t="s">
        <v>1312</v>
      </c>
      <c r="F42" s="273">
        <v>45705</v>
      </c>
      <c r="G42" s="273" t="s">
        <v>1302</v>
      </c>
      <c r="H42" s="273">
        <v>45742</v>
      </c>
      <c r="I42" s="273">
        <v>45763</v>
      </c>
      <c r="J42" s="273">
        <v>45770</v>
      </c>
      <c r="K42" s="49" t="s">
        <v>1410</v>
      </c>
      <c r="L42" s="49" t="s">
        <v>1411</v>
      </c>
      <c r="AF42" s="55" t="s">
        <v>861</v>
      </c>
    </row>
    <row r="43" spans="2:32" ht="45">
      <c r="B43" s="47" t="s">
        <v>864</v>
      </c>
      <c r="C43" s="48" t="s">
        <v>1310</v>
      </c>
      <c r="D43" s="48" t="s">
        <v>1426</v>
      </c>
      <c r="E43" s="70" t="s">
        <v>1427</v>
      </c>
      <c r="F43" s="273">
        <v>45705</v>
      </c>
      <c r="G43" s="273" t="s">
        <v>1302</v>
      </c>
      <c r="H43" s="273">
        <v>45742</v>
      </c>
      <c r="I43" s="273">
        <v>45763</v>
      </c>
      <c r="J43" s="273">
        <v>45770</v>
      </c>
      <c r="K43" s="49" t="s">
        <v>1410</v>
      </c>
      <c r="L43" s="49" t="s">
        <v>1411</v>
      </c>
      <c r="AF43" s="55" t="s">
        <v>861</v>
      </c>
    </row>
    <row r="44" spans="2:32" ht="45">
      <c r="B44" s="47" t="s">
        <v>864</v>
      </c>
      <c r="C44" s="48" t="s">
        <v>1428</v>
      </c>
      <c r="D44" s="48" t="s">
        <v>973</v>
      </c>
      <c r="E44" s="70" t="s">
        <v>974</v>
      </c>
      <c r="F44" s="273">
        <v>45705</v>
      </c>
      <c r="G44" s="273" t="s">
        <v>1302</v>
      </c>
      <c r="H44" s="273">
        <v>45742</v>
      </c>
      <c r="I44" s="273">
        <v>45763</v>
      </c>
      <c r="J44" s="273">
        <v>45770</v>
      </c>
      <c r="K44" s="49" t="s">
        <v>1410</v>
      </c>
      <c r="L44" s="49" t="s">
        <v>1411</v>
      </c>
      <c r="AF44" s="55" t="s">
        <v>861</v>
      </c>
    </row>
    <row r="45" spans="2:32" ht="45">
      <c r="B45" s="47" t="s">
        <v>864</v>
      </c>
      <c r="C45" s="48" t="s">
        <v>1429</v>
      </c>
      <c r="D45" s="48" t="s">
        <v>975</v>
      </c>
      <c r="E45" s="70" t="s">
        <v>974</v>
      </c>
      <c r="F45" s="273">
        <v>45705</v>
      </c>
      <c r="G45" s="273" t="s">
        <v>1302</v>
      </c>
      <c r="H45" s="273">
        <v>45742</v>
      </c>
      <c r="I45" s="273">
        <v>45763</v>
      </c>
      <c r="J45" s="273">
        <v>45770</v>
      </c>
      <c r="K45" s="49" t="s">
        <v>1410</v>
      </c>
      <c r="L45" s="49" t="s">
        <v>1411</v>
      </c>
      <c r="AF45" s="55" t="s">
        <v>861</v>
      </c>
    </row>
    <row r="46" spans="2:32" ht="45">
      <c r="B46" s="47" t="s">
        <v>864</v>
      </c>
      <c r="C46" s="48" t="s">
        <v>1304</v>
      </c>
      <c r="D46" s="48" t="s">
        <v>979</v>
      </c>
      <c r="E46" s="70" t="s">
        <v>980</v>
      </c>
      <c r="F46" s="273">
        <v>45705</v>
      </c>
      <c r="G46" s="273" t="s">
        <v>1302</v>
      </c>
      <c r="H46" s="273">
        <v>45742</v>
      </c>
      <c r="I46" s="273">
        <v>45763</v>
      </c>
      <c r="J46" s="273">
        <v>45770</v>
      </c>
      <c r="K46" s="49" t="s">
        <v>1410</v>
      </c>
      <c r="L46" s="49" t="s">
        <v>1411</v>
      </c>
      <c r="AF46" s="55" t="s">
        <v>861</v>
      </c>
    </row>
    <row r="47" spans="2:32" ht="45">
      <c r="B47" s="47" t="s">
        <v>864</v>
      </c>
      <c r="C47" s="48" t="s">
        <v>1304</v>
      </c>
      <c r="D47" s="48" t="s">
        <v>981</v>
      </c>
      <c r="E47" s="70" t="s">
        <v>982</v>
      </c>
      <c r="F47" s="273">
        <v>45705</v>
      </c>
      <c r="G47" s="273" t="s">
        <v>1302</v>
      </c>
      <c r="H47" s="273">
        <v>45742</v>
      </c>
      <c r="I47" s="273">
        <v>45763</v>
      </c>
      <c r="J47" s="273">
        <v>45770</v>
      </c>
      <c r="K47" s="49" t="s">
        <v>1410</v>
      </c>
      <c r="L47" s="49" t="s">
        <v>1411</v>
      </c>
      <c r="AF47" s="55" t="s">
        <v>861</v>
      </c>
    </row>
    <row r="48" spans="2:32" ht="45">
      <c r="B48" s="47" t="s">
        <v>864</v>
      </c>
      <c r="C48" s="48" t="s">
        <v>1304</v>
      </c>
      <c r="D48" s="48" t="s">
        <v>983</v>
      </c>
      <c r="E48" s="70" t="s">
        <v>984</v>
      </c>
      <c r="F48" s="273">
        <v>45705</v>
      </c>
      <c r="G48" s="273" t="s">
        <v>1302</v>
      </c>
      <c r="H48" s="273">
        <v>45742</v>
      </c>
      <c r="I48" s="273">
        <v>45763</v>
      </c>
      <c r="J48" s="273">
        <v>45770</v>
      </c>
      <c r="K48" s="49" t="s">
        <v>1410</v>
      </c>
      <c r="L48" s="49" t="s">
        <v>1411</v>
      </c>
      <c r="AF48" s="55" t="s">
        <v>861</v>
      </c>
    </row>
    <row r="49" spans="2:32" ht="45">
      <c r="B49" s="47" t="s">
        <v>864</v>
      </c>
      <c r="C49" s="48" t="s">
        <v>1304</v>
      </c>
      <c r="D49" s="48" t="s">
        <v>985</v>
      </c>
      <c r="E49" s="70" t="s">
        <v>986</v>
      </c>
      <c r="F49" s="273">
        <v>45705</v>
      </c>
      <c r="G49" s="273" t="s">
        <v>1302</v>
      </c>
      <c r="H49" s="273">
        <v>45742</v>
      </c>
      <c r="I49" s="273">
        <v>45763</v>
      </c>
      <c r="J49" s="273">
        <v>45770</v>
      </c>
      <c r="K49" s="49" t="s">
        <v>1410</v>
      </c>
      <c r="L49" s="49" t="s">
        <v>1411</v>
      </c>
      <c r="AF49" s="55" t="s">
        <v>861</v>
      </c>
    </row>
    <row r="50" spans="2:32" ht="45">
      <c r="B50" s="47" t="s">
        <v>864</v>
      </c>
      <c r="C50" s="48" t="s">
        <v>1071</v>
      </c>
      <c r="D50" s="48" t="s">
        <v>987</v>
      </c>
      <c r="E50" s="70" t="s">
        <v>988</v>
      </c>
      <c r="F50" s="273">
        <v>45705</v>
      </c>
      <c r="G50" s="273" t="s">
        <v>1302</v>
      </c>
      <c r="H50" s="273">
        <v>45742</v>
      </c>
      <c r="I50" s="273">
        <v>45763</v>
      </c>
      <c r="J50" s="273">
        <v>45770</v>
      </c>
      <c r="K50" s="49" t="s">
        <v>1410</v>
      </c>
      <c r="L50" s="49" t="s">
        <v>1411</v>
      </c>
      <c r="AF50" s="55" t="s">
        <v>861</v>
      </c>
    </row>
    <row r="51" spans="2:32" ht="45">
      <c r="B51" s="47" t="s">
        <v>864</v>
      </c>
      <c r="C51" s="48" t="s">
        <v>1071</v>
      </c>
      <c r="D51" s="48" t="s">
        <v>989</v>
      </c>
      <c r="E51" s="70" t="s">
        <v>990</v>
      </c>
      <c r="F51" s="273">
        <v>45705</v>
      </c>
      <c r="G51" s="273" t="s">
        <v>1302</v>
      </c>
      <c r="H51" s="273">
        <v>45742</v>
      </c>
      <c r="I51" s="273">
        <v>45763</v>
      </c>
      <c r="J51" s="273">
        <v>45770</v>
      </c>
      <c r="K51" s="49" t="s">
        <v>1410</v>
      </c>
      <c r="L51" s="49" t="s">
        <v>1411</v>
      </c>
      <c r="AF51" s="55" t="s">
        <v>861</v>
      </c>
    </row>
    <row r="52" spans="2:32" ht="45">
      <c r="B52" s="47" t="s">
        <v>864</v>
      </c>
      <c r="C52" s="48" t="s">
        <v>1071</v>
      </c>
      <c r="D52" s="48" t="s">
        <v>1029</v>
      </c>
      <c r="E52" s="70" t="s">
        <v>1030</v>
      </c>
      <c r="F52" s="273">
        <v>45705</v>
      </c>
      <c r="G52" s="273" t="s">
        <v>1302</v>
      </c>
      <c r="H52" s="273">
        <v>45742</v>
      </c>
      <c r="I52" s="273">
        <v>45763</v>
      </c>
      <c r="J52" s="273">
        <v>45770</v>
      </c>
      <c r="K52" s="49" t="s">
        <v>1410</v>
      </c>
      <c r="L52" s="49" t="s">
        <v>1411</v>
      </c>
      <c r="AF52" s="55" t="s">
        <v>861</v>
      </c>
    </row>
    <row r="53" spans="2:32" ht="45">
      <c r="B53" s="47" t="s">
        <v>864</v>
      </c>
      <c r="C53" s="48" t="s">
        <v>1071</v>
      </c>
      <c r="D53" s="48" t="s">
        <v>993</v>
      </c>
      <c r="E53" s="70" t="s">
        <v>994</v>
      </c>
      <c r="F53" s="273">
        <v>45705</v>
      </c>
      <c r="G53" s="273" t="s">
        <v>1302</v>
      </c>
      <c r="H53" s="273">
        <v>45742</v>
      </c>
      <c r="I53" s="273">
        <v>45763</v>
      </c>
      <c r="J53" s="273">
        <v>45770</v>
      </c>
      <c r="K53" s="49" t="s">
        <v>1410</v>
      </c>
      <c r="L53" s="49" t="s">
        <v>1411</v>
      </c>
      <c r="AF53" s="55" t="s">
        <v>861</v>
      </c>
    </row>
    <row r="54" spans="2:32" ht="45">
      <c r="B54" s="47" t="s">
        <v>864</v>
      </c>
      <c r="C54" s="48" t="s">
        <v>1308</v>
      </c>
      <c r="D54" s="48" t="s">
        <v>963</v>
      </c>
      <c r="E54" s="70" t="s">
        <v>964</v>
      </c>
      <c r="F54" s="273">
        <v>45705</v>
      </c>
      <c r="G54" s="273" t="s">
        <v>1302</v>
      </c>
      <c r="H54" s="273">
        <v>45742</v>
      </c>
      <c r="I54" s="273">
        <v>45763</v>
      </c>
      <c r="J54" s="273">
        <v>45770</v>
      </c>
      <c r="K54" s="49" t="s">
        <v>1410</v>
      </c>
      <c r="L54" s="49" t="s">
        <v>1411</v>
      </c>
      <c r="AF54" s="55" t="s">
        <v>861</v>
      </c>
    </row>
    <row r="55" spans="2:32" ht="45">
      <c r="B55" s="47" t="s">
        <v>864</v>
      </c>
      <c r="C55" s="48" t="s">
        <v>1308</v>
      </c>
      <c r="D55" s="48" t="s">
        <v>965</v>
      </c>
      <c r="E55" s="70" t="s">
        <v>966</v>
      </c>
      <c r="F55" s="273">
        <v>45705</v>
      </c>
      <c r="G55" s="273" t="s">
        <v>1302</v>
      </c>
      <c r="H55" s="273">
        <v>45742</v>
      </c>
      <c r="I55" s="273">
        <v>45763</v>
      </c>
      <c r="J55" s="273">
        <v>45770</v>
      </c>
      <c r="K55" s="49" t="s">
        <v>1410</v>
      </c>
      <c r="L55" s="49" t="s">
        <v>1411</v>
      </c>
      <c r="AF55" s="55" t="s">
        <v>861</v>
      </c>
    </row>
    <row r="56" spans="2:32" ht="45">
      <c r="B56" s="47" t="s">
        <v>864</v>
      </c>
      <c r="C56" s="48" t="s">
        <v>1308</v>
      </c>
      <c r="D56" s="48" t="s">
        <v>874</v>
      </c>
      <c r="E56" s="70" t="s">
        <v>875</v>
      </c>
      <c r="F56" s="273">
        <v>45705</v>
      </c>
      <c r="G56" s="273" t="s">
        <v>1302</v>
      </c>
      <c r="H56" s="273">
        <v>45742</v>
      </c>
      <c r="I56" s="273">
        <v>45763</v>
      </c>
      <c r="J56" s="273">
        <v>45770</v>
      </c>
      <c r="K56" s="49" t="s">
        <v>1410</v>
      </c>
      <c r="L56" s="49" t="s">
        <v>1411</v>
      </c>
      <c r="AF56" s="55" t="s">
        <v>861</v>
      </c>
    </row>
    <row r="57" spans="2:32" ht="45">
      <c r="B57" s="47" t="s">
        <v>864</v>
      </c>
      <c r="C57" s="48" t="s">
        <v>1308</v>
      </c>
      <c r="D57" s="48" t="s">
        <v>876</v>
      </c>
      <c r="E57" s="70" t="s">
        <v>877</v>
      </c>
      <c r="F57" s="273">
        <v>45705</v>
      </c>
      <c r="G57" s="273" t="s">
        <v>1302</v>
      </c>
      <c r="H57" s="273">
        <v>45742</v>
      </c>
      <c r="I57" s="273">
        <v>45763</v>
      </c>
      <c r="J57" s="273">
        <v>45770</v>
      </c>
      <c r="K57" s="49" t="s">
        <v>1410</v>
      </c>
      <c r="L57" s="49" t="s">
        <v>1411</v>
      </c>
      <c r="AF57" s="55" t="s">
        <v>861</v>
      </c>
    </row>
    <row r="58" spans="2:32" ht="45">
      <c r="B58" s="47" t="s">
        <v>864</v>
      </c>
      <c r="C58" s="48" t="s">
        <v>1308</v>
      </c>
      <c r="D58" s="48" t="s">
        <v>878</v>
      </c>
      <c r="E58" s="70" t="s">
        <v>879</v>
      </c>
      <c r="F58" s="273">
        <v>45705</v>
      </c>
      <c r="G58" s="273" t="s">
        <v>1302</v>
      </c>
      <c r="H58" s="273">
        <v>45742</v>
      </c>
      <c r="I58" s="273">
        <v>45763</v>
      </c>
      <c r="J58" s="273">
        <v>45770</v>
      </c>
      <c r="K58" s="49" t="s">
        <v>1410</v>
      </c>
      <c r="L58" s="49" t="s">
        <v>1411</v>
      </c>
      <c r="AF58" s="55" t="s">
        <v>861</v>
      </c>
    </row>
    <row r="59" spans="2:32" ht="45">
      <c r="B59" s="47" t="s">
        <v>864</v>
      </c>
      <c r="C59" s="48" t="s">
        <v>1071</v>
      </c>
      <c r="D59" s="48" t="s">
        <v>1005</v>
      </c>
      <c r="E59" s="70" t="s">
        <v>1006</v>
      </c>
      <c r="F59" s="273">
        <v>45705</v>
      </c>
      <c r="G59" s="273" t="s">
        <v>1302</v>
      </c>
      <c r="H59" s="273">
        <v>45742</v>
      </c>
      <c r="I59" s="273">
        <v>45763</v>
      </c>
      <c r="J59" s="273">
        <v>45770</v>
      </c>
      <c r="K59" s="49" t="s">
        <v>1410</v>
      </c>
      <c r="L59" s="49" t="s">
        <v>1411</v>
      </c>
      <c r="AF59" s="55" t="s">
        <v>861</v>
      </c>
    </row>
    <row r="60" spans="2:32" ht="45">
      <c r="B60" s="47" t="s">
        <v>864</v>
      </c>
      <c r="C60" s="48" t="s">
        <v>1304</v>
      </c>
      <c r="D60" s="48" t="s">
        <v>995</v>
      </c>
      <c r="E60" s="70" t="s">
        <v>996</v>
      </c>
      <c r="F60" s="273">
        <v>45705</v>
      </c>
      <c r="G60" s="273" t="s">
        <v>1302</v>
      </c>
      <c r="H60" s="273">
        <v>45742</v>
      </c>
      <c r="I60" s="273">
        <v>45763</v>
      </c>
      <c r="J60" s="273">
        <v>45770</v>
      </c>
      <c r="K60" s="49" t="s">
        <v>1410</v>
      </c>
      <c r="L60" s="49" t="s">
        <v>1411</v>
      </c>
      <c r="AF60" s="55" t="s">
        <v>861</v>
      </c>
    </row>
    <row r="61" spans="2:32" ht="45">
      <c r="B61" s="47" t="s">
        <v>864</v>
      </c>
      <c r="C61" s="48" t="s">
        <v>1304</v>
      </c>
      <c r="D61" s="48" t="s">
        <v>997</v>
      </c>
      <c r="E61" s="70" t="s">
        <v>998</v>
      </c>
      <c r="F61" s="273">
        <v>45705</v>
      </c>
      <c r="G61" s="273" t="s">
        <v>1302</v>
      </c>
      <c r="H61" s="273">
        <v>45742</v>
      </c>
      <c r="I61" s="273">
        <v>45763</v>
      </c>
      <c r="J61" s="273">
        <v>45770</v>
      </c>
      <c r="K61" s="49" t="s">
        <v>1410</v>
      </c>
      <c r="L61" s="49" t="s">
        <v>1411</v>
      </c>
      <c r="AF61" s="55" t="s">
        <v>861</v>
      </c>
    </row>
    <row r="62" spans="2:32" ht="45">
      <c r="B62" s="47" t="s">
        <v>864</v>
      </c>
      <c r="C62" s="48" t="s">
        <v>1304</v>
      </c>
      <c r="D62" s="48" t="s">
        <v>999</v>
      </c>
      <c r="E62" s="70" t="s">
        <v>1000</v>
      </c>
      <c r="F62" s="273">
        <v>45705</v>
      </c>
      <c r="G62" s="273" t="s">
        <v>1302</v>
      </c>
      <c r="H62" s="273">
        <v>45742</v>
      </c>
      <c r="I62" s="273">
        <v>45763</v>
      </c>
      <c r="J62" s="273">
        <v>45770</v>
      </c>
      <c r="K62" s="49" t="s">
        <v>1410</v>
      </c>
      <c r="L62" s="49" t="s">
        <v>1411</v>
      </c>
      <c r="AF62" s="55" t="s">
        <v>861</v>
      </c>
    </row>
    <row r="63" spans="2:32" ht="45">
      <c r="B63" s="47" t="s">
        <v>864</v>
      </c>
      <c r="C63" s="48" t="s">
        <v>1071</v>
      </c>
      <c r="D63" s="48" t="s">
        <v>1001</v>
      </c>
      <c r="E63" s="70" t="s">
        <v>1002</v>
      </c>
      <c r="F63" s="273">
        <v>45705</v>
      </c>
      <c r="G63" s="273" t="s">
        <v>1302</v>
      </c>
      <c r="H63" s="273">
        <v>45742</v>
      </c>
      <c r="I63" s="273">
        <v>45763</v>
      </c>
      <c r="J63" s="273">
        <v>45770</v>
      </c>
      <c r="K63" s="49" t="s">
        <v>1410</v>
      </c>
      <c r="L63" s="49" t="s">
        <v>1411</v>
      </c>
      <c r="AF63" s="55" t="s">
        <v>861</v>
      </c>
    </row>
    <row r="64" spans="2:32" ht="45">
      <c r="B64" s="47" t="s">
        <v>864</v>
      </c>
      <c r="C64" s="48" t="s">
        <v>1303</v>
      </c>
      <c r="D64" s="48" t="s">
        <v>1013</v>
      </c>
      <c r="E64" s="70" t="s">
        <v>1014</v>
      </c>
      <c r="F64" s="273">
        <v>45705</v>
      </c>
      <c r="G64" s="273" t="s">
        <v>1302</v>
      </c>
      <c r="H64" s="273">
        <v>45742</v>
      </c>
      <c r="I64" s="273">
        <v>45763</v>
      </c>
      <c r="J64" s="273">
        <v>45770</v>
      </c>
      <c r="K64" s="49" t="s">
        <v>1410</v>
      </c>
      <c r="L64" s="49" t="s">
        <v>1411</v>
      </c>
      <c r="AF64" s="55" t="s">
        <v>861</v>
      </c>
    </row>
    <row r="65" spans="2:32" ht="45">
      <c r="B65" s="47" t="s">
        <v>864</v>
      </c>
      <c r="C65" s="48" t="s">
        <v>1303</v>
      </c>
      <c r="D65" s="48" t="s">
        <v>1015</v>
      </c>
      <c r="E65" s="70" t="s">
        <v>1016</v>
      </c>
      <c r="F65" s="273">
        <v>45705</v>
      </c>
      <c r="G65" s="273" t="s">
        <v>1302</v>
      </c>
      <c r="H65" s="273">
        <v>45742</v>
      </c>
      <c r="I65" s="273">
        <v>45763</v>
      </c>
      <c r="J65" s="273">
        <v>45770</v>
      </c>
      <c r="K65" s="49" t="s">
        <v>1410</v>
      </c>
      <c r="L65" s="49" t="s">
        <v>1411</v>
      </c>
      <c r="AF65" s="55" t="s">
        <v>861</v>
      </c>
    </row>
    <row r="66" spans="2:32" ht="45">
      <c r="B66" s="47" t="s">
        <v>864</v>
      </c>
      <c r="C66" s="48" t="s">
        <v>1303</v>
      </c>
      <c r="D66" s="48" t="s">
        <v>1017</v>
      </c>
      <c r="E66" s="70" t="s">
        <v>1018</v>
      </c>
      <c r="F66" s="273">
        <v>45705</v>
      </c>
      <c r="G66" s="273" t="s">
        <v>1302</v>
      </c>
      <c r="H66" s="273">
        <v>45742</v>
      </c>
      <c r="I66" s="273">
        <v>45763</v>
      </c>
      <c r="J66" s="273">
        <v>45770</v>
      </c>
      <c r="K66" s="49" t="s">
        <v>1410</v>
      </c>
      <c r="L66" s="49" t="s">
        <v>1411</v>
      </c>
      <c r="AF66" s="55" t="s">
        <v>861</v>
      </c>
    </row>
    <row r="67" spans="2:32" ht="45">
      <c r="B67" s="47" t="s">
        <v>864</v>
      </c>
      <c r="C67" s="48" t="s">
        <v>1303</v>
      </c>
      <c r="D67" s="48" t="s">
        <v>1019</v>
      </c>
      <c r="E67" s="70" t="s">
        <v>1020</v>
      </c>
      <c r="F67" s="273">
        <v>45705</v>
      </c>
      <c r="G67" s="273" t="s">
        <v>1302</v>
      </c>
      <c r="H67" s="273">
        <v>45742</v>
      </c>
      <c r="I67" s="273">
        <v>45763</v>
      </c>
      <c r="J67" s="273">
        <v>45770</v>
      </c>
      <c r="K67" s="49" t="s">
        <v>1410</v>
      </c>
      <c r="L67" s="49" t="s">
        <v>1411</v>
      </c>
      <c r="AF67" s="55" t="s">
        <v>861</v>
      </c>
    </row>
    <row r="68" spans="2:32" ht="45">
      <c r="B68" s="47" t="s">
        <v>864</v>
      </c>
      <c r="C68" s="48" t="s">
        <v>1071</v>
      </c>
      <c r="D68" s="48" t="s">
        <v>1003</v>
      </c>
      <c r="E68" s="70" t="s">
        <v>1004</v>
      </c>
      <c r="F68" s="273">
        <v>45705</v>
      </c>
      <c r="G68" s="273" t="s">
        <v>1302</v>
      </c>
      <c r="H68" s="273">
        <v>45742</v>
      </c>
      <c r="I68" s="273">
        <v>45763</v>
      </c>
      <c r="J68" s="273">
        <v>45770</v>
      </c>
      <c r="K68" s="49" t="s">
        <v>1410</v>
      </c>
      <c r="L68" s="49" t="s">
        <v>1411</v>
      </c>
      <c r="AF68" s="55" t="s">
        <v>861</v>
      </c>
    </row>
    <row r="69" spans="2:32" ht="45">
      <c r="B69" s="47" t="s">
        <v>864</v>
      </c>
      <c r="C69" s="48" t="s">
        <v>1309</v>
      </c>
      <c r="D69" s="48" t="s">
        <v>959</v>
      </c>
      <c r="E69" s="70" t="s">
        <v>960</v>
      </c>
      <c r="F69" s="273">
        <v>45705</v>
      </c>
      <c r="G69" s="273" t="s">
        <v>1302</v>
      </c>
      <c r="H69" s="273">
        <v>45742</v>
      </c>
      <c r="I69" s="273">
        <v>45763</v>
      </c>
      <c r="J69" s="273">
        <v>45770</v>
      </c>
      <c r="K69" s="49" t="s">
        <v>1410</v>
      </c>
      <c r="L69" s="49" t="s">
        <v>1411</v>
      </c>
      <c r="AF69" s="55" t="s">
        <v>861</v>
      </c>
    </row>
    <row r="70" spans="2:32" ht="45">
      <c r="B70" s="47" t="s">
        <v>864</v>
      </c>
      <c r="C70" s="48" t="s">
        <v>1309</v>
      </c>
      <c r="D70" s="48" t="s">
        <v>961</v>
      </c>
      <c r="E70" s="70" t="s">
        <v>962</v>
      </c>
      <c r="F70" s="273">
        <v>45705</v>
      </c>
      <c r="G70" s="273" t="s">
        <v>1302</v>
      </c>
      <c r="H70" s="273">
        <v>45742</v>
      </c>
      <c r="I70" s="273">
        <v>45763</v>
      </c>
      <c r="J70" s="273">
        <v>45770</v>
      </c>
      <c r="K70" s="49" t="s">
        <v>1410</v>
      </c>
      <c r="L70" s="49" t="s">
        <v>1411</v>
      </c>
      <c r="AF70" s="55" t="s">
        <v>861</v>
      </c>
    </row>
    <row r="71" spans="2:32" ht="45">
      <c r="B71" s="47" t="s">
        <v>864</v>
      </c>
      <c r="C71" s="48" t="s">
        <v>1330</v>
      </c>
      <c r="D71" s="48" t="s">
        <v>1430</v>
      </c>
      <c r="E71" s="70" t="s">
        <v>1431</v>
      </c>
      <c r="F71" s="273">
        <v>45705</v>
      </c>
      <c r="G71" s="273" t="s">
        <v>1302</v>
      </c>
      <c r="H71" s="273">
        <v>45742</v>
      </c>
      <c r="I71" s="273">
        <v>45763</v>
      </c>
      <c r="J71" s="273">
        <v>45770</v>
      </c>
      <c r="K71" s="49" t="s">
        <v>1410</v>
      </c>
      <c r="L71" s="49" t="s">
        <v>1411</v>
      </c>
      <c r="AF71" s="55" t="s">
        <v>861</v>
      </c>
    </row>
    <row r="72" spans="2:32" ht="45">
      <c r="B72" s="47" t="s">
        <v>864</v>
      </c>
      <c r="C72" s="48" t="s">
        <v>1432</v>
      </c>
      <c r="D72" s="48" t="s">
        <v>1433</v>
      </c>
      <c r="E72" s="70" t="s">
        <v>1434</v>
      </c>
      <c r="F72" s="273">
        <v>45705</v>
      </c>
      <c r="G72" s="273" t="s">
        <v>1302</v>
      </c>
      <c r="H72" s="273">
        <v>45742</v>
      </c>
      <c r="I72" s="273">
        <v>45763</v>
      </c>
      <c r="J72" s="273">
        <v>45770</v>
      </c>
      <c r="K72" s="49" t="s">
        <v>1410</v>
      </c>
      <c r="L72" s="49" t="s">
        <v>1411</v>
      </c>
      <c r="AF72" s="55" t="s">
        <v>861</v>
      </c>
    </row>
    <row r="73" spans="2:32" ht="45">
      <c r="B73" s="47" t="s">
        <v>864</v>
      </c>
      <c r="C73" s="48" t="s">
        <v>1309</v>
      </c>
      <c r="D73" s="48" t="s">
        <v>967</v>
      </c>
      <c r="E73" s="70" t="s">
        <v>968</v>
      </c>
      <c r="F73" s="273">
        <v>45705</v>
      </c>
      <c r="G73" s="273" t="s">
        <v>1302</v>
      </c>
      <c r="H73" s="273">
        <v>45742</v>
      </c>
      <c r="I73" s="273">
        <v>45763</v>
      </c>
      <c r="J73" s="273">
        <v>45770</v>
      </c>
      <c r="K73" s="49" t="s">
        <v>1410</v>
      </c>
      <c r="L73" s="49" t="s">
        <v>1411</v>
      </c>
      <c r="AF73" s="55" t="s">
        <v>861</v>
      </c>
    </row>
    <row r="74" spans="2:32" ht="45">
      <c r="B74" s="47" t="s">
        <v>864</v>
      </c>
      <c r="C74" s="48" t="s">
        <v>1084</v>
      </c>
      <c r="D74" s="48" t="s">
        <v>1007</v>
      </c>
      <c r="E74" s="70" t="s">
        <v>1008</v>
      </c>
      <c r="F74" s="273">
        <v>45705</v>
      </c>
      <c r="G74" s="273" t="s">
        <v>1302</v>
      </c>
      <c r="H74" s="273">
        <v>45742</v>
      </c>
      <c r="I74" s="273">
        <v>45763</v>
      </c>
      <c r="J74" s="273">
        <v>45770</v>
      </c>
      <c r="K74" s="49" t="s">
        <v>1410</v>
      </c>
      <c r="L74" s="49" t="s">
        <v>1411</v>
      </c>
      <c r="AF74" s="55" t="s">
        <v>861</v>
      </c>
    </row>
    <row r="75" spans="2:32" ht="45">
      <c r="B75" s="47" t="s">
        <v>864</v>
      </c>
      <c r="C75" s="48" t="s">
        <v>1084</v>
      </c>
      <c r="D75" s="48" t="s">
        <v>1009</v>
      </c>
      <c r="E75" s="70" t="s">
        <v>1010</v>
      </c>
      <c r="F75" s="273">
        <v>45705</v>
      </c>
      <c r="G75" s="273" t="s">
        <v>1302</v>
      </c>
      <c r="H75" s="273">
        <v>45742</v>
      </c>
      <c r="I75" s="273">
        <v>45763</v>
      </c>
      <c r="J75" s="273">
        <v>45770</v>
      </c>
      <c r="K75" s="49" t="s">
        <v>1410</v>
      </c>
      <c r="L75" s="49" t="s">
        <v>1411</v>
      </c>
      <c r="AF75" s="55" t="s">
        <v>861</v>
      </c>
    </row>
    <row r="76" spans="2:32" ht="45">
      <c r="B76" s="47" t="s">
        <v>864</v>
      </c>
      <c r="C76" s="48" t="s">
        <v>1084</v>
      </c>
      <c r="D76" s="48" t="s">
        <v>1011</v>
      </c>
      <c r="E76" s="70" t="s">
        <v>1012</v>
      </c>
      <c r="F76" s="273">
        <v>45705</v>
      </c>
      <c r="G76" s="273" t="s">
        <v>1302</v>
      </c>
      <c r="H76" s="273">
        <v>45742</v>
      </c>
      <c r="I76" s="273">
        <v>45763</v>
      </c>
      <c r="J76" s="273">
        <v>45770</v>
      </c>
      <c r="K76" s="49" t="s">
        <v>1410</v>
      </c>
      <c r="L76" s="49" t="s">
        <v>1411</v>
      </c>
      <c r="AF76" s="55" t="s">
        <v>861</v>
      </c>
    </row>
    <row r="77" spans="2:32" ht="45">
      <c r="B77" s="47" t="s">
        <v>864</v>
      </c>
      <c r="C77" s="48" t="s">
        <v>1309</v>
      </c>
      <c r="D77" s="48" t="s">
        <v>866</v>
      </c>
      <c r="E77" s="70" t="s">
        <v>867</v>
      </c>
      <c r="F77" s="273">
        <v>45705</v>
      </c>
      <c r="G77" s="273" t="s">
        <v>1302</v>
      </c>
      <c r="H77" s="273">
        <v>45742</v>
      </c>
      <c r="I77" s="273">
        <v>45763</v>
      </c>
      <c r="J77" s="273">
        <v>45770</v>
      </c>
      <c r="K77" s="49" t="s">
        <v>1410</v>
      </c>
      <c r="L77" s="49" t="s">
        <v>1411</v>
      </c>
      <c r="AF77" s="55" t="s">
        <v>861</v>
      </c>
    </row>
    <row r="78" spans="2:32" ht="45">
      <c r="B78" s="47" t="s">
        <v>864</v>
      </c>
      <c r="C78" s="48" t="s">
        <v>1309</v>
      </c>
      <c r="D78" s="48" t="s">
        <v>871</v>
      </c>
      <c r="E78" s="70" t="s">
        <v>872</v>
      </c>
      <c r="F78" s="273">
        <v>45705</v>
      </c>
      <c r="G78" s="273" t="s">
        <v>1302</v>
      </c>
      <c r="H78" s="273">
        <v>45742</v>
      </c>
      <c r="I78" s="273">
        <v>45763</v>
      </c>
      <c r="J78" s="273">
        <v>45770</v>
      </c>
      <c r="K78" s="49" t="s">
        <v>1410</v>
      </c>
      <c r="L78" s="49" t="s">
        <v>1411</v>
      </c>
      <c r="AF78" s="55" t="s">
        <v>861</v>
      </c>
    </row>
    <row r="79" spans="2:32" ht="45">
      <c r="B79" s="47" t="s">
        <v>864</v>
      </c>
      <c r="C79" s="48" t="s">
        <v>1084</v>
      </c>
      <c r="D79" s="48" t="s">
        <v>1021</v>
      </c>
      <c r="E79" s="70" t="s">
        <v>1022</v>
      </c>
      <c r="F79" s="273">
        <v>45705</v>
      </c>
      <c r="G79" s="273" t="s">
        <v>1302</v>
      </c>
      <c r="H79" s="273">
        <v>45742</v>
      </c>
      <c r="I79" s="273">
        <v>45763</v>
      </c>
      <c r="J79" s="273">
        <v>45770</v>
      </c>
      <c r="K79" s="49" t="s">
        <v>1410</v>
      </c>
      <c r="L79" s="49" t="s">
        <v>1411</v>
      </c>
      <c r="AF79" s="55" t="s">
        <v>861</v>
      </c>
    </row>
    <row r="80" spans="2:32" ht="45">
      <c r="B80" s="47" t="s">
        <v>864</v>
      </c>
      <c r="C80" s="48" t="s">
        <v>1084</v>
      </c>
      <c r="D80" s="48" t="s">
        <v>1023</v>
      </c>
      <c r="E80" s="70" t="s">
        <v>1024</v>
      </c>
      <c r="F80" s="273">
        <v>45705</v>
      </c>
      <c r="G80" s="273" t="s">
        <v>1302</v>
      </c>
      <c r="H80" s="273">
        <v>45742</v>
      </c>
      <c r="I80" s="273">
        <v>45763</v>
      </c>
      <c r="J80" s="273">
        <v>45770</v>
      </c>
      <c r="K80" s="49" t="s">
        <v>1410</v>
      </c>
      <c r="L80" s="49" t="s">
        <v>1411</v>
      </c>
      <c r="AF80" s="55" t="s">
        <v>861</v>
      </c>
    </row>
    <row r="81" spans="2:32" ht="45">
      <c r="B81" s="47" t="s">
        <v>864</v>
      </c>
      <c r="C81" s="48" t="s">
        <v>1435</v>
      </c>
      <c r="D81" s="48" t="s">
        <v>903</v>
      </c>
      <c r="E81" s="70" t="s">
        <v>904</v>
      </c>
      <c r="F81" s="273">
        <v>45705</v>
      </c>
      <c r="G81" s="273" t="s">
        <v>1302</v>
      </c>
      <c r="H81" s="273">
        <v>45742</v>
      </c>
      <c r="I81" s="273">
        <v>45763</v>
      </c>
      <c r="J81" s="273">
        <v>45770</v>
      </c>
      <c r="K81" s="49" t="s">
        <v>1410</v>
      </c>
      <c r="L81" s="49" t="s">
        <v>1411</v>
      </c>
      <c r="AF81" s="55" t="s">
        <v>861</v>
      </c>
    </row>
    <row r="82" spans="2:32" ht="45">
      <c r="B82" s="47" t="s">
        <v>864</v>
      </c>
      <c r="C82" s="48" t="s">
        <v>1436</v>
      </c>
      <c r="D82" s="48" t="s">
        <v>881</v>
      </c>
      <c r="E82" s="70" t="s">
        <v>882</v>
      </c>
      <c r="F82" s="273">
        <v>45705</v>
      </c>
      <c r="G82" s="273" t="s">
        <v>1302</v>
      </c>
      <c r="H82" s="273">
        <v>45742</v>
      </c>
      <c r="I82" s="273">
        <v>45763</v>
      </c>
      <c r="J82" s="273">
        <v>45770</v>
      </c>
      <c r="K82" s="49" t="s">
        <v>1410</v>
      </c>
      <c r="L82" s="49" t="s">
        <v>1411</v>
      </c>
      <c r="AF82" s="55" t="s">
        <v>861</v>
      </c>
    </row>
    <row r="83" spans="2:32" ht="45">
      <c r="B83" s="47" t="s">
        <v>864</v>
      </c>
      <c r="C83" s="48" t="s">
        <v>1436</v>
      </c>
      <c r="D83" s="48" t="s">
        <v>884</v>
      </c>
      <c r="E83" s="70" t="s">
        <v>885</v>
      </c>
      <c r="F83" s="273">
        <v>45705</v>
      </c>
      <c r="G83" s="273" t="s">
        <v>1302</v>
      </c>
      <c r="H83" s="273">
        <v>45742</v>
      </c>
      <c r="I83" s="273">
        <v>45763</v>
      </c>
      <c r="J83" s="273">
        <v>45770</v>
      </c>
      <c r="K83" s="49" t="s">
        <v>1410</v>
      </c>
      <c r="L83" s="49" t="s">
        <v>1411</v>
      </c>
      <c r="AF83" s="55" t="s">
        <v>861</v>
      </c>
    </row>
    <row r="84" spans="2:32" ht="45">
      <c r="B84" s="47" t="s">
        <v>864</v>
      </c>
      <c r="C84" s="48" t="s">
        <v>1437</v>
      </c>
      <c r="D84" s="48" t="s">
        <v>886</v>
      </c>
      <c r="E84" s="70" t="s">
        <v>887</v>
      </c>
      <c r="F84" s="273">
        <v>45705</v>
      </c>
      <c r="G84" s="273" t="s">
        <v>1302</v>
      </c>
      <c r="H84" s="273">
        <v>45742</v>
      </c>
      <c r="I84" s="273">
        <v>45763</v>
      </c>
      <c r="J84" s="273">
        <v>45770</v>
      </c>
      <c r="K84" s="49" t="s">
        <v>1410</v>
      </c>
      <c r="L84" s="49" t="s">
        <v>1411</v>
      </c>
      <c r="AF84" s="55" t="s">
        <v>861</v>
      </c>
    </row>
    <row r="85" spans="2:32" ht="45">
      <c r="B85" s="47" t="s">
        <v>864</v>
      </c>
      <c r="C85" s="48" t="s">
        <v>1437</v>
      </c>
      <c r="D85" s="48" t="s">
        <v>888</v>
      </c>
      <c r="E85" s="70" t="s">
        <v>889</v>
      </c>
      <c r="F85" s="273">
        <v>45705</v>
      </c>
      <c r="G85" s="273" t="s">
        <v>1302</v>
      </c>
      <c r="H85" s="273">
        <v>45742</v>
      </c>
      <c r="I85" s="273">
        <v>45763</v>
      </c>
      <c r="J85" s="273">
        <v>45770</v>
      </c>
      <c r="K85" s="49" t="s">
        <v>1410</v>
      </c>
      <c r="L85" s="49" t="s">
        <v>1411</v>
      </c>
      <c r="AF85" s="55" t="s">
        <v>861</v>
      </c>
    </row>
    <row r="86" spans="2:32" ht="45">
      <c r="B86" s="47" t="s">
        <v>864</v>
      </c>
      <c r="C86" s="48" t="s">
        <v>1436</v>
      </c>
      <c r="D86" s="48" t="s">
        <v>890</v>
      </c>
      <c r="E86" s="70" t="s">
        <v>891</v>
      </c>
      <c r="F86" s="273">
        <v>45705</v>
      </c>
      <c r="G86" s="273" t="s">
        <v>1302</v>
      </c>
      <c r="H86" s="273">
        <v>45742</v>
      </c>
      <c r="I86" s="273">
        <v>45763</v>
      </c>
      <c r="J86" s="273">
        <v>45770</v>
      </c>
      <c r="K86" s="49" t="s">
        <v>1410</v>
      </c>
      <c r="L86" s="49" t="s">
        <v>1411</v>
      </c>
      <c r="AF86" s="55" t="s">
        <v>861</v>
      </c>
    </row>
    <row r="87" spans="2:32" ht="45">
      <c r="B87" s="47" t="s">
        <v>864</v>
      </c>
      <c r="C87" s="48" t="s">
        <v>1436</v>
      </c>
      <c r="D87" s="48" t="s">
        <v>892</v>
      </c>
      <c r="E87" s="70" t="s">
        <v>893</v>
      </c>
      <c r="F87" s="273">
        <v>45705</v>
      </c>
      <c r="G87" s="273" t="s">
        <v>1302</v>
      </c>
      <c r="H87" s="273">
        <v>45742</v>
      </c>
      <c r="I87" s="273">
        <v>45763</v>
      </c>
      <c r="J87" s="273">
        <v>45770</v>
      </c>
      <c r="K87" s="49" t="s">
        <v>1410</v>
      </c>
      <c r="L87" s="49" t="s">
        <v>1411</v>
      </c>
      <c r="AF87" s="55" t="s">
        <v>861</v>
      </c>
    </row>
    <row r="88" spans="2:32" ht="45">
      <c r="B88" s="47" t="s">
        <v>864</v>
      </c>
      <c r="C88" s="48" t="s">
        <v>1438</v>
      </c>
      <c r="D88" s="48" t="s">
        <v>895</v>
      </c>
      <c r="E88" s="70" t="s">
        <v>896</v>
      </c>
      <c r="F88" s="273">
        <v>45705</v>
      </c>
      <c r="G88" s="273" t="s">
        <v>1302</v>
      </c>
      <c r="H88" s="273">
        <v>45742</v>
      </c>
      <c r="I88" s="273">
        <v>45763</v>
      </c>
      <c r="J88" s="273">
        <v>45770</v>
      </c>
      <c r="K88" s="49" t="s">
        <v>1410</v>
      </c>
      <c r="L88" s="49" t="s">
        <v>1411</v>
      </c>
      <c r="AF88" s="55" t="s">
        <v>861</v>
      </c>
    </row>
    <row r="89" spans="2:32" ht="45">
      <c r="B89" s="47" t="s">
        <v>864</v>
      </c>
      <c r="C89" s="48" t="s">
        <v>1438</v>
      </c>
      <c r="D89" s="48" t="s">
        <v>897</v>
      </c>
      <c r="E89" s="70" t="s">
        <v>898</v>
      </c>
      <c r="F89" s="273">
        <v>45705</v>
      </c>
      <c r="G89" s="273" t="s">
        <v>1302</v>
      </c>
      <c r="H89" s="273">
        <v>45742</v>
      </c>
      <c r="I89" s="273">
        <v>45763</v>
      </c>
      <c r="J89" s="273">
        <v>45770</v>
      </c>
      <c r="K89" s="49" t="s">
        <v>1410</v>
      </c>
      <c r="L89" s="49" t="s">
        <v>1411</v>
      </c>
      <c r="AF89" s="55" t="s">
        <v>861</v>
      </c>
    </row>
  </sheetData>
  <sheetProtection algorithmName="SHA-512" hashValue="jk0Wl1mQDjHwty9QSPvUKkuv5fTv0X0RDcDQaqgyNM03IkwogDcsOxeajpykOU5X4MPlNidxJkVV4tyo/hdfHQ==" saltValue="4CAolUvaZ0IMJ5rbPLx3Qw==" spinCount="100000" sheet="1" sort="0" autoFilter="0"/>
  <autoFilter ref="B17:AU39" xr:uid="{CF6165FC-3483-4672-A61B-B47BF5F1A173}">
    <filterColumn colId="5">
      <filters>
        <dateGroupItem year="2025" month="2" dateTimeGrouping="month"/>
      </filters>
    </filterColumn>
    <sortState xmlns:xlrd2="http://schemas.microsoft.com/office/spreadsheetml/2017/richdata2" ref="B18:AU19">
      <sortCondition ref="G17"/>
    </sortState>
  </autoFilter>
  <mergeCells count="17">
    <mergeCell ref="E8:L8"/>
    <mergeCell ref="E3:L3"/>
    <mergeCell ref="E4:L4"/>
    <mergeCell ref="E5:L5"/>
    <mergeCell ref="E6:L6"/>
    <mergeCell ref="E7:L7"/>
    <mergeCell ref="AQ16:AU16"/>
    <mergeCell ref="M16:Q16"/>
    <mergeCell ref="E9:L9"/>
    <mergeCell ref="E10:L10"/>
    <mergeCell ref="E11:L11"/>
    <mergeCell ref="E12:L12"/>
    <mergeCell ref="R16:V16"/>
    <mergeCell ref="W16:AA16"/>
    <mergeCell ref="AB16:AF16"/>
    <mergeCell ref="AG16:AK16"/>
    <mergeCell ref="AL16:AP1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10D3-7F17-4681-98DE-10156D63F269}">
  <dimension ref="B1:AZ23"/>
  <sheetViews>
    <sheetView topLeftCell="A2" zoomScale="60" zoomScaleNormal="60" workbookViewId="0">
      <selection activeCell="AF16" sqref="AF16:AY17"/>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6.28515625" style="8" customWidth="1"/>
    <col min="10" max="10" width="15" style="8" customWidth="1"/>
    <col min="11" max="11" width="24" style="8" customWidth="1"/>
    <col min="12" max="12" width="22.42578125" style="7" bestFit="1" customWidth="1"/>
    <col min="13" max="13" width="17.85546875" style="7" customWidth="1"/>
    <col min="14" max="15" width="22.42578125" style="7" bestFit="1" customWidth="1"/>
    <col min="16" max="17" width="23.85546875" style="7" bestFit="1" customWidth="1"/>
    <col min="18" max="18" width="17.85546875" style="7" customWidth="1"/>
    <col min="19" max="19" width="20.140625" style="7" bestFit="1" customWidth="1"/>
    <col min="20" max="20" width="22.42578125" style="7" customWidth="1"/>
    <col min="21" max="21" width="17.85546875" style="7" customWidth="1"/>
    <col min="22" max="22" width="22.42578125" style="7" bestFit="1" customWidth="1"/>
    <col min="23" max="23" width="22.42578125" style="7" customWidth="1"/>
    <col min="24" max="24" width="23.85546875" style="7" bestFit="1" customWidth="1"/>
    <col min="25" max="51" width="17.85546875" style="7" customWidth="1"/>
    <col min="52" max="52" width="29.140625" style="7" customWidth="1"/>
    <col min="53" max="16384" width="10.42578125" style="7"/>
  </cols>
  <sheetData>
    <row r="1" spans="2:52" ht="39.75">
      <c r="B1" s="6" t="s">
        <v>1213</v>
      </c>
    </row>
    <row r="2" spans="2:52" ht="39.75">
      <c r="B2" s="6"/>
    </row>
    <row r="3" spans="2:52" ht="18.75" customHeight="1">
      <c r="B3" s="6"/>
      <c r="E3" s="366" t="s">
        <v>0</v>
      </c>
      <c r="F3" s="366"/>
      <c r="G3" s="366"/>
      <c r="H3" s="366"/>
      <c r="I3" s="366"/>
      <c r="J3" s="366"/>
      <c r="K3" s="366"/>
    </row>
    <row r="4" spans="2:52" ht="18.75" customHeight="1">
      <c r="B4" s="6"/>
      <c r="E4" s="365" t="s">
        <v>1214</v>
      </c>
      <c r="F4" s="365"/>
      <c r="G4" s="365"/>
      <c r="H4" s="365"/>
      <c r="I4" s="365"/>
      <c r="J4" s="365"/>
      <c r="K4" s="365"/>
    </row>
    <row r="5" spans="2:52" ht="18.75" customHeight="1">
      <c r="B5" s="6"/>
      <c r="E5" s="365" t="s">
        <v>1215</v>
      </c>
      <c r="F5" s="365"/>
      <c r="G5" s="365"/>
      <c r="H5" s="365"/>
      <c r="I5" s="365"/>
      <c r="J5" s="365"/>
      <c r="K5" s="365"/>
    </row>
    <row r="6" spans="2:52" ht="18.75" customHeight="1">
      <c r="B6" s="6"/>
      <c r="E6" s="367" t="s">
        <v>1216</v>
      </c>
      <c r="F6" s="367"/>
      <c r="G6" s="367"/>
      <c r="H6" s="367"/>
      <c r="I6" s="367"/>
      <c r="J6" s="367"/>
      <c r="K6" s="367"/>
    </row>
    <row r="7" spans="2:52" ht="18.75" customHeight="1">
      <c r="E7" s="366" t="s">
        <v>33</v>
      </c>
      <c r="F7" s="366"/>
      <c r="G7" s="366"/>
      <c r="H7" s="366"/>
      <c r="I7" s="366"/>
      <c r="J7" s="366"/>
      <c r="K7" s="366"/>
    </row>
    <row r="8" spans="2:52" ht="18.75" customHeight="1">
      <c r="E8" s="365" t="s">
        <v>1217</v>
      </c>
      <c r="F8" s="365"/>
      <c r="G8" s="365"/>
      <c r="H8" s="365"/>
      <c r="I8" s="365"/>
      <c r="J8" s="365"/>
      <c r="K8" s="365"/>
    </row>
    <row r="9" spans="2:52" ht="21.75" customHeight="1">
      <c r="E9" s="365" t="s">
        <v>1218</v>
      </c>
      <c r="F9" s="365"/>
      <c r="G9" s="365"/>
      <c r="H9" s="365"/>
      <c r="I9" s="365"/>
      <c r="J9" s="365"/>
      <c r="K9" s="365"/>
    </row>
    <row r="10" spans="2:52" ht="28.5">
      <c r="E10" s="365" t="s">
        <v>1219</v>
      </c>
      <c r="F10" s="365"/>
      <c r="G10" s="365"/>
      <c r="H10" s="365"/>
      <c r="I10" s="365"/>
      <c r="J10" s="365"/>
      <c r="K10" s="365"/>
      <c r="L10" s="258" t="s">
        <v>404</v>
      </c>
      <c r="N10" s="258" t="s">
        <v>408</v>
      </c>
      <c r="O10" s="258" t="s">
        <v>415</v>
      </c>
      <c r="P10" s="258" t="s">
        <v>421</v>
      </c>
      <c r="Q10" s="258" t="s">
        <v>431</v>
      </c>
      <c r="S10" s="258" t="s">
        <v>435</v>
      </c>
    </row>
    <row r="11" spans="2:52" ht="34.5" customHeight="1">
      <c r="E11" s="365" t="s">
        <v>1220</v>
      </c>
      <c r="F11" s="365"/>
      <c r="G11" s="365"/>
      <c r="H11" s="365"/>
      <c r="I11" s="365"/>
      <c r="J11" s="365"/>
      <c r="K11" s="365"/>
      <c r="T11" s="258" t="s">
        <v>439</v>
      </c>
      <c r="V11" s="258" t="s">
        <v>452</v>
      </c>
      <c r="W11" s="258" t="s">
        <v>456</v>
      </c>
      <c r="X11" s="258" t="s">
        <v>464</v>
      </c>
    </row>
    <row r="12" spans="2:52" ht="18">
      <c r="E12" s="367" t="s">
        <v>1216</v>
      </c>
      <c r="F12" s="367"/>
      <c r="G12" s="367"/>
      <c r="H12" s="367"/>
      <c r="I12" s="367"/>
      <c r="J12" s="367"/>
      <c r="K12" s="367"/>
      <c r="P12" s="258" t="s">
        <v>1439</v>
      </c>
      <c r="S12" s="258" t="s">
        <v>1386</v>
      </c>
      <c r="W12" s="258" t="s">
        <v>1387</v>
      </c>
    </row>
    <row r="13" spans="2:52">
      <c r="E13" s="12"/>
    </row>
    <row r="14" spans="2:52" s="13" customFormat="1" ht="39.75">
      <c r="E14" s="14"/>
      <c r="F14" s="15"/>
      <c r="G14" s="15"/>
      <c r="H14" s="15"/>
      <c r="I14" s="15"/>
      <c r="J14" s="15"/>
      <c r="K14" s="15"/>
    </row>
    <row r="15" spans="2:52">
      <c r="E15" s="22"/>
      <c r="F15" s="23"/>
      <c r="G15" s="23"/>
      <c r="H15" s="23"/>
      <c r="I15" s="23"/>
      <c r="J15" s="23"/>
      <c r="K15" s="23"/>
    </row>
    <row r="16" spans="2:52" s="13" customFormat="1" ht="18">
      <c r="B16" s="25" t="s">
        <v>855</v>
      </c>
      <c r="C16" s="26" t="s">
        <v>856</v>
      </c>
      <c r="D16" s="27" t="s">
        <v>857</v>
      </c>
      <c r="E16" s="28" t="s">
        <v>859</v>
      </c>
      <c r="F16" s="28" t="s">
        <v>860</v>
      </c>
      <c r="G16" s="29" t="s">
        <v>861</v>
      </c>
      <c r="H16" s="29" t="s">
        <v>1230</v>
      </c>
      <c r="I16" s="29" t="s">
        <v>1231</v>
      </c>
      <c r="J16" s="29" t="s">
        <v>1232</v>
      </c>
      <c r="K16" s="29" t="s">
        <v>140</v>
      </c>
      <c r="L16" s="368" t="s">
        <v>1393</v>
      </c>
      <c r="M16" s="368"/>
      <c r="N16" s="368"/>
      <c r="O16" s="368"/>
      <c r="P16" s="369"/>
      <c r="Q16" s="362" t="s">
        <v>1394</v>
      </c>
      <c r="R16" s="363"/>
      <c r="S16" s="363"/>
      <c r="T16" s="363"/>
      <c r="U16" s="364"/>
      <c r="V16" s="359" t="s">
        <v>1395</v>
      </c>
      <c r="W16" s="360"/>
      <c r="X16" s="360"/>
      <c r="Y16" s="360"/>
      <c r="Z16" s="361"/>
      <c r="AA16" s="370" t="s">
        <v>1396</v>
      </c>
      <c r="AB16" s="371"/>
      <c r="AC16" s="371"/>
      <c r="AD16" s="371"/>
      <c r="AE16" s="372"/>
      <c r="AF16" s="373" t="s">
        <v>1397</v>
      </c>
      <c r="AG16" s="374"/>
      <c r="AH16" s="374"/>
      <c r="AI16" s="374"/>
      <c r="AJ16" s="374"/>
      <c r="AK16" s="368" t="s">
        <v>1398</v>
      </c>
      <c r="AL16" s="368"/>
      <c r="AM16" s="368"/>
      <c r="AN16" s="368"/>
      <c r="AO16" s="369"/>
      <c r="AP16" s="362" t="s">
        <v>1399</v>
      </c>
      <c r="AQ16" s="363"/>
      <c r="AR16" s="363"/>
      <c r="AS16" s="363"/>
      <c r="AT16" s="364"/>
      <c r="AU16" s="359" t="s">
        <v>1354</v>
      </c>
      <c r="AV16" s="360"/>
      <c r="AW16" s="360"/>
      <c r="AX16" s="360"/>
      <c r="AY16" s="361"/>
      <c r="AZ16" s="375" t="s">
        <v>1440</v>
      </c>
    </row>
    <row r="17" spans="2:52" s="21" customFormat="1" ht="18">
      <c r="B17" s="30"/>
      <c r="C17" s="31"/>
      <c r="D17" s="32"/>
      <c r="E17" s="33"/>
      <c r="F17" s="33"/>
      <c r="G17" s="34"/>
      <c r="H17" s="34"/>
      <c r="I17" s="34"/>
      <c r="J17" s="29" t="s">
        <v>856</v>
      </c>
      <c r="K17" s="29" t="s">
        <v>1247</v>
      </c>
      <c r="L17" s="37" t="s">
        <v>1248</v>
      </c>
      <c r="M17" s="38" t="s">
        <v>1249</v>
      </c>
      <c r="N17" s="38" t="s">
        <v>1250</v>
      </c>
      <c r="O17" s="38" t="s">
        <v>1251</v>
      </c>
      <c r="P17" s="38" t="s">
        <v>1252</v>
      </c>
      <c r="Q17" s="39" t="s">
        <v>1248</v>
      </c>
      <c r="R17" s="40" t="s">
        <v>1249</v>
      </c>
      <c r="S17" s="40" t="s">
        <v>1250</v>
      </c>
      <c r="T17" s="40" t="s">
        <v>1251</v>
      </c>
      <c r="U17" s="39" t="s">
        <v>1252</v>
      </c>
      <c r="V17" s="41" t="s">
        <v>1248</v>
      </c>
      <c r="W17" s="42" t="s">
        <v>1249</v>
      </c>
      <c r="X17" s="42" t="s">
        <v>1250</v>
      </c>
      <c r="Y17" s="42" t="s">
        <v>1251</v>
      </c>
      <c r="Z17" s="42" t="s">
        <v>1252</v>
      </c>
      <c r="AA17" s="45" t="s">
        <v>1248</v>
      </c>
      <c r="AB17" s="46" t="s">
        <v>1249</v>
      </c>
      <c r="AC17" s="44" t="s">
        <v>1250</v>
      </c>
      <c r="AD17" s="44" t="s">
        <v>1251</v>
      </c>
      <c r="AE17" s="44" t="s">
        <v>1252</v>
      </c>
      <c r="AF17" s="35" t="s">
        <v>1248</v>
      </c>
      <c r="AG17" s="36" t="s">
        <v>1249</v>
      </c>
      <c r="AH17" s="36" t="s">
        <v>1250</v>
      </c>
      <c r="AI17" s="36" t="s">
        <v>1251</v>
      </c>
      <c r="AJ17" s="36" t="s">
        <v>1252</v>
      </c>
      <c r="AK17" s="37" t="s">
        <v>1248</v>
      </c>
      <c r="AL17" s="38" t="s">
        <v>1249</v>
      </c>
      <c r="AM17" s="38" t="s">
        <v>1250</v>
      </c>
      <c r="AN17" s="38" t="s">
        <v>1251</v>
      </c>
      <c r="AO17" s="38" t="s">
        <v>1252</v>
      </c>
      <c r="AP17" s="39" t="s">
        <v>1248</v>
      </c>
      <c r="AQ17" s="40" t="s">
        <v>1249</v>
      </c>
      <c r="AR17" s="40" t="s">
        <v>1250</v>
      </c>
      <c r="AS17" s="40" t="s">
        <v>1251</v>
      </c>
      <c r="AT17" s="39" t="s">
        <v>1252</v>
      </c>
      <c r="AU17" s="41" t="s">
        <v>1248</v>
      </c>
      <c r="AV17" s="42" t="s">
        <v>1249</v>
      </c>
      <c r="AW17" s="42" t="s">
        <v>1250</v>
      </c>
      <c r="AX17" s="42" t="s">
        <v>1251</v>
      </c>
      <c r="AY17" s="42" t="s">
        <v>1252</v>
      </c>
      <c r="AZ17" s="376"/>
    </row>
    <row r="18" spans="2:52" ht="45">
      <c r="B18" s="47" t="s">
        <v>864</v>
      </c>
      <c r="C18" s="48" t="s">
        <v>1304</v>
      </c>
      <c r="D18" s="49" t="s">
        <v>979</v>
      </c>
      <c r="E18" s="70" t="s">
        <v>980</v>
      </c>
      <c r="F18" s="273">
        <v>45474</v>
      </c>
      <c r="G18" s="273">
        <v>45495</v>
      </c>
      <c r="H18" s="273">
        <v>45505</v>
      </c>
      <c r="I18" s="273" t="s">
        <v>1299</v>
      </c>
      <c r="J18" s="49" t="s">
        <v>463</v>
      </c>
      <c r="K18" s="49" t="s">
        <v>1441</v>
      </c>
      <c r="L18" s="66"/>
      <c r="M18" s="56"/>
      <c r="N18" s="56"/>
      <c r="O18" s="56"/>
      <c r="P18" s="56"/>
      <c r="Q18" s="57"/>
      <c r="R18" s="58"/>
      <c r="S18" s="58"/>
      <c r="T18" s="58"/>
      <c r="U18" s="57"/>
      <c r="V18" s="138" t="s">
        <v>860</v>
      </c>
      <c r="W18" s="61"/>
      <c r="X18" s="61"/>
      <c r="Y18" s="95" t="s">
        <v>861</v>
      </c>
      <c r="Z18" s="61"/>
      <c r="AA18" s="63"/>
      <c r="AB18" s="64"/>
      <c r="AC18" s="64"/>
      <c r="AD18" s="64"/>
      <c r="AE18" s="64"/>
      <c r="AF18" s="72"/>
      <c r="AG18" s="73"/>
      <c r="AH18" s="73"/>
      <c r="AI18" s="73"/>
      <c r="AJ18" s="73"/>
      <c r="AK18" s="66"/>
      <c r="AL18" s="56"/>
      <c r="AM18" s="56"/>
      <c r="AN18" s="56"/>
      <c r="AO18" s="56"/>
      <c r="AP18" s="57"/>
      <c r="AQ18" s="58"/>
      <c r="AR18" s="58"/>
      <c r="AS18" s="58"/>
      <c r="AT18" s="57"/>
      <c r="AU18" s="60"/>
      <c r="AV18" s="61"/>
      <c r="AW18" s="61"/>
      <c r="AX18" s="61"/>
      <c r="AY18" s="61"/>
      <c r="AZ18" s="74"/>
    </row>
    <row r="19" spans="2:52" ht="45">
      <c r="B19" s="47" t="s">
        <v>864</v>
      </c>
      <c r="C19" s="48" t="s">
        <v>1304</v>
      </c>
      <c r="D19" s="49" t="s">
        <v>981</v>
      </c>
      <c r="E19" s="70" t="s">
        <v>982</v>
      </c>
      <c r="F19" s="273">
        <v>45474</v>
      </c>
      <c r="G19" s="273">
        <v>45495</v>
      </c>
      <c r="H19" s="273">
        <v>45505</v>
      </c>
      <c r="I19" s="273" t="s">
        <v>1299</v>
      </c>
      <c r="J19" s="49" t="s">
        <v>463</v>
      </c>
      <c r="K19" s="49" t="s">
        <v>1441</v>
      </c>
      <c r="L19" s="66"/>
      <c r="M19" s="56"/>
      <c r="N19" s="56"/>
      <c r="O19" s="56"/>
      <c r="P19" s="56"/>
      <c r="Q19" s="57"/>
      <c r="R19" s="58"/>
      <c r="S19" s="58"/>
      <c r="T19" s="58"/>
      <c r="U19" s="57"/>
      <c r="V19" s="138" t="s">
        <v>860</v>
      </c>
      <c r="W19" s="61"/>
      <c r="X19" s="61"/>
      <c r="Y19" s="95" t="s">
        <v>861</v>
      </c>
      <c r="Z19" s="61"/>
      <c r="AA19" s="63"/>
      <c r="AB19" s="64"/>
      <c r="AC19" s="64"/>
      <c r="AD19" s="64"/>
      <c r="AE19" s="64"/>
      <c r="AF19" s="72"/>
      <c r="AG19" s="73"/>
      <c r="AH19" s="73"/>
      <c r="AI19" s="73"/>
      <c r="AJ19" s="73"/>
      <c r="AK19" s="66"/>
      <c r="AL19" s="56"/>
      <c r="AM19" s="56"/>
      <c r="AN19" s="56"/>
      <c r="AO19" s="56"/>
      <c r="AP19" s="57"/>
      <c r="AQ19" s="58"/>
      <c r="AR19" s="58"/>
      <c r="AS19" s="58"/>
      <c r="AT19" s="57"/>
      <c r="AU19" s="60"/>
      <c r="AV19" s="61"/>
      <c r="AW19" s="61"/>
      <c r="AX19" s="61"/>
      <c r="AY19" s="61"/>
      <c r="AZ19" s="74"/>
    </row>
    <row r="20" spans="2:52" ht="45">
      <c r="B20" s="47" t="s">
        <v>864</v>
      </c>
      <c r="C20" s="48" t="s">
        <v>1304</v>
      </c>
      <c r="D20" s="49" t="s">
        <v>983</v>
      </c>
      <c r="E20" s="70" t="s">
        <v>984</v>
      </c>
      <c r="F20" s="273">
        <v>45474</v>
      </c>
      <c r="G20" s="273">
        <v>45495</v>
      </c>
      <c r="H20" s="273">
        <v>45505</v>
      </c>
      <c r="I20" s="273" t="s">
        <v>1299</v>
      </c>
      <c r="J20" s="49" t="s">
        <v>463</v>
      </c>
      <c r="K20" s="49" t="s">
        <v>1441</v>
      </c>
      <c r="L20" s="66"/>
      <c r="M20" s="56"/>
      <c r="N20" s="56"/>
      <c r="O20" s="56"/>
      <c r="P20" s="56"/>
      <c r="Q20" s="57"/>
      <c r="R20" s="58"/>
      <c r="S20" s="58"/>
      <c r="T20" s="58"/>
      <c r="U20" s="57"/>
      <c r="V20" s="138" t="s">
        <v>860</v>
      </c>
      <c r="W20" s="61"/>
      <c r="X20" s="61"/>
      <c r="Y20" s="95" t="s">
        <v>861</v>
      </c>
      <c r="Z20" s="61"/>
      <c r="AA20" s="63"/>
      <c r="AB20" s="64"/>
      <c r="AC20" s="64"/>
      <c r="AD20" s="64"/>
      <c r="AE20" s="64"/>
      <c r="AF20" s="72"/>
      <c r="AG20" s="73"/>
      <c r="AH20" s="73"/>
      <c r="AI20" s="73"/>
      <c r="AJ20" s="73"/>
      <c r="AK20" s="66"/>
      <c r="AL20" s="56"/>
      <c r="AM20" s="56"/>
      <c r="AN20" s="56"/>
      <c r="AO20" s="56"/>
      <c r="AP20" s="57"/>
      <c r="AQ20" s="58"/>
      <c r="AR20" s="58"/>
      <c r="AS20" s="58"/>
      <c r="AT20" s="57"/>
      <c r="AU20" s="60"/>
      <c r="AV20" s="61"/>
      <c r="AW20" s="61"/>
      <c r="AX20" s="61"/>
      <c r="AY20" s="61"/>
      <c r="AZ20" s="74"/>
    </row>
    <row r="21" spans="2:52" ht="45">
      <c r="B21" s="47" t="s">
        <v>864</v>
      </c>
      <c r="C21" s="48" t="s">
        <v>1304</v>
      </c>
      <c r="D21" s="49" t="s">
        <v>985</v>
      </c>
      <c r="E21" s="70" t="s">
        <v>986</v>
      </c>
      <c r="F21" s="273">
        <v>45474</v>
      </c>
      <c r="G21" s="273">
        <v>45495</v>
      </c>
      <c r="H21" s="273">
        <v>45505</v>
      </c>
      <c r="I21" s="273" t="s">
        <v>1299</v>
      </c>
      <c r="J21" s="49" t="s">
        <v>463</v>
      </c>
      <c r="K21" s="49" t="s">
        <v>1441</v>
      </c>
      <c r="L21" s="66"/>
      <c r="M21" s="56"/>
      <c r="N21" s="56"/>
      <c r="O21" s="56"/>
      <c r="P21" s="56"/>
      <c r="Q21" s="57"/>
      <c r="R21" s="58"/>
      <c r="S21" s="58"/>
      <c r="T21" s="58"/>
      <c r="U21" s="57"/>
      <c r="V21" s="138" t="s">
        <v>860</v>
      </c>
      <c r="W21" s="61"/>
      <c r="X21" s="61"/>
      <c r="Y21" s="95" t="s">
        <v>861</v>
      </c>
      <c r="Z21" s="61"/>
      <c r="AA21" s="63"/>
      <c r="AB21" s="64"/>
      <c r="AC21" s="64"/>
      <c r="AD21" s="64"/>
      <c r="AE21" s="64"/>
      <c r="AF21" s="72"/>
      <c r="AG21" s="73"/>
      <c r="AH21" s="73"/>
      <c r="AI21" s="73"/>
      <c r="AJ21" s="73"/>
      <c r="AK21" s="66"/>
      <c r="AL21" s="56"/>
      <c r="AM21" s="56"/>
      <c r="AN21" s="56"/>
      <c r="AO21" s="56"/>
      <c r="AP21" s="57"/>
      <c r="AQ21" s="58"/>
      <c r="AR21" s="58"/>
      <c r="AS21" s="58"/>
      <c r="AT21" s="57"/>
      <c r="AU21" s="60"/>
      <c r="AV21" s="61"/>
      <c r="AW21" s="61"/>
      <c r="AX21" s="61"/>
      <c r="AY21" s="61"/>
      <c r="AZ21" s="74"/>
    </row>
    <row r="22" spans="2:52" ht="45">
      <c r="B22" s="47" t="s">
        <v>864</v>
      </c>
      <c r="C22" s="48" t="s">
        <v>1071</v>
      </c>
      <c r="D22" s="49" t="s">
        <v>987</v>
      </c>
      <c r="E22" s="70" t="s">
        <v>988</v>
      </c>
      <c r="F22" s="273">
        <v>45474</v>
      </c>
      <c r="G22" s="273">
        <v>45495</v>
      </c>
      <c r="H22" s="273">
        <v>45505</v>
      </c>
      <c r="I22" s="273" t="s">
        <v>1299</v>
      </c>
      <c r="J22" s="49" t="s">
        <v>463</v>
      </c>
      <c r="K22" s="49" t="s">
        <v>1441</v>
      </c>
      <c r="L22" s="66"/>
      <c r="M22" s="56"/>
      <c r="N22" s="56"/>
      <c r="O22" s="56"/>
      <c r="P22" s="56"/>
      <c r="Q22" s="57"/>
      <c r="R22" s="58"/>
      <c r="S22" s="58"/>
      <c r="T22" s="58"/>
      <c r="U22" s="57"/>
      <c r="V22" s="138" t="s">
        <v>860</v>
      </c>
      <c r="W22" s="61"/>
      <c r="X22" s="61"/>
      <c r="Y22" s="95" t="s">
        <v>861</v>
      </c>
      <c r="Z22" s="61"/>
      <c r="AA22" s="63"/>
      <c r="AB22" s="64"/>
      <c r="AC22" s="64"/>
      <c r="AD22" s="64"/>
      <c r="AE22" s="64"/>
      <c r="AF22" s="72"/>
      <c r="AG22" s="73"/>
      <c r="AH22" s="73"/>
      <c r="AI22" s="73"/>
      <c r="AJ22" s="73"/>
      <c r="AK22" s="66"/>
      <c r="AL22" s="56"/>
      <c r="AM22" s="56"/>
      <c r="AN22" s="56"/>
      <c r="AO22" s="56"/>
      <c r="AP22" s="57"/>
      <c r="AQ22" s="58"/>
      <c r="AR22" s="58"/>
      <c r="AS22" s="58"/>
      <c r="AT22" s="57"/>
      <c r="AU22" s="60"/>
      <c r="AV22" s="61"/>
      <c r="AW22" s="61"/>
      <c r="AX22" s="61"/>
      <c r="AY22" s="61"/>
      <c r="AZ22" s="74"/>
    </row>
    <row r="23" spans="2:52" ht="45">
      <c r="B23" s="47" t="s">
        <v>864</v>
      </c>
      <c r="C23" s="48" t="s">
        <v>1071</v>
      </c>
      <c r="D23" s="49" t="s">
        <v>989</v>
      </c>
      <c r="E23" s="70" t="s">
        <v>990</v>
      </c>
      <c r="F23" s="273">
        <v>45474</v>
      </c>
      <c r="G23" s="273">
        <v>45495</v>
      </c>
      <c r="H23" s="273">
        <v>45505</v>
      </c>
      <c r="I23" s="273" t="s">
        <v>1299</v>
      </c>
      <c r="J23" s="49" t="s">
        <v>463</v>
      </c>
      <c r="K23" s="49" t="s">
        <v>1441</v>
      </c>
      <c r="L23" s="66"/>
      <c r="M23" s="56"/>
      <c r="N23" s="56"/>
      <c r="O23" s="56"/>
      <c r="P23" s="56"/>
      <c r="Q23" s="57"/>
      <c r="R23" s="58"/>
      <c r="S23" s="58"/>
      <c r="T23" s="58"/>
      <c r="U23" s="57"/>
      <c r="V23" s="138" t="s">
        <v>860</v>
      </c>
      <c r="W23" s="61"/>
      <c r="X23" s="61"/>
      <c r="Y23" s="95" t="s">
        <v>861</v>
      </c>
      <c r="Z23" s="61"/>
      <c r="AA23" s="63"/>
      <c r="AB23" s="64"/>
      <c r="AC23" s="64"/>
      <c r="AD23" s="64"/>
      <c r="AE23" s="64"/>
      <c r="AF23" s="72"/>
      <c r="AG23" s="73"/>
      <c r="AH23" s="73"/>
      <c r="AI23" s="73"/>
      <c r="AJ23" s="73"/>
      <c r="AK23" s="66"/>
      <c r="AL23" s="56"/>
      <c r="AM23" s="56"/>
      <c r="AN23" s="56"/>
      <c r="AO23" s="56"/>
      <c r="AP23" s="57"/>
      <c r="AQ23" s="58"/>
      <c r="AR23" s="58"/>
      <c r="AS23" s="58"/>
      <c r="AT23" s="57"/>
      <c r="AU23" s="60"/>
      <c r="AV23" s="61"/>
      <c r="AW23" s="61"/>
      <c r="AX23" s="61"/>
      <c r="AY23" s="61"/>
      <c r="AZ23" s="74"/>
    </row>
  </sheetData>
  <sheetProtection algorithmName="SHA-512" hashValue="VcjZWU6p8mbuwsW5XRGkWOXh29NUZEfR+LIubCGSVU0iBNBoBifDUsdjdrmDZJIi2p9asRqaddFqK6LZ3og2EA==" saltValue="zNRT4Kj9NuUR5eOLrR8SeA==" spinCount="100000" sheet="1" sort="0" autoFilter="0"/>
  <autoFilter ref="B17:AY23" xr:uid="{99E5E6F7-8B21-4AE6-ACEF-3E1D0C8CF839}"/>
  <mergeCells count="19">
    <mergeCell ref="E8:K8"/>
    <mergeCell ref="E3:K3"/>
    <mergeCell ref="E4:K4"/>
    <mergeCell ref="E5:K5"/>
    <mergeCell ref="E6:K6"/>
    <mergeCell ref="E7:K7"/>
    <mergeCell ref="L16:P16"/>
    <mergeCell ref="Q16:U16"/>
    <mergeCell ref="V16:Z16"/>
    <mergeCell ref="AA16:AE16"/>
    <mergeCell ref="E9:K9"/>
    <mergeCell ref="E10:K10"/>
    <mergeCell ref="E11:K11"/>
    <mergeCell ref="E12:K12"/>
    <mergeCell ref="AF16:AJ16"/>
    <mergeCell ref="AK16:AO16"/>
    <mergeCell ref="AP16:AT16"/>
    <mergeCell ref="AU16:AY16"/>
    <mergeCell ref="AZ16:AZ17"/>
  </mergeCells>
  <phoneticPr fontId="29" type="noConversion"/>
  <conditionalFormatting sqref="L18:P23">
    <cfRule type="expression" dxfId="775" priority="86">
      <formula>(TEXT(TODAY(),"aaaa"))="Friday"</formula>
    </cfRule>
  </conditionalFormatting>
  <conditionalFormatting sqref="L18:AY23">
    <cfRule type="cellIs" dxfId="774" priority="3" operator="equal">
      <formula>"✔"</formula>
    </cfRule>
    <cfRule type="cellIs" dxfId="773" priority="4" operator="equal">
      <formula>"✖"</formula>
    </cfRule>
  </conditionalFormatting>
  <conditionalFormatting sqref="N18:N23">
    <cfRule type="expression" dxfId="772" priority="54">
      <formula>(TEXT(TODAY(),"aaaa"))="Wednesday"</formula>
    </cfRule>
    <cfRule type="iconSet" priority="59">
      <iconSet iconSet="3Symbols2" showValue="0">
        <cfvo type="percent" val="0"/>
        <cfvo type="percent" val="33"/>
        <cfvo type="percent" val="67"/>
      </iconSet>
    </cfRule>
  </conditionalFormatting>
  <conditionalFormatting sqref="N21">
    <cfRule type="iconSet" priority="55">
      <iconSet iconSet="3Symbols2" showValue="0">
        <cfvo type="percent" val="0"/>
        <cfvo type="percent" val="33"/>
        <cfvo type="percent" val="67"/>
      </iconSet>
    </cfRule>
  </conditionalFormatting>
  <conditionalFormatting sqref="Q18:V23">
    <cfRule type="expression" dxfId="771" priority="13">
      <formula>(TEXT(TODAY(),"aaaa"))="Monday"</formula>
    </cfRule>
  </conditionalFormatting>
  <conditionalFormatting sqref="V18:V23">
    <cfRule type="iconSet" priority="8">
      <iconSet iconSet="3Symbols2" showValue="0">
        <cfvo type="percent" val="0"/>
        <cfvo type="percent" val="33"/>
        <cfvo type="percent" val="67"/>
      </iconSet>
    </cfRule>
    <cfRule type="expression" dxfId="770" priority="9">
      <formula>(TEXT(TODAY(),"aaaa"))="Wednesday"</formula>
    </cfRule>
    <cfRule type="iconSet" priority="10">
      <iconSet iconSet="3Symbols2" showValue="0">
        <cfvo type="percent" val="0"/>
        <cfvo type="percent" val="33"/>
        <cfvo type="percent" val="67"/>
      </iconSet>
    </cfRule>
    <cfRule type="iconSet" priority="14">
      <iconSet iconSet="3Symbols2" showValue="0">
        <cfvo type="percent" val="0"/>
        <cfvo type="percent" val="33"/>
        <cfvo type="percent" val="67"/>
      </iconSet>
    </cfRule>
  </conditionalFormatting>
  <conditionalFormatting sqref="V18:X23">
    <cfRule type="expression" dxfId="769" priority="7">
      <formula>(TEXT(TODAY(),"aaaa"))="Tuesday"</formula>
    </cfRule>
  </conditionalFormatting>
  <conditionalFormatting sqref="Y18:Y23">
    <cfRule type="expression" dxfId="768" priority="1">
      <formula>(TEXT(TODAY(),"aaaa"))="Wednesday"</formula>
    </cfRule>
    <cfRule type="iconSet" priority="2">
      <iconSet iconSet="3Symbols2" showValue="0">
        <cfvo type="percent" val="0"/>
        <cfvo type="percent" val="33"/>
        <cfvo type="percent" val="67"/>
      </iconSet>
    </cfRule>
    <cfRule type="expression" dxfId="767" priority="5">
      <formula>(TEXT(TODAY(),"aaaa"))="Monday"</formula>
    </cfRule>
    <cfRule type="iconSet" priority="6">
      <iconSet iconSet="3Symbols2" showValue="0">
        <cfvo type="percent" val="0"/>
        <cfvo type="percent" val="33"/>
        <cfvo type="percent" val="67"/>
      </iconSet>
    </cfRule>
  </conditionalFormatting>
  <conditionalFormatting sqref="Z18:Z23 AU18:AY23">
    <cfRule type="expression" dxfId="766" priority="94">
      <formula>(TEXT(TODAY(),"aaaa"))="Tuesday"</formula>
    </cfRule>
  </conditionalFormatting>
  <conditionalFormatting sqref="Z18:AY23 W18:X23 L18:U23">
    <cfRule type="iconSet" priority="7193">
      <iconSet iconSet="3Symbols2" showValue="0">
        <cfvo type="percent" val="0"/>
        <cfvo type="percent" val="33"/>
        <cfvo type="percent" val="67"/>
      </iconSet>
    </cfRule>
  </conditionalFormatting>
  <conditionalFormatting sqref="AA18:AE23">
    <cfRule type="expression" dxfId="765" priority="95">
      <formula>(TEXT(TODAY(),"aaaa"))="Wednesday"</formula>
    </cfRule>
  </conditionalFormatting>
  <conditionalFormatting sqref="AF18:AJ23">
    <cfRule type="expression" dxfId="764" priority="96">
      <formula>(TEXT(TODAY(),"aaaa"))="Thursday"</formula>
    </cfRule>
  </conditionalFormatting>
  <conditionalFormatting sqref="AK18:AO23">
    <cfRule type="expression" dxfId="763" priority="93">
      <formula>(TEXT(TODAY(),"aaaa"))="Friday"</formula>
    </cfRule>
  </conditionalFormatting>
  <conditionalFormatting sqref="AP18:AT23">
    <cfRule type="expression" dxfId="762" priority="92">
      <formula>(TEXT(TODAY(),"aaaa"))="Monday"</formula>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70BAE-1427-478F-B5B0-3DF77625DB17}">
  <dimension ref="B1:BT42"/>
  <sheetViews>
    <sheetView topLeftCell="A2" zoomScale="60" zoomScaleNormal="60" workbookViewId="0">
      <selection activeCell="B33" sqref="B33"/>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6.28515625" style="8" customWidth="1"/>
    <col min="10" max="10" width="15" style="8" customWidth="1"/>
    <col min="11" max="11" width="24" style="8" customWidth="1"/>
    <col min="12" max="12" width="21.7109375" style="9" bestFit="1" customWidth="1"/>
    <col min="13" max="13" width="21.7109375" style="7" customWidth="1"/>
    <col min="14" max="14" width="20.85546875" style="7" bestFit="1" customWidth="1"/>
    <col min="15" max="15" width="17.85546875" style="7" customWidth="1"/>
    <col min="16" max="16" width="20.140625" style="7" bestFit="1" customWidth="1"/>
    <col min="17" max="27" width="17.85546875" style="7" customWidth="1"/>
    <col min="28" max="28" width="19.42578125" style="7" bestFit="1" customWidth="1"/>
    <col min="29" max="29" width="22.42578125" style="7" bestFit="1" customWidth="1"/>
    <col min="30" max="30" width="20.140625" style="7" bestFit="1" customWidth="1"/>
    <col min="31" max="32" width="22.42578125" style="7" bestFit="1" customWidth="1"/>
    <col min="33" max="33" width="17.85546875" style="7" customWidth="1"/>
    <col min="34" max="35" width="22.42578125" style="7" bestFit="1" customWidth="1"/>
    <col min="36" max="37" width="23.85546875" style="7" bestFit="1" customWidth="1"/>
    <col min="38" max="38" width="17.85546875" style="7" customWidth="1"/>
    <col min="39" max="39" width="21.7109375" style="7" bestFit="1" customWidth="1"/>
    <col min="40" max="40" width="23.85546875" style="7" bestFit="1" customWidth="1"/>
    <col min="41" max="41" width="17.85546875" style="7" customWidth="1"/>
    <col min="42" max="42" width="20.140625" style="7" bestFit="1" customWidth="1"/>
    <col min="43" max="43" width="22.140625" style="7" customWidth="1"/>
    <col min="44" max="44" width="22.42578125" style="7" bestFit="1" customWidth="1"/>
    <col min="45" max="71" width="17.85546875" style="7" customWidth="1"/>
    <col min="72" max="72" width="29.140625" style="7" customWidth="1"/>
    <col min="73" max="16384" width="10.42578125" style="7"/>
  </cols>
  <sheetData>
    <row r="1" spans="2:72" ht="39.75">
      <c r="B1" s="6" t="s">
        <v>1213</v>
      </c>
      <c r="M1" s="10" t="s">
        <v>1336</v>
      </c>
    </row>
    <row r="2" spans="2:72" ht="39.75">
      <c r="B2" s="6"/>
      <c r="M2" s="10"/>
    </row>
    <row r="3" spans="2:72" ht="18.75" customHeight="1">
      <c r="B3" s="6"/>
      <c r="E3" s="366" t="s">
        <v>0</v>
      </c>
      <c r="F3" s="366"/>
      <c r="G3" s="366"/>
      <c r="H3" s="366"/>
      <c r="I3" s="366"/>
      <c r="J3" s="366"/>
      <c r="K3" s="366"/>
      <c r="L3" s="121"/>
      <c r="M3" s="10"/>
    </row>
    <row r="4" spans="2:72" ht="18.75" customHeight="1">
      <c r="B4" s="6"/>
      <c r="E4" s="365" t="s">
        <v>1214</v>
      </c>
      <c r="F4" s="365"/>
      <c r="G4" s="365"/>
      <c r="H4" s="365"/>
      <c r="I4" s="365"/>
      <c r="J4" s="365"/>
      <c r="K4" s="365"/>
      <c r="M4" s="10"/>
    </row>
    <row r="5" spans="2:72" ht="18.75" customHeight="1">
      <c r="B5" s="6"/>
      <c r="E5" s="365" t="s">
        <v>1215</v>
      </c>
      <c r="F5" s="365"/>
      <c r="G5" s="365"/>
      <c r="H5" s="365"/>
      <c r="I5" s="365"/>
      <c r="J5" s="365"/>
      <c r="K5" s="365"/>
      <c r="M5" s="10"/>
    </row>
    <row r="6" spans="2:72" ht="18.75" customHeight="1">
      <c r="B6" s="6"/>
      <c r="E6" s="367" t="s">
        <v>1216</v>
      </c>
      <c r="F6" s="367"/>
      <c r="G6" s="367"/>
      <c r="H6" s="367"/>
      <c r="I6" s="367"/>
      <c r="J6" s="367"/>
      <c r="K6" s="367"/>
      <c r="M6" s="10"/>
    </row>
    <row r="7" spans="2:72" ht="18.75" customHeight="1">
      <c r="E7" s="366" t="s">
        <v>33</v>
      </c>
      <c r="F7" s="366"/>
      <c r="G7" s="366"/>
      <c r="H7" s="366"/>
      <c r="I7" s="366"/>
      <c r="J7" s="366"/>
      <c r="K7" s="366"/>
      <c r="L7" s="121"/>
      <c r="M7" s="10"/>
    </row>
    <row r="8" spans="2:72" ht="18.75" customHeight="1">
      <c r="E8" s="365" t="s">
        <v>1217</v>
      </c>
      <c r="F8" s="365"/>
      <c r="G8" s="365"/>
      <c r="H8" s="365"/>
      <c r="I8" s="365"/>
      <c r="J8" s="365"/>
      <c r="K8" s="365"/>
      <c r="M8" s="10"/>
    </row>
    <row r="9" spans="2:72" ht="21.75" customHeight="1">
      <c r="E9" s="365" t="s">
        <v>1218</v>
      </c>
      <c r="F9" s="365"/>
      <c r="G9" s="365"/>
      <c r="H9" s="365"/>
      <c r="I9" s="365"/>
      <c r="J9" s="365"/>
      <c r="K9" s="365"/>
      <c r="M9" s="10"/>
    </row>
    <row r="10" spans="2:72" ht="28.5">
      <c r="E10" s="365" t="s">
        <v>1219</v>
      </c>
      <c r="F10" s="365"/>
      <c r="G10" s="365"/>
      <c r="H10" s="365"/>
      <c r="I10" s="365"/>
      <c r="J10" s="365"/>
      <c r="K10" s="365"/>
      <c r="L10" s="11"/>
      <c r="M10" s="11"/>
      <c r="AD10" s="258" t="s">
        <v>386</v>
      </c>
      <c r="AE10" s="258" t="s">
        <v>395</v>
      </c>
      <c r="AF10" s="258" t="s">
        <v>404</v>
      </c>
      <c r="AH10" s="258" t="s">
        <v>408</v>
      </c>
      <c r="AI10" s="258" t="s">
        <v>415</v>
      </c>
      <c r="AJ10" s="258" t="s">
        <v>421</v>
      </c>
      <c r="AK10" s="258" t="s">
        <v>431</v>
      </c>
      <c r="AM10" s="258" t="s">
        <v>435</v>
      </c>
    </row>
    <row r="11" spans="2:72" ht="34.5" customHeight="1">
      <c r="E11" s="365" t="s">
        <v>1220</v>
      </c>
      <c r="F11" s="365"/>
      <c r="G11" s="365"/>
      <c r="H11" s="365"/>
      <c r="I11" s="365"/>
      <c r="J11" s="365"/>
      <c r="K11" s="365"/>
      <c r="M11" s="10"/>
      <c r="N11" s="11"/>
      <c r="P11" s="11"/>
      <c r="AC11" s="258" t="s">
        <v>370</v>
      </c>
      <c r="AK11" s="258" t="s">
        <v>428</v>
      </c>
      <c r="AN11" s="258" t="s">
        <v>439</v>
      </c>
      <c r="AP11" s="258" t="s">
        <v>452</v>
      </c>
      <c r="AQ11" s="258" t="s">
        <v>456</v>
      </c>
      <c r="AR11" s="258" t="s">
        <v>464</v>
      </c>
    </row>
    <row r="12" spans="2:72" ht="28.5">
      <c r="E12" s="367" t="s">
        <v>1216</v>
      </c>
      <c r="F12" s="367"/>
      <c r="G12" s="367"/>
      <c r="H12" s="367"/>
      <c r="I12" s="367"/>
      <c r="J12" s="367"/>
      <c r="K12" s="367"/>
      <c r="L12" s="123"/>
      <c r="M12" s="10"/>
      <c r="O12" s="11"/>
      <c r="AB12" s="258" t="s">
        <v>1442</v>
      </c>
      <c r="AJ12" s="258" t="s">
        <v>1439</v>
      </c>
      <c r="AM12" s="258" t="s">
        <v>1386</v>
      </c>
      <c r="AQ12" s="258" t="s">
        <v>1387</v>
      </c>
    </row>
    <row r="13" spans="2:72">
      <c r="E13" s="12"/>
      <c r="M13" s="10"/>
    </row>
    <row r="14" spans="2:72" s="13" customFormat="1" ht="39.75">
      <c r="E14" s="14"/>
      <c r="F14" s="15"/>
      <c r="G14" s="15"/>
      <c r="H14" s="15"/>
      <c r="I14" s="15"/>
      <c r="J14" s="15"/>
      <c r="K14" s="15"/>
      <c r="L14" s="20"/>
      <c r="O14" s="21"/>
    </row>
    <row r="15" spans="2:72" ht="18">
      <c r="E15" s="22"/>
      <c r="F15" s="23"/>
      <c r="G15" s="23"/>
      <c r="H15" s="23"/>
      <c r="I15" s="23"/>
      <c r="J15" s="23"/>
      <c r="K15" s="23"/>
      <c r="L15" s="24"/>
      <c r="O15" s="21"/>
    </row>
    <row r="16" spans="2:72" s="13" customFormat="1" ht="18">
      <c r="B16" s="25" t="s">
        <v>855</v>
      </c>
      <c r="C16" s="26" t="s">
        <v>856</v>
      </c>
      <c r="D16" s="27" t="s">
        <v>857</v>
      </c>
      <c r="E16" s="28" t="s">
        <v>859</v>
      </c>
      <c r="F16" s="28" t="s">
        <v>860</v>
      </c>
      <c r="G16" s="29" t="s">
        <v>861</v>
      </c>
      <c r="H16" s="29" t="s">
        <v>1230</v>
      </c>
      <c r="I16" s="29" t="s">
        <v>1231</v>
      </c>
      <c r="J16" s="29" t="s">
        <v>1232</v>
      </c>
      <c r="K16" s="29" t="s">
        <v>140</v>
      </c>
      <c r="L16" s="362" t="s">
        <v>1443</v>
      </c>
      <c r="M16" s="363"/>
      <c r="N16" s="363"/>
      <c r="O16" s="363"/>
      <c r="P16" s="364"/>
      <c r="Q16" s="359" t="s">
        <v>1444</v>
      </c>
      <c r="R16" s="360"/>
      <c r="S16" s="360"/>
      <c r="T16" s="360"/>
      <c r="U16" s="361"/>
      <c r="V16" s="370" t="s">
        <v>1445</v>
      </c>
      <c r="W16" s="371"/>
      <c r="X16" s="371"/>
      <c r="Y16" s="371"/>
      <c r="Z16" s="372"/>
      <c r="AA16" s="373" t="s">
        <v>1446</v>
      </c>
      <c r="AB16" s="374"/>
      <c r="AC16" s="374"/>
      <c r="AD16" s="374"/>
      <c r="AE16" s="374"/>
      <c r="AF16" s="368" t="s">
        <v>1393</v>
      </c>
      <c r="AG16" s="368"/>
      <c r="AH16" s="368"/>
      <c r="AI16" s="368"/>
      <c r="AJ16" s="369"/>
      <c r="AK16" s="362" t="s">
        <v>1394</v>
      </c>
      <c r="AL16" s="363"/>
      <c r="AM16" s="363"/>
      <c r="AN16" s="363"/>
      <c r="AO16" s="364"/>
      <c r="AP16" s="359" t="s">
        <v>1395</v>
      </c>
      <c r="AQ16" s="360"/>
      <c r="AR16" s="360"/>
      <c r="AS16" s="360"/>
      <c r="AT16" s="361"/>
      <c r="AU16" s="370" t="s">
        <v>1396</v>
      </c>
      <c r="AV16" s="371"/>
      <c r="AW16" s="371"/>
      <c r="AX16" s="371"/>
      <c r="AY16" s="372"/>
      <c r="AZ16" s="373" t="s">
        <v>1397</v>
      </c>
      <c r="BA16" s="374"/>
      <c r="BB16" s="374"/>
      <c r="BC16" s="374"/>
      <c r="BD16" s="374"/>
      <c r="BE16" s="368" t="s">
        <v>1398</v>
      </c>
      <c r="BF16" s="368"/>
      <c r="BG16" s="368"/>
      <c r="BH16" s="368"/>
      <c r="BI16" s="369"/>
      <c r="BJ16" s="362" t="s">
        <v>1399</v>
      </c>
      <c r="BK16" s="363"/>
      <c r="BL16" s="363"/>
      <c r="BM16" s="363"/>
      <c r="BN16" s="364"/>
      <c r="BO16" s="359" t="s">
        <v>1354</v>
      </c>
      <c r="BP16" s="360"/>
      <c r="BQ16" s="360"/>
      <c r="BR16" s="360"/>
      <c r="BS16" s="361"/>
      <c r="BT16" s="375" t="s">
        <v>1440</v>
      </c>
    </row>
    <row r="17" spans="2:72" s="21" customFormat="1" ht="18">
      <c r="B17" s="30"/>
      <c r="C17" s="31"/>
      <c r="D17" s="32"/>
      <c r="E17" s="33"/>
      <c r="F17" s="33"/>
      <c r="G17" s="34"/>
      <c r="H17" s="34"/>
      <c r="I17" s="34"/>
      <c r="J17" s="29" t="s">
        <v>856</v>
      </c>
      <c r="K17" s="29" t="s">
        <v>1247</v>
      </c>
      <c r="L17" s="39" t="s">
        <v>1248</v>
      </c>
      <c r="M17" s="40" t="s">
        <v>1249</v>
      </c>
      <c r="N17" s="40" t="s">
        <v>1250</v>
      </c>
      <c r="O17" s="40" t="s">
        <v>1251</v>
      </c>
      <c r="P17" s="39" t="s">
        <v>1252</v>
      </c>
      <c r="Q17" s="41" t="s">
        <v>1248</v>
      </c>
      <c r="R17" s="42" t="s">
        <v>1249</v>
      </c>
      <c r="S17" s="42" t="s">
        <v>1250</v>
      </c>
      <c r="T17" s="42" t="s">
        <v>1251</v>
      </c>
      <c r="U17" s="42" t="s">
        <v>1252</v>
      </c>
      <c r="V17" s="43" t="s">
        <v>1248</v>
      </c>
      <c r="W17" s="44" t="s">
        <v>1249</v>
      </c>
      <c r="X17" s="44" t="s">
        <v>1250</v>
      </c>
      <c r="Y17" s="44" t="s">
        <v>1251</v>
      </c>
      <c r="Z17" s="44" t="s">
        <v>1252</v>
      </c>
      <c r="AA17" s="35" t="s">
        <v>1248</v>
      </c>
      <c r="AB17" s="36" t="s">
        <v>1249</v>
      </c>
      <c r="AC17" s="36" t="s">
        <v>1250</v>
      </c>
      <c r="AD17" s="36" t="s">
        <v>1251</v>
      </c>
      <c r="AE17" s="36" t="s">
        <v>1252</v>
      </c>
      <c r="AF17" s="37" t="s">
        <v>1248</v>
      </c>
      <c r="AG17" s="38" t="s">
        <v>1249</v>
      </c>
      <c r="AH17" s="38" t="s">
        <v>1250</v>
      </c>
      <c r="AI17" s="38" t="s">
        <v>1251</v>
      </c>
      <c r="AJ17" s="38" t="s">
        <v>1252</v>
      </c>
      <c r="AK17" s="39" t="s">
        <v>1248</v>
      </c>
      <c r="AL17" s="40" t="s">
        <v>1249</v>
      </c>
      <c r="AM17" s="40" t="s">
        <v>1250</v>
      </c>
      <c r="AN17" s="40" t="s">
        <v>1251</v>
      </c>
      <c r="AO17" s="39" t="s">
        <v>1252</v>
      </c>
      <c r="AP17" s="41" t="s">
        <v>1248</v>
      </c>
      <c r="AQ17" s="42" t="s">
        <v>1249</v>
      </c>
      <c r="AR17" s="42" t="s">
        <v>1250</v>
      </c>
      <c r="AS17" s="42" t="s">
        <v>1251</v>
      </c>
      <c r="AT17" s="42" t="s">
        <v>1252</v>
      </c>
      <c r="AU17" s="45" t="s">
        <v>1248</v>
      </c>
      <c r="AV17" s="46" t="s">
        <v>1249</v>
      </c>
      <c r="AW17" s="44" t="s">
        <v>1250</v>
      </c>
      <c r="AX17" s="44" t="s">
        <v>1251</v>
      </c>
      <c r="AY17" s="44" t="s">
        <v>1252</v>
      </c>
      <c r="AZ17" s="35" t="s">
        <v>1248</v>
      </c>
      <c r="BA17" s="36" t="s">
        <v>1249</v>
      </c>
      <c r="BB17" s="36" t="s">
        <v>1250</v>
      </c>
      <c r="BC17" s="36" t="s">
        <v>1251</v>
      </c>
      <c r="BD17" s="36" t="s">
        <v>1252</v>
      </c>
      <c r="BE17" s="37" t="s">
        <v>1248</v>
      </c>
      <c r="BF17" s="38" t="s">
        <v>1249</v>
      </c>
      <c r="BG17" s="38" t="s">
        <v>1250</v>
      </c>
      <c r="BH17" s="38" t="s">
        <v>1251</v>
      </c>
      <c r="BI17" s="38" t="s">
        <v>1252</v>
      </c>
      <c r="BJ17" s="39" t="s">
        <v>1248</v>
      </c>
      <c r="BK17" s="40" t="s">
        <v>1249</v>
      </c>
      <c r="BL17" s="40" t="s">
        <v>1250</v>
      </c>
      <c r="BM17" s="40" t="s">
        <v>1251</v>
      </c>
      <c r="BN17" s="39" t="s">
        <v>1252</v>
      </c>
      <c r="BO17" s="41" t="s">
        <v>1248</v>
      </c>
      <c r="BP17" s="42" t="s">
        <v>1249</v>
      </c>
      <c r="BQ17" s="42" t="s">
        <v>1250</v>
      </c>
      <c r="BR17" s="42" t="s">
        <v>1251</v>
      </c>
      <c r="BS17" s="42" t="s">
        <v>1252</v>
      </c>
      <c r="BT17" s="376"/>
    </row>
    <row r="18" spans="2:72" ht="45">
      <c r="B18" s="47" t="s">
        <v>864</v>
      </c>
      <c r="C18" s="48" t="s">
        <v>1304</v>
      </c>
      <c r="D18" s="49" t="s">
        <v>979</v>
      </c>
      <c r="E18" s="70" t="s">
        <v>980</v>
      </c>
      <c r="F18" s="273">
        <v>45401</v>
      </c>
      <c r="G18" s="273">
        <v>45428</v>
      </c>
      <c r="H18" s="273">
        <v>45449</v>
      </c>
      <c r="I18" s="273" t="s">
        <v>1299</v>
      </c>
      <c r="J18" s="49" t="s">
        <v>369</v>
      </c>
      <c r="K18" s="49" t="s">
        <v>1447</v>
      </c>
      <c r="L18" s="64"/>
      <c r="M18" s="266"/>
      <c r="N18" s="64"/>
      <c r="O18" s="64"/>
      <c r="P18" s="57"/>
      <c r="Q18" s="60"/>
      <c r="R18" s="61"/>
      <c r="S18" s="61"/>
      <c r="T18" s="56"/>
      <c r="U18" s="61"/>
      <c r="V18" s="63"/>
      <c r="W18" s="64"/>
      <c r="X18" s="64"/>
      <c r="Y18" s="64"/>
      <c r="Z18" s="213"/>
      <c r="AA18" s="72"/>
      <c r="AB18" s="64"/>
      <c r="AC18" s="138" t="s">
        <v>860</v>
      </c>
      <c r="AD18" s="73"/>
      <c r="AE18" s="73"/>
      <c r="AF18" s="66"/>
      <c r="AG18" s="56"/>
      <c r="AH18" s="95" t="s">
        <v>861</v>
      </c>
      <c r="AI18" s="56"/>
      <c r="AJ18" s="56"/>
      <c r="AK18" s="57"/>
      <c r="AL18" s="58"/>
      <c r="AM18" s="58"/>
      <c r="AN18" s="58"/>
      <c r="AO18" s="57"/>
      <c r="AP18" s="60"/>
      <c r="AQ18" s="61"/>
      <c r="AR18" s="61"/>
      <c r="AS18" s="61"/>
      <c r="AT18" s="61"/>
      <c r="AU18" s="63"/>
      <c r="AV18" s="64"/>
      <c r="AW18" s="64"/>
      <c r="AX18" s="64"/>
      <c r="AY18" s="64"/>
      <c r="AZ18" s="72"/>
      <c r="BA18" s="73"/>
      <c r="BB18" s="73"/>
      <c r="BC18" s="73"/>
      <c r="BD18" s="73"/>
      <c r="BE18" s="66"/>
      <c r="BF18" s="56"/>
      <c r="BG18" s="56"/>
      <c r="BH18" s="56"/>
      <c r="BI18" s="56"/>
      <c r="BJ18" s="57"/>
      <c r="BK18" s="58"/>
      <c r="BL18" s="58"/>
      <c r="BM18" s="58"/>
      <c r="BN18" s="57"/>
      <c r="BO18" s="60"/>
      <c r="BP18" s="61"/>
      <c r="BQ18" s="61"/>
      <c r="BR18" s="61"/>
      <c r="BS18" s="61"/>
      <c r="BT18" s="74"/>
    </row>
    <row r="19" spans="2:72" ht="45">
      <c r="B19" s="47" t="s">
        <v>864</v>
      </c>
      <c r="C19" s="48" t="s">
        <v>1304</v>
      </c>
      <c r="D19" s="49" t="s">
        <v>985</v>
      </c>
      <c r="E19" s="70" t="s">
        <v>986</v>
      </c>
      <c r="F19" s="273">
        <v>45401</v>
      </c>
      <c r="G19" s="273">
        <v>45428</v>
      </c>
      <c r="H19" s="273">
        <v>45449</v>
      </c>
      <c r="I19" s="273" t="s">
        <v>1299</v>
      </c>
      <c r="J19" s="49" t="s">
        <v>369</v>
      </c>
      <c r="K19" s="49" t="s">
        <v>1447</v>
      </c>
      <c r="L19" s="64"/>
      <c r="M19" s="266"/>
      <c r="N19" s="64"/>
      <c r="O19" s="64"/>
      <c r="P19" s="57"/>
      <c r="Q19" s="60"/>
      <c r="R19" s="61"/>
      <c r="S19" s="61"/>
      <c r="T19" s="56"/>
      <c r="U19" s="61"/>
      <c r="V19" s="63"/>
      <c r="W19" s="64"/>
      <c r="X19" s="64"/>
      <c r="Y19" s="64"/>
      <c r="Z19" s="213"/>
      <c r="AA19" s="72"/>
      <c r="AB19" s="64"/>
      <c r="AC19" s="138" t="s">
        <v>860</v>
      </c>
      <c r="AD19" s="73"/>
      <c r="AE19" s="73"/>
      <c r="AF19" s="66"/>
      <c r="AG19" s="56"/>
      <c r="AH19" s="95" t="s">
        <v>861</v>
      </c>
      <c r="AI19" s="56"/>
      <c r="AJ19" s="56"/>
      <c r="AK19" s="57"/>
      <c r="AL19" s="58"/>
      <c r="AM19" s="58"/>
      <c r="AN19" s="58"/>
      <c r="AO19" s="57"/>
      <c r="AP19" s="60"/>
      <c r="AQ19" s="61"/>
      <c r="AR19" s="61"/>
      <c r="AS19" s="61"/>
      <c r="AT19" s="61"/>
      <c r="AU19" s="63"/>
      <c r="AV19" s="64"/>
      <c r="AW19" s="64"/>
      <c r="AX19" s="64"/>
      <c r="AY19" s="64"/>
      <c r="AZ19" s="72"/>
      <c r="BA19" s="73"/>
      <c r="BB19" s="73"/>
      <c r="BC19" s="73"/>
      <c r="BD19" s="73"/>
      <c r="BE19" s="66"/>
      <c r="BF19" s="56"/>
      <c r="BG19" s="56"/>
      <c r="BH19" s="56"/>
      <c r="BI19" s="56"/>
      <c r="BJ19" s="57"/>
      <c r="BK19" s="58"/>
      <c r="BL19" s="58"/>
      <c r="BM19" s="58"/>
      <c r="BN19" s="57"/>
      <c r="BO19" s="60"/>
      <c r="BP19" s="61"/>
      <c r="BQ19" s="61"/>
      <c r="BR19" s="61"/>
      <c r="BS19" s="61"/>
      <c r="BT19" s="74"/>
    </row>
    <row r="20" spans="2:72" ht="45">
      <c r="B20" s="47" t="s">
        <v>864</v>
      </c>
      <c r="C20" s="48" t="s">
        <v>1304</v>
      </c>
      <c r="D20" s="49" t="s">
        <v>981</v>
      </c>
      <c r="E20" s="70" t="s">
        <v>982</v>
      </c>
      <c r="F20" s="273">
        <v>45401</v>
      </c>
      <c r="G20" s="273">
        <v>45428</v>
      </c>
      <c r="H20" s="273">
        <v>45449</v>
      </c>
      <c r="I20" s="273" t="s">
        <v>1299</v>
      </c>
      <c r="J20" s="49" t="s">
        <v>369</v>
      </c>
      <c r="K20" s="49" t="s">
        <v>1447</v>
      </c>
      <c r="L20" s="64"/>
      <c r="M20" s="266"/>
      <c r="N20" s="64"/>
      <c r="O20" s="64"/>
      <c r="P20" s="57"/>
      <c r="Q20" s="60"/>
      <c r="R20" s="61"/>
      <c r="S20" s="61"/>
      <c r="T20" s="56"/>
      <c r="U20" s="61"/>
      <c r="V20" s="63"/>
      <c r="W20" s="64"/>
      <c r="X20" s="64"/>
      <c r="Y20" s="64"/>
      <c r="Z20" s="213"/>
      <c r="AA20" s="72"/>
      <c r="AB20" s="64"/>
      <c r="AC20" s="138" t="s">
        <v>860</v>
      </c>
      <c r="AD20" s="73"/>
      <c r="AE20" s="73"/>
      <c r="AF20" s="66"/>
      <c r="AG20" s="56"/>
      <c r="AH20" s="95" t="s">
        <v>861</v>
      </c>
      <c r="AI20" s="56"/>
      <c r="AJ20" s="56"/>
      <c r="AK20" s="57"/>
      <c r="AL20" s="58"/>
      <c r="AM20" s="58"/>
      <c r="AN20" s="58"/>
      <c r="AO20" s="57"/>
      <c r="AP20" s="60"/>
      <c r="AQ20" s="61"/>
      <c r="AR20" s="61"/>
      <c r="AS20" s="61"/>
      <c r="AT20" s="61"/>
      <c r="AU20" s="63"/>
      <c r="AV20" s="64"/>
      <c r="AW20" s="64"/>
      <c r="AX20" s="64"/>
      <c r="AY20" s="64"/>
      <c r="AZ20" s="72"/>
      <c r="BA20" s="73"/>
      <c r="BB20" s="73"/>
      <c r="BC20" s="73"/>
      <c r="BD20" s="73"/>
      <c r="BE20" s="66"/>
      <c r="BF20" s="56"/>
      <c r="BG20" s="56"/>
      <c r="BH20" s="56"/>
      <c r="BI20" s="56"/>
      <c r="BJ20" s="57"/>
      <c r="BK20" s="58"/>
      <c r="BL20" s="58"/>
      <c r="BM20" s="58"/>
      <c r="BN20" s="57"/>
      <c r="BO20" s="60"/>
      <c r="BP20" s="61"/>
      <c r="BQ20" s="61"/>
      <c r="BR20" s="61"/>
      <c r="BS20" s="61"/>
      <c r="BT20" s="74"/>
    </row>
    <row r="21" spans="2:72" ht="45">
      <c r="B21" s="47" t="s">
        <v>864</v>
      </c>
      <c r="C21" s="48" t="s">
        <v>1304</v>
      </c>
      <c r="D21" s="49" t="s">
        <v>983</v>
      </c>
      <c r="E21" s="70" t="s">
        <v>984</v>
      </c>
      <c r="F21" s="273">
        <v>45401</v>
      </c>
      <c r="G21" s="273">
        <v>45428</v>
      </c>
      <c r="H21" s="273">
        <v>45449</v>
      </c>
      <c r="I21" s="273" t="s">
        <v>1299</v>
      </c>
      <c r="J21" s="49" t="s">
        <v>369</v>
      </c>
      <c r="K21" s="49" t="s">
        <v>1447</v>
      </c>
      <c r="L21" s="64"/>
      <c r="M21" s="266"/>
      <c r="N21" s="64"/>
      <c r="O21" s="64"/>
      <c r="P21" s="57"/>
      <c r="Q21" s="60"/>
      <c r="R21" s="61"/>
      <c r="S21" s="61"/>
      <c r="T21" s="56"/>
      <c r="U21" s="61"/>
      <c r="V21" s="63"/>
      <c r="W21" s="64"/>
      <c r="X21" s="64"/>
      <c r="Y21" s="64"/>
      <c r="Z21" s="213"/>
      <c r="AA21" s="72"/>
      <c r="AB21" s="64"/>
      <c r="AC21" s="138" t="s">
        <v>860</v>
      </c>
      <c r="AD21" s="73"/>
      <c r="AE21" s="73"/>
      <c r="AF21" s="66"/>
      <c r="AG21" s="56"/>
      <c r="AH21" s="95" t="s">
        <v>861</v>
      </c>
      <c r="AI21" s="56"/>
      <c r="AJ21" s="56"/>
      <c r="AK21" s="57"/>
      <c r="AL21" s="58"/>
      <c r="AM21" s="58"/>
      <c r="AN21" s="58"/>
      <c r="AO21" s="57"/>
      <c r="AP21" s="60"/>
      <c r="AQ21" s="61"/>
      <c r="AR21" s="61"/>
      <c r="AS21" s="61"/>
      <c r="AT21" s="61"/>
      <c r="AU21" s="63"/>
      <c r="AV21" s="64"/>
      <c r="AW21" s="64"/>
      <c r="AX21" s="64"/>
      <c r="AY21" s="64"/>
      <c r="AZ21" s="72"/>
      <c r="BA21" s="73"/>
      <c r="BB21" s="73"/>
      <c r="BC21" s="73"/>
      <c r="BD21" s="73"/>
      <c r="BE21" s="66"/>
      <c r="BF21" s="56"/>
      <c r="BG21" s="56"/>
      <c r="BH21" s="56"/>
      <c r="BI21" s="56"/>
      <c r="BJ21" s="57"/>
      <c r="BK21" s="58"/>
      <c r="BL21" s="58"/>
      <c r="BM21" s="58"/>
      <c r="BN21" s="57"/>
      <c r="BO21" s="60"/>
      <c r="BP21" s="61"/>
      <c r="BQ21" s="61"/>
      <c r="BR21" s="61"/>
      <c r="BS21" s="61"/>
      <c r="BT21" s="74"/>
    </row>
    <row r="22" spans="2:72" ht="45">
      <c r="B22" s="47" t="s">
        <v>864</v>
      </c>
      <c r="C22" s="48" t="s">
        <v>1071</v>
      </c>
      <c r="D22" s="49" t="s">
        <v>987</v>
      </c>
      <c r="E22" s="70" t="s">
        <v>988</v>
      </c>
      <c r="F22" s="273">
        <v>45401</v>
      </c>
      <c r="G22" s="273">
        <v>45428</v>
      </c>
      <c r="H22" s="273">
        <v>45449</v>
      </c>
      <c r="I22" s="273" t="s">
        <v>1299</v>
      </c>
      <c r="J22" s="49" t="s">
        <v>369</v>
      </c>
      <c r="K22" s="49" t="s">
        <v>1447</v>
      </c>
      <c r="L22" s="64"/>
      <c r="M22" s="266"/>
      <c r="N22" s="64"/>
      <c r="O22" s="64"/>
      <c r="P22" s="57"/>
      <c r="Q22" s="60"/>
      <c r="R22" s="61"/>
      <c r="S22" s="61"/>
      <c r="T22" s="56"/>
      <c r="U22" s="61"/>
      <c r="V22" s="63"/>
      <c r="W22" s="64"/>
      <c r="X22" s="64"/>
      <c r="Y22" s="64"/>
      <c r="Z22" s="213"/>
      <c r="AA22" s="72"/>
      <c r="AB22" s="64"/>
      <c r="AC22" s="138" t="s">
        <v>860</v>
      </c>
      <c r="AD22" s="73"/>
      <c r="AE22" s="73"/>
      <c r="AF22" s="66"/>
      <c r="AG22" s="56"/>
      <c r="AH22" s="95" t="s">
        <v>861</v>
      </c>
      <c r="AI22" s="56"/>
      <c r="AJ22" s="56"/>
      <c r="AK22" s="57"/>
      <c r="AL22" s="58"/>
      <c r="AM22" s="58"/>
      <c r="AN22" s="58"/>
      <c r="AO22" s="57"/>
      <c r="AP22" s="60"/>
      <c r="AQ22" s="61"/>
      <c r="AR22" s="61"/>
      <c r="AS22" s="61"/>
      <c r="AT22" s="61"/>
      <c r="AU22" s="63"/>
      <c r="AV22" s="64"/>
      <c r="AW22" s="64"/>
      <c r="AX22" s="64"/>
      <c r="AY22" s="64"/>
      <c r="AZ22" s="72"/>
      <c r="BA22" s="73"/>
      <c r="BB22" s="73"/>
      <c r="BC22" s="73"/>
      <c r="BD22" s="73"/>
      <c r="BE22" s="66"/>
      <c r="BF22" s="56"/>
      <c r="BG22" s="56"/>
      <c r="BH22" s="56"/>
      <c r="BI22" s="56"/>
      <c r="BJ22" s="57"/>
      <c r="BK22" s="58"/>
      <c r="BL22" s="58"/>
      <c r="BM22" s="58"/>
      <c r="BN22" s="57"/>
      <c r="BO22" s="60"/>
      <c r="BP22" s="61"/>
      <c r="BQ22" s="61"/>
      <c r="BR22" s="61"/>
      <c r="BS22" s="61"/>
      <c r="BT22" s="74"/>
    </row>
    <row r="23" spans="2:72" ht="45">
      <c r="B23" s="47" t="s">
        <v>864</v>
      </c>
      <c r="C23" s="48" t="s">
        <v>1071</v>
      </c>
      <c r="D23" s="49" t="s">
        <v>989</v>
      </c>
      <c r="E23" s="70" t="s">
        <v>990</v>
      </c>
      <c r="F23" s="273">
        <v>45401</v>
      </c>
      <c r="G23" s="273">
        <v>45428</v>
      </c>
      <c r="H23" s="273">
        <v>45449</v>
      </c>
      <c r="I23" s="273" t="s">
        <v>1299</v>
      </c>
      <c r="J23" s="49" t="s">
        <v>369</v>
      </c>
      <c r="K23" s="49" t="s">
        <v>1447</v>
      </c>
      <c r="L23" s="64"/>
      <c r="M23" s="266"/>
      <c r="N23" s="64"/>
      <c r="O23" s="64"/>
      <c r="P23" s="57"/>
      <c r="Q23" s="60"/>
      <c r="R23" s="61"/>
      <c r="S23" s="61"/>
      <c r="T23" s="56"/>
      <c r="U23" s="61"/>
      <c r="V23" s="63"/>
      <c r="W23" s="64"/>
      <c r="X23" s="64"/>
      <c r="Y23" s="64"/>
      <c r="Z23" s="213"/>
      <c r="AA23" s="72"/>
      <c r="AB23" s="64"/>
      <c r="AC23" s="138" t="s">
        <v>860</v>
      </c>
      <c r="AD23" s="73"/>
      <c r="AE23" s="73"/>
      <c r="AF23" s="66"/>
      <c r="AG23" s="56"/>
      <c r="AH23" s="95" t="s">
        <v>861</v>
      </c>
      <c r="AI23" s="56"/>
      <c r="AJ23" s="56"/>
      <c r="AK23" s="57"/>
      <c r="AL23" s="58"/>
      <c r="AM23" s="58"/>
      <c r="AN23" s="58"/>
      <c r="AO23" s="57"/>
      <c r="AP23" s="60"/>
      <c r="AQ23" s="61"/>
      <c r="AR23" s="61"/>
      <c r="AS23" s="61"/>
      <c r="AT23" s="61"/>
      <c r="AU23" s="63"/>
      <c r="AV23" s="64"/>
      <c r="AW23" s="64"/>
      <c r="AX23" s="64"/>
      <c r="AY23" s="64"/>
      <c r="AZ23" s="72"/>
      <c r="BA23" s="73"/>
      <c r="BB23" s="73"/>
      <c r="BC23" s="73"/>
      <c r="BD23" s="73"/>
      <c r="BE23" s="66"/>
      <c r="BF23" s="56"/>
      <c r="BG23" s="56"/>
      <c r="BH23" s="56"/>
      <c r="BI23" s="56"/>
      <c r="BJ23" s="57"/>
      <c r="BK23" s="58"/>
      <c r="BL23" s="58"/>
      <c r="BM23" s="58"/>
      <c r="BN23" s="57"/>
      <c r="BO23" s="60"/>
      <c r="BP23" s="61"/>
      <c r="BQ23" s="61"/>
      <c r="BR23" s="61"/>
      <c r="BS23" s="61"/>
      <c r="BT23" s="74"/>
    </row>
    <row r="24" spans="2:72" ht="45">
      <c r="B24" s="47" t="s">
        <v>864</v>
      </c>
      <c r="C24" s="48" t="s">
        <v>1071</v>
      </c>
      <c r="D24" s="49" t="s">
        <v>993</v>
      </c>
      <c r="E24" s="70" t="s">
        <v>994</v>
      </c>
      <c r="F24" s="273">
        <v>45442</v>
      </c>
      <c r="G24" s="273">
        <v>45463</v>
      </c>
      <c r="H24" s="273">
        <v>45484</v>
      </c>
      <c r="I24" s="273" t="s">
        <v>1299</v>
      </c>
      <c r="J24" s="49" t="s">
        <v>427</v>
      </c>
      <c r="K24" s="49" t="s">
        <v>1448</v>
      </c>
      <c r="L24" s="64"/>
      <c r="M24" s="266"/>
      <c r="N24" s="64"/>
      <c r="O24" s="64"/>
      <c r="P24" s="57"/>
      <c r="Q24" s="60"/>
      <c r="R24" s="61"/>
      <c r="S24" s="61"/>
      <c r="T24" s="56"/>
      <c r="U24" s="61"/>
      <c r="V24" s="63"/>
      <c r="W24" s="64"/>
      <c r="X24" s="64"/>
      <c r="Y24" s="64"/>
      <c r="Z24" s="213"/>
      <c r="AA24" s="72"/>
      <c r="AB24" s="64"/>
      <c r="AC24" s="73"/>
      <c r="AD24" s="73"/>
      <c r="AE24" s="73"/>
      <c r="AF24" s="66"/>
      <c r="AG24" s="56"/>
      <c r="AH24" s="56"/>
      <c r="AI24" s="56"/>
      <c r="AJ24" s="138" t="s">
        <v>860</v>
      </c>
      <c r="AK24" s="57"/>
      <c r="AL24" s="58"/>
      <c r="AM24" s="58"/>
      <c r="AN24" s="95" t="s">
        <v>861</v>
      </c>
      <c r="AO24" s="57"/>
      <c r="AP24" s="60"/>
      <c r="AQ24" s="61"/>
      <c r="AR24" s="61"/>
      <c r="AS24" s="61"/>
      <c r="AT24" s="61"/>
      <c r="AU24" s="63"/>
      <c r="AV24" s="64"/>
      <c r="AW24" s="64"/>
      <c r="AX24" s="64"/>
      <c r="AY24" s="64"/>
      <c r="AZ24" s="72"/>
      <c r="BA24" s="73"/>
      <c r="BB24" s="73"/>
      <c r="BC24" s="73"/>
      <c r="BD24" s="73"/>
      <c r="BE24" s="66"/>
      <c r="BF24" s="56"/>
      <c r="BG24" s="56"/>
      <c r="BH24" s="56"/>
      <c r="BI24" s="56"/>
      <c r="BJ24" s="57"/>
      <c r="BK24" s="58"/>
      <c r="BL24" s="58"/>
      <c r="BM24" s="58"/>
      <c r="BN24" s="57"/>
      <c r="BO24" s="60"/>
      <c r="BP24" s="61"/>
      <c r="BQ24" s="61"/>
      <c r="BR24" s="61"/>
      <c r="BS24" s="61"/>
      <c r="BT24" s="74"/>
    </row>
    <row r="25" spans="2:72" ht="45">
      <c r="B25" s="47" t="s">
        <v>864</v>
      </c>
      <c r="C25" s="48" t="s">
        <v>1303</v>
      </c>
      <c r="D25" s="49" t="s">
        <v>1017</v>
      </c>
      <c r="E25" s="70" t="s">
        <v>1018</v>
      </c>
      <c r="F25" s="273">
        <v>45457</v>
      </c>
      <c r="G25" s="273">
        <v>45478</v>
      </c>
      <c r="H25" s="273">
        <v>45499</v>
      </c>
      <c r="I25" s="273" t="s">
        <v>1299</v>
      </c>
      <c r="J25" s="49" t="s">
        <v>438</v>
      </c>
      <c r="K25" s="49" t="s">
        <v>1449</v>
      </c>
      <c r="L25" s="64"/>
      <c r="M25" s="266"/>
      <c r="N25" s="64"/>
      <c r="O25" s="64"/>
      <c r="P25" s="57"/>
      <c r="Q25" s="60"/>
      <c r="R25" s="61"/>
      <c r="S25" s="61"/>
      <c r="T25" s="56"/>
      <c r="U25" s="61"/>
      <c r="V25" s="63"/>
      <c r="W25" s="64"/>
      <c r="X25" s="64"/>
      <c r="Y25" s="64"/>
      <c r="Z25" s="213"/>
      <c r="AA25" s="72"/>
      <c r="AB25" s="64"/>
      <c r="AC25" s="73"/>
      <c r="AD25" s="73"/>
      <c r="AE25" s="73"/>
      <c r="AF25" s="66"/>
      <c r="AG25" s="56"/>
      <c r="AH25" s="56"/>
      <c r="AI25" s="56"/>
      <c r="AJ25" s="56"/>
      <c r="AK25" s="58"/>
      <c r="AL25" s="58"/>
      <c r="AM25" s="138" t="s">
        <v>860</v>
      </c>
      <c r="AN25" s="57"/>
      <c r="AO25" s="57"/>
      <c r="AP25" s="139" t="s">
        <v>861</v>
      </c>
      <c r="AQ25" s="61"/>
      <c r="AR25" s="61"/>
      <c r="AS25" s="61"/>
      <c r="AT25" s="61"/>
      <c r="AU25" s="63"/>
      <c r="AV25" s="64"/>
      <c r="AW25" s="64"/>
      <c r="AX25" s="64"/>
      <c r="AY25" s="64"/>
      <c r="AZ25" s="72"/>
      <c r="BA25" s="73"/>
      <c r="BB25" s="73"/>
      <c r="BC25" s="73"/>
      <c r="BD25" s="73"/>
      <c r="BE25" s="66"/>
      <c r="BF25" s="56"/>
      <c r="BG25" s="56"/>
      <c r="BH25" s="56"/>
      <c r="BI25" s="56"/>
      <c r="BJ25" s="57"/>
      <c r="BK25" s="58"/>
      <c r="BL25" s="58"/>
      <c r="BM25" s="58"/>
      <c r="BN25" s="57"/>
      <c r="BO25" s="60"/>
      <c r="BP25" s="61"/>
      <c r="BQ25" s="61"/>
      <c r="BR25" s="61"/>
      <c r="BS25" s="61"/>
      <c r="BT25" s="74"/>
    </row>
    <row r="26" spans="2:72" ht="45">
      <c r="B26" s="47" t="s">
        <v>864</v>
      </c>
      <c r="C26" s="48" t="s">
        <v>1303</v>
      </c>
      <c r="D26" s="49" t="s">
        <v>1019</v>
      </c>
      <c r="E26" s="70" t="s">
        <v>1020</v>
      </c>
      <c r="F26" s="273">
        <v>45457</v>
      </c>
      <c r="G26" s="273">
        <v>45478</v>
      </c>
      <c r="H26" s="273">
        <v>45499</v>
      </c>
      <c r="I26" s="273" t="s">
        <v>1299</v>
      </c>
      <c r="J26" s="49" t="s">
        <v>438</v>
      </c>
      <c r="K26" s="49" t="s">
        <v>1449</v>
      </c>
      <c r="L26" s="64"/>
      <c r="M26" s="266"/>
      <c r="N26" s="64"/>
      <c r="O26" s="64"/>
      <c r="P26" s="57"/>
      <c r="Q26" s="60"/>
      <c r="R26" s="61"/>
      <c r="S26" s="61"/>
      <c r="T26" s="56"/>
      <c r="U26" s="61"/>
      <c r="V26" s="63"/>
      <c r="W26" s="64"/>
      <c r="X26" s="64"/>
      <c r="Y26" s="64"/>
      <c r="Z26" s="213"/>
      <c r="AA26" s="72"/>
      <c r="AB26" s="64"/>
      <c r="AC26" s="73"/>
      <c r="AD26" s="73"/>
      <c r="AE26" s="73"/>
      <c r="AF26" s="66"/>
      <c r="AG26" s="56"/>
      <c r="AH26" s="56"/>
      <c r="AI26" s="56"/>
      <c r="AJ26" s="56"/>
      <c r="AK26" s="58"/>
      <c r="AL26" s="58"/>
      <c r="AM26" s="138" t="s">
        <v>860</v>
      </c>
      <c r="AN26" s="57"/>
      <c r="AO26" s="57"/>
      <c r="AP26" s="139" t="s">
        <v>861</v>
      </c>
      <c r="AQ26" s="61"/>
      <c r="AR26" s="61"/>
      <c r="AS26" s="61"/>
      <c r="AT26" s="61"/>
      <c r="AU26" s="63"/>
      <c r="AV26" s="64"/>
      <c r="AW26" s="64"/>
      <c r="AX26" s="64"/>
      <c r="AY26" s="64"/>
      <c r="AZ26" s="72"/>
      <c r="BA26" s="73"/>
      <c r="BB26" s="73"/>
      <c r="BC26" s="73"/>
      <c r="BD26" s="73"/>
      <c r="BE26" s="66"/>
      <c r="BF26" s="56"/>
      <c r="BG26" s="56"/>
      <c r="BH26" s="56"/>
      <c r="BI26" s="56"/>
      <c r="BJ26" s="57"/>
      <c r="BK26" s="58"/>
      <c r="BL26" s="58"/>
      <c r="BM26" s="58"/>
      <c r="BN26" s="57"/>
      <c r="BO26" s="60"/>
      <c r="BP26" s="61"/>
      <c r="BQ26" s="61"/>
      <c r="BR26" s="61"/>
      <c r="BS26" s="61"/>
      <c r="BT26" s="74"/>
    </row>
    <row r="27" spans="2:72" ht="45">
      <c r="B27" s="47" t="s">
        <v>864</v>
      </c>
      <c r="C27" s="48" t="s">
        <v>1084</v>
      </c>
      <c r="D27" s="49" t="s">
        <v>1021</v>
      </c>
      <c r="E27" s="70" t="s">
        <v>1022</v>
      </c>
      <c r="F27" s="273">
        <v>45457</v>
      </c>
      <c r="G27" s="273">
        <v>45478</v>
      </c>
      <c r="H27" s="273">
        <v>45499</v>
      </c>
      <c r="I27" s="273" t="s">
        <v>1299</v>
      </c>
      <c r="J27" s="49" t="s">
        <v>438</v>
      </c>
      <c r="K27" s="49" t="s">
        <v>1449</v>
      </c>
      <c r="L27" s="64"/>
      <c r="M27" s="266"/>
      <c r="N27" s="64"/>
      <c r="O27" s="64"/>
      <c r="P27" s="57"/>
      <c r="Q27" s="60"/>
      <c r="R27" s="61"/>
      <c r="S27" s="61"/>
      <c r="T27" s="56"/>
      <c r="U27" s="61"/>
      <c r="V27" s="63"/>
      <c r="W27" s="64"/>
      <c r="X27" s="64"/>
      <c r="Y27" s="64"/>
      <c r="Z27" s="213"/>
      <c r="AA27" s="72"/>
      <c r="AB27" s="64"/>
      <c r="AC27" s="73"/>
      <c r="AD27" s="73"/>
      <c r="AE27" s="73"/>
      <c r="AF27" s="66"/>
      <c r="AG27" s="56"/>
      <c r="AH27" s="56"/>
      <c r="AI27" s="56"/>
      <c r="AJ27" s="56"/>
      <c r="AK27" s="57"/>
      <c r="AL27" s="58"/>
      <c r="AM27" s="138" t="s">
        <v>860</v>
      </c>
      <c r="AN27" s="57"/>
      <c r="AO27" s="57"/>
      <c r="AP27" s="95" t="s">
        <v>861</v>
      </c>
      <c r="AQ27" s="61"/>
      <c r="AR27" s="61"/>
      <c r="AS27" s="61"/>
      <c r="AT27" s="61"/>
      <c r="AU27" s="63"/>
      <c r="AV27" s="64"/>
      <c r="AW27" s="64"/>
      <c r="AX27" s="64"/>
      <c r="AY27" s="64"/>
      <c r="AZ27" s="72"/>
      <c r="BA27" s="73"/>
      <c r="BB27" s="73"/>
      <c r="BC27" s="73"/>
      <c r="BD27" s="73"/>
      <c r="BE27" s="66"/>
      <c r="BF27" s="56"/>
      <c r="BG27" s="56"/>
      <c r="BH27" s="56"/>
      <c r="BI27" s="56"/>
      <c r="BJ27" s="57"/>
      <c r="BK27" s="58"/>
      <c r="BL27" s="58"/>
      <c r="BM27" s="58"/>
      <c r="BN27" s="57"/>
      <c r="BO27" s="60"/>
      <c r="BP27" s="61"/>
      <c r="BQ27" s="61"/>
      <c r="BR27" s="61"/>
      <c r="BS27" s="61"/>
      <c r="BT27" s="74"/>
    </row>
    <row r="28" spans="2:72" ht="45">
      <c r="B28" s="47" t="s">
        <v>864</v>
      </c>
      <c r="C28" s="48" t="s">
        <v>1084</v>
      </c>
      <c r="D28" s="49" t="s">
        <v>1023</v>
      </c>
      <c r="E28" s="70" t="s">
        <v>1024</v>
      </c>
      <c r="F28" s="273">
        <v>45457</v>
      </c>
      <c r="G28" s="273">
        <v>45478</v>
      </c>
      <c r="H28" s="273">
        <v>45499</v>
      </c>
      <c r="I28" s="273" t="s">
        <v>1299</v>
      </c>
      <c r="J28" s="49" t="s">
        <v>438</v>
      </c>
      <c r="K28" s="49" t="s">
        <v>1449</v>
      </c>
      <c r="L28" s="64"/>
      <c r="M28" s="266"/>
      <c r="N28" s="64"/>
      <c r="O28" s="64"/>
      <c r="P28" s="57"/>
      <c r="Q28" s="60"/>
      <c r="R28" s="61"/>
      <c r="S28" s="61"/>
      <c r="T28" s="56"/>
      <c r="U28" s="61"/>
      <c r="V28" s="63"/>
      <c r="W28" s="64"/>
      <c r="X28" s="64"/>
      <c r="Y28" s="64"/>
      <c r="Z28" s="213"/>
      <c r="AA28" s="72"/>
      <c r="AB28" s="64"/>
      <c r="AC28" s="73"/>
      <c r="AD28" s="73"/>
      <c r="AE28" s="73"/>
      <c r="AF28" s="66"/>
      <c r="AG28" s="56"/>
      <c r="AH28" s="56"/>
      <c r="AI28" s="56"/>
      <c r="AJ28" s="56"/>
      <c r="AK28" s="57"/>
      <c r="AL28" s="58"/>
      <c r="AM28" s="138" t="s">
        <v>860</v>
      </c>
      <c r="AN28" s="57"/>
      <c r="AO28" s="57"/>
      <c r="AP28" s="95" t="s">
        <v>861</v>
      </c>
      <c r="AQ28" s="61"/>
      <c r="AR28" s="61"/>
      <c r="AS28" s="61"/>
      <c r="AT28" s="61"/>
      <c r="AU28" s="63"/>
      <c r="AV28" s="64"/>
      <c r="AW28" s="64"/>
      <c r="AX28" s="64"/>
      <c r="AY28" s="64"/>
      <c r="AZ28" s="72"/>
      <c r="BA28" s="73"/>
      <c r="BB28" s="73"/>
      <c r="BC28" s="73"/>
      <c r="BD28" s="73"/>
      <c r="BE28" s="66"/>
      <c r="BF28" s="56"/>
      <c r="BG28" s="56"/>
      <c r="BH28" s="56"/>
      <c r="BI28" s="56"/>
      <c r="BJ28" s="57"/>
      <c r="BK28" s="58"/>
      <c r="BL28" s="58"/>
      <c r="BM28" s="58"/>
      <c r="BN28" s="57"/>
      <c r="BO28" s="60"/>
      <c r="BP28" s="61"/>
      <c r="BQ28" s="61"/>
      <c r="BR28" s="61"/>
      <c r="BS28" s="61"/>
      <c r="BT28" s="74"/>
    </row>
    <row r="29" spans="2:72" ht="45">
      <c r="B29" s="47" t="s">
        <v>864</v>
      </c>
      <c r="C29" s="48" t="s">
        <v>1303</v>
      </c>
      <c r="D29" s="49" t="s">
        <v>1013</v>
      </c>
      <c r="E29" s="70" t="s">
        <v>1014</v>
      </c>
      <c r="F29" s="273">
        <v>45464</v>
      </c>
      <c r="G29" s="273">
        <v>45484</v>
      </c>
      <c r="H29" s="273">
        <v>45505</v>
      </c>
      <c r="I29" s="273" t="s">
        <v>1299</v>
      </c>
      <c r="J29" s="49" t="s">
        <v>438</v>
      </c>
      <c r="K29" s="49" t="s">
        <v>1449</v>
      </c>
      <c r="L29" s="64"/>
      <c r="M29" s="266"/>
      <c r="N29" s="64"/>
      <c r="O29" s="64"/>
      <c r="P29" s="57"/>
      <c r="Q29" s="60"/>
      <c r="R29" s="61"/>
      <c r="S29" s="61"/>
      <c r="T29" s="56"/>
      <c r="U29" s="61"/>
      <c r="V29" s="63"/>
      <c r="W29" s="64"/>
      <c r="X29" s="64"/>
      <c r="Y29" s="64"/>
      <c r="Z29" s="213"/>
      <c r="AA29" s="72"/>
      <c r="AB29" s="64"/>
      <c r="AC29" s="73"/>
      <c r="AD29" s="73"/>
      <c r="AE29" s="73"/>
      <c r="AF29" s="66"/>
      <c r="AG29" s="56"/>
      <c r="AH29" s="56"/>
      <c r="AI29" s="56"/>
      <c r="AJ29" s="56"/>
      <c r="AK29" s="61"/>
      <c r="AL29" s="58"/>
      <c r="AM29" s="58"/>
      <c r="AN29" s="295" t="s">
        <v>860</v>
      </c>
      <c r="AO29" s="57"/>
      <c r="AP29" s="60"/>
      <c r="AQ29" s="95" t="s">
        <v>861</v>
      </c>
      <c r="AR29" s="61"/>
      <c r="AS29" s="61"/>
      <c r="AT29" s="61"/>
      <c r="AU29" s="63"/>
      <c r="AV29" s="64"/>
      <c r="AW29" s="64"/>
      <c r="AX29" s="64"/>
      <c r="AY29" s="64"/>
      <c r="AZ29" s="72"/>
      <c r="BA29" s="73"/>
      <c r="BB29" s="73"/>
      <c r="BC29" s="73"/>
      <c r="BD29" s="73"/>
      <c r="BE29" s="66"/>
      <c r="BF29" s="56"/>
      <c r="BG29" s="56"/>
      <c r="BH29" s="56"/>
      <c r="BI29" s="56"/>
      <c r="BJ29" s="57"/>
      <c r="BK29" s="58"/>
      <c r="BL29" s="58"/>
      <c r="BM29" s="58"/>
      <c r="BN29" s="57"/>
      <c r="BO29" s="60"/>
      <c r="BP29" s="61"/>
      <c r="BQ29" s="61"/>
      <c r="BR29" s="61"/>
      <c r="BS29" s="61"/>
      <c r="BT29" s="74"/>
    </row>
    <row r="30" spans="2:72" ht="45">
      <c r="B30" s="47" t="s">
        <v>864</v>
      </c>
      <c r="C30" s="48" t="s">
        <v>1303</v>
      </c>
      <c r="D30" s="49" t="s">
        <v>1015</v>
      </c>
      <c r="E30" s="70" t="s">
        <v>1016</v>
      </c>
      <c r="F30" s="273">
        <v>45464</v>
      </c>
      <c r="G30" s="273">
        <v>45484</v>
      </c>
      <c r="H30" s="273">
        <v>45505</v>
      </c>
      <c r="I30" s="273" t="s">
        <v>1299</v>
      </c>
      <c r="J30" s="49" t="s">
        <v>438</v>
      </c>
      <c r="K30" s="49" t="s">
        <v>1449</v>
      </c>
      <c r="L30" s="64"/>
      <c r="M30" s="266"/>
      <c r="N30" s="64"/>
      <c r="O30" s="64"/>
      <c r="P30" s="57"/>
      <c r="Q30" s="60"/>
      <c r="R30" s="61"/>
      <c r="S30" s="61"/>
      <c r="T30" s="56"/>
      <c r="U30" s="61"/>
      <c r="V30" s="63"/>
      <c r="W30" s="64"/>
      <c r="X30" s="64"/>
      <c r="Y30" s="64"/>
      <c r="Z30" s="213"/>
      <c r="AA30" s="72"/>
      <c r="AB30" s="64"/>
      <c r="AC30" s="73"/>
      <c r="AD30" s="73"/>
      <c r="AE30" s="73"/>
      <c r="AF30" s="66"/>
      <c r="AG30" s="56"/>
      <c r="AH30" s="56"/>
      <c r="AI30" s="56"/>
      <c r="AJ30" s="56"/>
      <c r="AK30" s="61"/>
      <c r="AL30" s="58"/>
      <c r="AM30" s="58"/>
      <c r="AN30" s="295" t="s">
        <v>860</v>
      </c>
      <c r="AO30" s="57"/>
      <c r="AP30" s="60"/>
      <c r="AQ30" s="95" t="s">
        <v>861</v>
      </c>
      <c r="AR30" s="61"/>
      <c r="AS30" s="61"/>
      <c r="AT30" s="61"/>
      <c r="AU30" s="63"/>
      <c r="AV30" s="64"/>
      <c r="AW30" s="64"/>
      <c r="AX30" s="64"/>
      <c r="AY30" s="64"/>
      <c r="AZ30" s="72"/>
      <c r="BA30" s="73"/>
      <c r="BB30" s="73"/>
      <c r="BC30" s="73"/>
      <c r="BD30" s="73"/>
      <c r="BE30" s="66"/>
      <c r="BF30" s="56"/>
      <c r="BG30" s="56"/>
      <c r="BH30" s="56"/>
      <c r="BI30" s="56"/>
      <c r="BJ30" s="57"/>
      <c r="BK30" s="58"/>
      <c r="BL30" s="58"/>
      <c r="BM30" s="58"/>
      <c r="BN30" s="57"/>
      <c r="BO30" s="60"/>
      <c r="BP30" s="61"/>
      <c r="BQ30" s="61"/>
      <c r="BR30" s="61"/>
      <c r="BS30" s="61"/>
      <c r="BT30" s="74"/>
    </row>
    <row r="31" spans="2:72" ht="45">
      <c r="B31" s="47" t="s">
        <v>864</v>
      </c>
      <c r="C31" s="48" t="s">
        <v>1084</v>
      </c>
      <c r="D31" s="49" t="s">
        <v>1007</v>
      </c>
      <c r="E31" s="70" t="s">
        <v>1008</v>
      </c>
      <c r="F31" s="273">
        <v>45464</v>
      </c>
      <c r="G31" s="273">
        <v>45484</v>
      </c>
      <c r="H31" s="273">
        <v>45505</v>
      </c>
      <c r="I31" s="273" t="s">
        <v>1299</v>
      </c>
      <c r="J31" s="49" t="s">
        <v>438</v>
      </c>
      <c r="K31" s="49" t="s">
        <v>1449</v>
      </c>
      <c r="L31" s="64"/>
      <c r="M31" s="266"/>
      <c r="N31" s="64"/>
      <c r="O31" s="64"/>
      <c r="P31" s="57"/>
      <c r="Q31" s="60"/>
      <c r="R31" s="61"/>
      <c r="S31" s="61"/>
      <c r="T31" s="56"/>
      <c r="U31" s="61"/>
      <c r="V31" s="63"/>
      <c r="W31" s="64"/>
      <c r="X31" s="64"/>
      <c r="Y31" s="64"/>
      <c r="Z31" s="213"/>
      <c r="AA31" s="72"/>
      <c r="AB31" s="64"/>
      <c r="AC31" s="73"/>
      <c r="AD31" s="73"/>
      <c r="AE31" s="73"/>
      <c r="AF31" s="66"/>
      <c r="AG31" s="56"/>
      <c r="AH31" s="56"/>
      <c r="AI31" s="56"/>
      <c r="AJ31" s="56"/>
      <c r="AK31" s="57"/>
      <c r="AL31" s="58"/>
      <c r="AM31" s="58"/>
      <c r="AN31" s="138" t="s">
        <v>860</v>
      </c>
      <c r="AO31" s="57"/>
      <c r="AP31" s="60"/>
      <c r="AQ31" s="95" t="s">
        <v>861</v>
      </c>
      <c r="AR31" s="61"/>
      <c r="AS31" s="61"/>
      <c r="AT31" s="61"/>
      <c r="AU31" s="63"/>
      <c r="AV31" s="64"/>
      <c r="AW31" s="64"/>
      <c r="AX31" s="64"/>
      <c r="AY31" s="64"/>
      <c r="AZ31" s="72"/>
      <c r="BA31" s="73"/>
      <c r="BB31" s="73"/>
      <c r="BC31" s="73"/>
      <c r="BD31" s="73"/>
      <c r="BE31" s="66"/>
      <c r="BF31" s="56"/>
      <c r="BG31" s="56"/>
      <c r="BH31" s="56"/>
      <c r="BI31" s="56"/>
      <c r="BJ31" s="57"/>
      <c r="BK31" s="58"/>
      <c r="BL31" s="58"/>
      <c r="BM31" s="58"/>
      <c r="BN31" s="57"/>
      <c r="BO31" s="60"/>
      <c r="BP31" s="61"/>
      <c r="BQ31" s="61"/>
      <c r="BR31" s="61"/>
      <c r="BS31" s="61"/>
      <c r="BT31" s="74"/>
    </row>
    <row r="32" spans="2:72" ht="45">
      <c r="B32" s="47" t="s">
        <v>864</v>
      </c>
      <c r="C32" s="48" t="s">
        <v>1084</v>
      </c>
      <c r="D32" s="49" t="s">
        <v>1009</v>
      </c>
      <c r="E32" s="70" t="s">
        <v>1010</v>
      </c>
      <c r="F32" s="273">
        <v>45464</v>
      </c>
      <c r="G32" s="273">
        <v>45484</v>
      </c>
      <c r="H32" s="273">
        <v>45505</v>
      </c>
      <c r="I32" s="273" t="s">
        <v>1299</v>
      </c>
      <c r="J32" s="49" t="s">
        <v>438</v>
      </c>
      <c r="K32" s="49" t="s">
        <v>1449</v>
      </c>
      <c r="L32" s="64"/>
      <c r="M32" s="266"/>
      <c r="N32" s="64"/>
      <c r="O32" s="64"/>
      <c r="P32" s="57"/>
      <c r="Q32" s="60"/>
      <c r="R32" s="61"/>
      <c r="S32" s="61"/>
      <c r="T32" s="56"/>
      <c r="U32" s="61"/>
      <c r="V32" s="63"/>
      <c r="W32" s="64"/>
      <c r="X32" s="64"/>
      <c r="Y32" s="64"/>
      <c r="Z32" s="213"/>
      <c r="AA32" s="72"/>
      <c r="AB32" s="64"/>
      <c r="AC32" s="73"/>
      <c r="AD32" s="73"/>
      <c r="AE32" s="73"/>
      <c r="AF32" s="66"/>
      <c r="AG32" s="56"/>
      <c r="AH32" s="56"/>
      <c r="AI32" s="56"/>
      <c r="AJ32" s="56"/>
      <c r="AK32" s="57"/>
      <c r="AL32" s="58"/>
      <c r="AM32" s="58"/>
      <c r="AN32" s="138" t="s">
        <v>860</v>
      </c>
      <c r="AO32" s="57"/>
      <c r="AP32" s="60"/>
      <c r="AQ32" s="95" t="s">
        <v>861</v>
      </c>
      <c r="AR32" s="61"/>
      <c r="AS32" s="61"/>
      <c r="AT32" s="61"/>
      <c r="AU32" s="63"/>
      <c r="AV32" s="64"/>
      <c r="AW32" s="64"/>
      <c r="AX32" s="64"/>
      <c r="AY32" s="64"/>
      <c r="AZ32" s="72"/>
      <c r="BA32" s="73"/>
      <c r="BB32" s="73"/>
      <c r="BC32" s="73"/>
      <c r="BD32" s="73"/>
      <c r="BE32" s="66"/>
      <c r="BF32" s="56"/>
      <c r="BG32" s="56"/>
      <c r="BH32" s="56"/>
      <c r="BI32" s="56"/>
      <c r="BJ32" s="57"/>
      <c r="BK32" s="58"/>
      <c r="BL32" s="58"/>
      <c r="BM32" s="58"/>
      <c r="BN32" s="57"/>
      <c r="BO32" s="60"/>
      <c r="BP32" s="61"/>
      <c r="BQ32" s="61"/>
      <c r="BR32" s="61"/>
      <c r="BS32" s="61"/>
      <c r="BT32" s="74"/>
    </row>
    <row r="33" spans="2:72" ht="45">
      <c r="B33" s="47" t="s">
        <v>864</v>
      </c>
      <c r="C33" s="48" t="s">
        <v>1084</v>
      </c>
      <c r="D33" s="49" t="s">
        <v>1011</v>
      </c>
      <c r="E33" s="70" t="s">
        <v>1012</v>
      </c>
      <c r="F33" s="273">
        <v>45464</v>
      </c>
      <c r="G33" s="273">
        <v>45484</v>
      </c>
      <c r="H33" s="273">
        <v>45505</v>
      </c>
      <c r="I33" s="273" t="s">
        <v>1299</v>
      </c>
      <c r="J33" s="49" t="s">
        <v>438</v>
      </c>
      <c r="K33" s="49" t="s">
        <v>1449</v>
      </c>
      <c r="L33" s="64"/>
      <c r="M33" s="266"/>
      <c r="N33" s="64"/>
      <c r="O33" s="64"/>
      <c r="P33" s="57"/>
      <c r="Q33" s="60"/>
      <c r="R33" s="61"/>
      <c r="S33" s="61"/>
      <c r="T33" s="56"/>
      <c r="U33" s="61"/>
      <c r="V33" s="63"/>
      <c r="W33" s="64"/>
      <c r="X33" s="64"/>
      <c r="Y33" s="64"/>
      <c r="Z33" s="213"/>
      <c r="AA33" s="72"/>
      <c r="AB33" s="64"/>
      <c r="AC33" s="73"/>
      <c r="AD33" s="73"/>
      <c r="AE33" s="73"/>
      <c r="AF33" s="66"/>
      <c r="AG33" s="56"/>
      <c r="AH33" s="56"/>
      <c r="AI33" s="56"/>
      <c r="AJ33" s="56"/>
      <c r="AK33" s="57"/>
      <c r="AL33" s="58"/>
      <c r="AM33" s="58"/>
      <c r="AN33" s="138" t="s">
        <v>860</v>
      </c>
      <c r="AO33" s="57"/>
      <c r="AP33" s="60"/>
      <c r="AQ33" s="95" t="s">
        <v>861</v>
      </c>
      <c r="AR33" s="61"/>
      <c r="AS33" s="61"/>
      <c r="AT33" s="61"/>
      <c r="AU33" s="63"/>
      <c r="AV33" s="64"/>
      <c r="AW33" s="64"/>
      <c r="AX33" s="64"/>
      <c r="AY33" s="64"/>
      <c r="AZ33" s="72"/>
      <c r="BA33" s="73"/>
      <c r="BB33" s="73"/>
      <c r="BC33" s="73"/>
      <c r="BD33" s="73"/>
      <c r="BE33" s="66"/>
      <c r="BF33" s="56"/>
      <c r="BG33" s="56"/>
      <c r="BH33" s="56"/>
      <c r="BI33" s="56"/>
      <c r="BJ33" s="57"/>
      <c r="BK33" s="58"/>
      <c r="BL33" s="58"/>
      <c r="BM33" s="58"/>
      <c r="BN33" s="57"/>
      <c r="BO33" s="60"/>
      <c r="BP33" s="61"/>
      <c r="BQ33" s="61"/>
      <c r="BR33" s="61"/>
      <c r="BS33" s="61"/>
      <c r="BT33" s="74"/>
    </row>
    <row r="34" spans="2:72" ht="45">
      <c r="B34" s="47" t="s">
        <v>864</v>
      </c>
      <c r="C34" s="48" t="s">
        <v>1071</v>
      </c>
      <c r="D34" s="49" t="s">
        <v>1005</v>
      </c>
      <c r="E34" s="70" t="s">
        <v>1006</v>
      </c>
      <c r="F34" s="273">
        <v>45464</v>
      </c>
      <c r="G34" s="273">
        <v>45484</v>
      </c>
      <c r="H34" s="273">
        <v>45505</v>
      </c>
      <c r="I34" s="273" t="s">
        <v>1299</v>
      </c>
      <c r="J34" s="49" t="s">
        <v>438</v>
      </c>
      <c r="K34" s="49" t="s">
        <v>1449</v>
      </c>
      <c r="L34" s="64"/>
      <c r="M34" s="266"/>
      <c r="N34" s="64"/>
      <c r="O34" s="64"/>
      <c r="P34" s="57"/>
      <c r="Q34" s="60"/>
      <c r="R34" s="61"/>
      <c r="S34" s="61"/>
      <c r="T34" s="56"/>
      <c r="U34" s="61"/>
      <c r="V34" s="63"/>
      <c r="W34" s="64"/>
      <c r="X34" s="64"/>
      <c r="Y34" s="64"/>
      <c r="Z34" s="213"/>
      <c r="AA34" s="72"/>
      <c r="AB34" s="64"/>
      <c r="AC34" s="73"/>
      <c r="AD34" s="73"/>
      <c r="AE34" s="73"/>
      <c r="AF34" s="66"/>
      <c r="AG34" s="56"/>
      <c r="AH34" s="56"/>
      <c r="AI34" s="56"/>
      <c r="AJ34" s="56"/>
      <c r="AK34" s="57"/>
      <c r="AL34" s="58"/>
      <c r="AM34" s="58"/>
      <c r="AN34" s="138" t="s">
        <v>860</v>
      </c>
      <c r="AO34" s="57"/>
      <c r="AP34" s="60"/>
      <c r="AQ34" s="95" t="s">
        <v>861</v>
      </c>
      <c r="AR34" s="61"/>
      <c r="AS34" s="61"/>
      <c r="AT34" s="61"/>
      <c r="AU34" s="63"/>
      <c r="AV34" s="64"/>
      <c r="AW34" s="64"/>
      <c r="AX34" s="64"/>
      <c r="AY34" s="64"/>
      <c r="AZ34" s="72"/>
      <c r="BA34" s="73"/>
      <c r="BB34" s="73"/>
      <c r="BC34" s="73"/>
      <c r="BD34" s="73"/>
      <c r="BE34" s="66"/>
      <c r="BF34" s="56"/>
      <c r="BG34" s="56"/>
      <c r="BH34" s="56"/>
      <c r="BI34" s="56"/>
      <c r="BJ34" s="57"/>
      <c r="BK34" s="58"/>
      <c r="BL34" s="58"/>
      <c r="BM34" s="58"/>
      <c r="BN34" s="57"/>
      <c r="BO34" s="60"/>
      <c r="BP34" s="61"/>
      <c r="BQ34" s="61"/>
      <c r="BR34" s="61"/>
      <c r="BS34" s="61"/>
      <c r="BT34" s="74"/>
    </row>
    <row r="35" spans="2:72" ht="45">
      <c r="B35" s="47" t="s">
        <v>864</v>
      </c>
      <c r="C35" s="48" t="s">
        <v>1071</v>
      </c>
      <c r="D35" s="49" t="s">
        <v>1003</v>
      </c>
      <c r="E35" s="70" t="s">
        <v>1004</v>
      </c>
      <c r="F35" s="273">
        <v>45464</v>
      </c>
      <c r="G35" s="273">
        <v>45484</v>
      </c>
      <c r="H35" s="273">
        <v>45505</v>
      </c>
      <c r="I35" s="273" t="s">
        <v>1299</v>
      </c>
      <c r="J35" s="49" t="s">
        <v>438</v>
      </c>
      <c r="K35" s="49" t="s">
        <v>1449</v>
      </c>
      <c r="L35" s="64"/>
      <c r="M35" s="266"/>
      <c r="N35" s="64"/>
      <c r="O35" s="64"/>
      <c r="P35" s="57"/>
      <c r="Q35" s="60"/>
      <c r="R35" s="61"/>
      <c r="S35" s="61"/>
      <c r="T35" s="56"/>
      <c r="U35" s="61"/>
      <c r="V35" s="63"/>
      <c r="W35" s="64"/>
      <c r="X35" s="64"/>
      <c r="Y35" s="64"/>
      <c r="Z35" s="213"/>
      <c r="AA35" s="72"/>
      <c r="AB35" s="64"/>
      <c r="AC35" s="73"/>
      <c r="AD35" s="73"/>
      <c r="AE35" s="73"/>
      <c r="AF35" s="66"/>
      <c r="AG35" s="56"/>
      <c r="AH35" s="56"/>
      <c r="AI35" s="56"/>
      <c r="AJ35" s="56"/>
      <c r="AK35" s="57"/>
      <c r="AL35" s="58"/>
      <c r="AM35" s="58"/>
      <c r="AN35" s="138" t="s">
        <v>860</v>
      </c>
      <c r="AO35" s="57"/>
      <c r="AP35" s="60"/>
      <c r="AQ35" s="95" t="s">
        <v>861</v>
      </c>
      <c r="AR35" s="61"/>
      <c r="AS35" s="61"/>
      <c r="AT35" s="61"/>
      <c r="AU35" s="63"/>
      <c r="AV35" s="64"/>
      <c r="AW35" s="64"/>
      <c r="AX35" s="64"/>
      <c r="AY35" s="64"/>
      <c r="AZ35" s="72"/>
      <c r="BA35" s="73"/>
      <c r="BB35" s="73"/>
      <c r="BC35" s="73"/>
      <c r="BD35" s="73"/>
      <c r="BE35" s="66"/>
      <c r="BF35" s="56"/>
      <c r="BG35" s="56"/>
      <c r="BH35" s="56"/>
      <c r="BI35" s="56"/>
      <c r="BJ35" s="57"/>
      <c r="BK35" s="58"/>
      <c r="BL35" s="58"/>
      <c r="BM35" s="58"/>
      <c r="BN35" s="57"/>
      <c r="BO35" s="60"/>
      <c r="BP35" s="61"/>
      <c r="BQ35" s="61"/>
      <c r="BR35" s="61"/>
      <c r="BS35" s="61"/>
      <c r="BT35" s="74"/>
    </row>
    <row r="36" spans="2:72" ht="45">
      <c r="B36" s="47" t="s">
        <v>864</v>
      </c>
      <c r="C36" s="48" t="s">
        <v>1450</v>
      </c>
      <c r="D36" s="49" t="s">
        <v>1025</v>
      </c>
      <c r="E36" s="70" t="s">
        <v>1026</v>
      </c>
      <c r="F36" s="273">
        <v>45474</v>
      </c>
      <c r="G36" s="273">
        <v>45495</v>
      </c>
      <c r="H36" s="273">
        <v>45505</v>
      </c>
      <c r="I36" s="273" t="s">
        <v>1299</v>
      </c>
      <c r="J36" s="49" t="s">
        <v>463</v>
      </c>
      <c r="K36" s="49" t="s">
        <v>1441</v>
      </c>
      <c r="L36" s="64"/>
      <c r="M36" s="266"/>
      <c r="N36" s="64"/>
      <c r="O36" s="64"/>
      <c r="P36" s="57"/>
      <c r="Q36" s="60"/>
      <c r="R36" s="61"/>
      <c r="S36" s="61"/>
      <c r="T36" s="56"/>
      <c r="U36" s="61"/>
      <c r="V36" s="63"/>
      <c r="W36" s="64"/>
      <c r="X36" s="64"/>
      <c r="Y36" s="64"/>
      <c r="Z36" s="213"/>
      <c r="AA36" s="72"/>
      <c r="AB36" s="64"/>
      <c r="AC36" s="73"/>
      <c r="AD36" s="73"/>
      <c r="AE36" s="73"/>
      <c r="AF36" s="66"/>
      <c r="AG36" s="56"/>
      <c r="AH36" s="56"/>
      <c r="AI36" s="56"/>
      <c r="AJ36" s="56"/>
      <c r="AK36" s="57"/>
      <c r="AL36" s="58"/>
      <c r="AM36" s="58"/>
      <c r="AN36" s="58"/>
      <c r="AO36" s="64"/>
      <c r="AP36" s="303" t="s">
        <v>860</v>
      </c>
      <c r="AQ36" s="61"/>
      <c r="AR36" s="61"/>
      <c r="AS36" s="139" t="s">
        <v>861</v>
      </c>
      <c r="AT36" s="61"/>
      <c r="AU36" s="63"/>
      <c r="AV36" s="64"/>
      <c r="AW36" s="64"/>
      <c r="AX36" s="64"/>
      <c r="AY36" s="64"/>
      <c r="AZ36" s="72"/>
      <c r="BA36" s="73"/>
      <c r="BB36" s="73"/>
      <c r="BC36" s="73"/>
      <c r="BD36" s="73"/>
      <c r="BE36" s="66"/>
      <c r="BF36" s="56"/>
      <c r="BG36" s="56"/>
      <c r="BH36" s="56"/>
      <c r="BI36" s="56"/>
      <c r="BJ36" s="57"/>
      <c r="BK36" s="58"/>
      <c r="BL36" s="58"/>
      <c r="BM36" s="58"/>
      <c r="BN36" s="57"/>
      <c r="BO36" s="60"/>
      <c r="BP36" s="61"/>
      <c r="BQ36" s="61"/>
      <c r="BR36" s="61"/>
      <c r="BS36" s="61"/>
      <c r="BT36" s="74"/>
    </row>
    <row r="37" spans="2:72" ht="30" customHeight="1">
      <c r="B37" s="47" t="s">
        <v>864</v>
      </c>
      <c r="C37" s="48" t="s">
        <v>1450</v>
      </c>
      <c r="D37" s="49" t="s">
        <v>1027</v>
      </c>
      <c r="E37" s="70" t="s">
        <v>1028</v>
      </c>
      <c r="F37" s="273">
        <v>45474</v>
      </c>
      <c r="G37" s="273">
        <v>45495</v>
      </c>
      <c r="H37" s="273">
        <v>45505</v>
      </c>
      <c r="I37" s="273" t="s">
        <v>1299</v>
      </c>
      <c r="J37" s="49" t="s">
        <v>463</v>
      </c>
      <c r="K37" s="49" t="s">
        <v>1441</v>
      </c>
      <c r="L37" s="64"/>
      <c r="M37" s="266"/>
      <c r="N37" s="64"/>
      <c r="O37" s="64"/>
      <c r="P37" s="57"/>
      <c r="Q37" s="60"/>
      <c r="R37" s="61"/>
      <c r="S37" s="61"/>
      <c r="T37" s="56"/>
      <c r="U37" s="61"/>
      <c r="V37" s="63"/>
      <c r="W37" s="64"/>
      <c r="X37" s="64"/>
      <c r="Y37" s="64"/>
      <c r="Z37" s="213"/>
      <c r="AA37" s="72"/>
      <c r="AB37" s="64"/>
      <c r="AC37" s="73"/>
      <c r="AD37" s="73"/>
      <c r="AE37" s="73"/>
      <c r="AF37" s="66"/>
      <c r="AG37" s="56"/>
      <c r="AH37" s="56"/>
      <c r="AI37" s="56"/>
      <c r="AJ37" s="56"/>
      <c r="AK37" s="57"/>
      <c r="AL37" s="58"/>
      <c r="AM37" s="58"/>
      <c r="AN37" s="58"/>
      <c r="AO37" s="64"/>
      <c r="AP37" s="303" t="s">
        <v>860</v>
      </c>
      <c r="AQ37" s="61"/>
      <c r="AR37" s="61"/>
      <c r="AS37" s="139" t="s">
        <v>861</v>
      </c>
      <c r="AT37" s="61"/>
      <c r="AU37" s="63"/>
      <c r="AV37" s="64"/>
      <c r="AW37" s="64"/>
      <c r="AX37" s="64"/>
      <c r="AY37" s="64"/>
      <c r="AZ37" s="72"/>
      <c r="BA37" s="73"/>
      <c r="BB37" s="73"/>
      <c r="BC37" s="73"/>
      <c r="BD37" s="73"/>
      <c r="BE37" s="66"/>
      <c r="BF37" s="56"/>
      <c r="BG37" s="56"/>
      <c r="BH37" s="56"/>
      <c r="BI37" s="56"/>
      <c r="BJ37" s="57"/>
      <c r="BK37" s="58"/>
      <c r="BL37" s="58"/>
      <c r="BM37" s="58"/>
      <c r="BN37" s="57"/>
      <c r="BO37" s="60"/>
      <c r="BP37" s="61"/>
      <c r="BQ37" s="61"/>
      <c r="BR37" s="61"/>
      <c r="BS37" s="61"/>
      <c r="BT37" s="74"/>
    </row>
    <row r="38" spans="2:72" ht="30" customHeight="1">
      <c r="B38" s="47" t="s">
        <v>864</v>
      </c>
      <c r="C38" s="48" t="s">
        <v>1304</v>
      </c>
      <c r="D38" s="49" t="s">
        <v>995</v>
      </c>
      <c r="E38" s="70" t="s">
        <v>996</v>
      </c>
      <c r="F38" s="273" t="s">
        <v>1299</v>
      </c>
      <c r="G38" s="273">
        <v>45467</v>
      </c>
      <c r="H38" s="273">
        <v>45485</v>
      </c>
      <c r="I38" s="273" t="s">
        <v>1299</v>
      </c>
      <c r="J38" s="49" t="s">
        <v>463</v>
      </c>
      <c r="K38" s="49" t="s">
        <v>1441</v>
      </c>
      <c r="L38" s="64"/>
      <c r="M38" s="266"/>
      <c r="N38" s="64"/>
      <c r="O38" s="64"/>
      <c r="P38" s="57"/>
      <c r="Q38" s="60"/>
      <c r="R38" s="61"/>
      <c r="S38" s="61"/>
      <c r="T38" s="56"/>
      <c r="U38" s="61"/>
      <c r="V38" s="63"/>
      <c r="W38" s="64"/>
      <c r="X38" s="64"/>
      <c r="Y38" s="64"/>
      <c r="Z38" s="213"/>
      <c r="AA38" s="72"/>
      <c r="AB38" s="64"/>
      <c r="AC38" s="73"/>
      <c r="AD38" s="73"/>
      <c r="AE38" s="73"/>
      <c r="AF38" s="66"/>
      <c r="AG38" s="56"/>
      <c r="AH38" s="56"/>
      <c r="AI38" s="56"/>
      <c r="AJ38" s="56"/>
      <c r="AK38" s="57"/>
      <c r="AL38" s="58"/>
      <c r="AM38" s="58"/>
      <c r="AN38" s="58"/>
      <c r="AO38" s="95" t="s">
        <v>861</v>
      </c>
      <c r="AP38" s="60"/>
      <c r="AQ38" s="61"/>
      <c r="AR38" s="61"/>
      <c r="AS38" s="61"/>
      <c r="AT38" s="61"/>
      <c r="AU38" s="63"/>
      <c r="AV38" s="64"/>
      <c r="AW38" s="64"/>
      <c r="AX38" s="64"/>
      <c r="AY38" s="64"/>
      <c r="AZ38" s="72"/>
      <c r="BA38" s="73"/>
      <c r="BB38" s="73"/>
      <c r="BC38" s="73"/>
      <c r="BD38" s="73"/>
      <c r="BE38" s="66"/>
      <c r="BF38" s="56"/>
      <c r="BG38" s="56"/>
      <c r="BH38" s="56"/>
      <c r="BI38" s="56"/>
      <c r="BJ38" s="57"/>
      <c r="BK38" s="58"/>
      <c r="BL38" s="58"/>
      <c r="BM38" s="58"/>
      <c r="BN38" s="57"/>
      <c r="BO38" s="60"/>
      <c r="BP38" s="61"/>
      <c r="BQ38" s="61"/>
      <c r="BR38" s="61"/>
      <c r="BS38" s="61"/>
      <c r="BT38" s="74"/>
    </row>
    <row r="39" spans="2:72" ht="30" customHeight="1">
      <c r="B39" s="47" t="s">
        <v>864</v>
      </c>
      <c r="C39" s="48" t="s">
        <v>1304</v>
      </c>
      <c r="D39" s="49" t="s">
        <v>997</v>
      </c>
      <c r="E39" s="70" t="s">
        <v>998</v>
      </c>
      <c r="F39" s="273" t="s">
        <v>1299</v>
      </c>
      <c r="G39" s="273">
        <v>45467</v>
      </c>
      <c r="H39" s="273">
        <v>45485</v>
      </c>
      <c r="I39" s="273" t="s">
        <v>1299</v>
      </c>
      <c r="J39" s="49" t="s">
        <v>463</v>
      </c>
      <c r="K39" s="49" t="s">
        <v>1441</v>
      </c>
      <c r="L39" s="64"/>
      <c r="M39" s="266"/>
      <c r="N39" s="64"/>
      <c r="O39" s="64"/>
      <c r="P39" s="57"/>
      <c r="Q39" s="60"/>
      <c r="R39" s="61"/>
      <c r="S39" s="61"/>
      <c r="T39" s="56"/>
      <c r="U39" s="61"/>
      <c r="V39" s="63"/>
      <c r="W39" s="64"/>
      <c r="X39" s="64"/>
      <c r="Y39" s="64"/>
      <c r="Z39" s="213"/>
      <c r="AA39" s="72"/>
      <c r="AB39" s="64"/>
      <c r="AC39" s="73"/>
      <c r="AD39" s="73"/>
      <c r="AE39" s="73"/>
      <c r="AF39" s="66"/>
      <c r="AG39" s="56"/>
      <c r="AH39" s="56"/>
      <c r="AI39" s="56"/>
      <c r="AJ39" s="56"/>
      <c r="AK39" s="57"/>
      <c r="AL39" s="58"/>
      <c r="AM39" s="58"/>
      <c r="AN39" s="58"/>
      <c r="AO39" s="95" t="s">
        <v>861</v>
      </c>
      <c r="AP39" s="60"/>
      <c r="AQ39" s="61"/>
      <c r="AR39" s="61"/>
      <c r="AS39" s="61"/>
      <c r="AT39" s="61"/>
      <c r="AU39" s="63"/>
      <c r="AV39" s="64"/>
      <c r="AW39" s="64"/>
      <c r="AX39" s="64"/>
      <c r="AY39" s="64"/>
      <c r="AZ39" s="72"/>
      <c r="BA39" s="73"/>
      <c r="BB39" s="73"/>
      <c r="BC39" s="73"/>
      <c r="BD39" s="73"/>
      <c r="BE39" s="66"/>
      <c r="BF39" s="56"/>
      <c r="BG39" s="56"/>
      <c r="BH39" s="56"/>
      <c r="BI39" s="56"/>
      <c r="BJ39" s="57"/>
      <c r="BK39" s="58"/>
      <c r="BL39" s="58"/>
      <c r="BM39" s="58"/>
      <c r="BN39" s="57"/>
      <c r="BO39" s="60"/>
      <c r="BP39" s="61"/>
      <c r="BQ39" s="61"/>
      <c r="BR39" s="61"/>
      <c r="BS39" s="61"/>
      <c r="BT39" s="74"/>
    </row>
    <row r="40" spans="2:72" ht="45">
      <c r="B40" s="47" t="s">
        <v>864</v>
      </c>
      <c r="C40" s="48" t="s">
        <v>1304</v>
      </c>
      <c r="D40" s="49" t="s">
        <v>999</v>
      </c>
      <c r="E40" s="70" t="s">
        <v>1000</v>
      </c>
      <c r="F40" s="273" t="s">
        <v>1299</v>
      </c>
      <c r="G40" s="273">
        <v>45467</v>
      </c>
      <c r="H40" s="273">
        <v>45485</v>
      </c>
      <c r="I40" s="273" t="s">
        <v>1299</v>
      </c>
      <c r="J40" s="49" t="s">
        <v>463</v>
      </c>
      <c r="K40" s="49" t="s">
        <v>1441</v>
      </c>
      <c r="L40" s="64"/>
      <c r="M40" s="266"/>
      <c r="N40" s="64"/>
      <c r="O40" s="64"/>
      <c r="P40" s="57"/>
      <c r="Q40" s="60"/>
      <c r="R40" s="61"/>
      <c r="S40" s="61"/>
      <c r="T40" s="56"/>
      <c r="U40" s="61"/>
      <c r="V40" s="63"/>
      <c r="W40" s="64"/>
      <c r="X40" s="64"/>
      <c r="Y40" s="64"/>
      <c r="Z40" s="213"/>
      <c r="AA40" s="72"/>
      <c r="AB40" s="64"/>
      <c r="AC40" s="73"/>
      <c r="AD40" s="73"/>
      <c r="AE40" s="73"/>
      <c r="AF40" s="66"/>
      <c r="AG40" s="56"/>
      <c r="AH40" s="56"/>
      <c r="AI40" s="56"/>
      <c r="AJ40" s="56"/>
      <c r="AK40" s="57"/>
      <c r="AL40" s="58"/>
      <c r="AM40" s="58"/>
      <c r="AN40" s="61"/>
      <c r="AO40" s="296" t="s">
        <v>861</v>
      </c>
      <c r="AP40" s="60"/>
      <c r="AQ40" s="64"/>
      <c r="AR40" s="61"/>
      <c r="AS40" s="61"/>
      <c r="AT40" s="61"/>
      <c r="AU40" s="63"/>
      <c r="AV40" s="64"/>
      <c r="AW40" s="64"/>
      <c r="AX40" s="64"/>
      <c r="AY40" s="64"/>
      <c r="AZ40" s="72"/>
      <c r="BA40" s="73"/>
      <c r="BB40" s="73"/>
      <c r="BC40" s="73"/>
      <c r="BD40" s="73"/>
      <c r="BE40" s="66"/>
      <c r="BF40" s="56"/>
      <c r="BG40" s="56"/>
      <c r="BH40" s="56"/>
      <c r="BI40" s="56"/>
      <c r="BJ40" s="57"/>
      <c r="BK40" s="58"/>
      <c r="BL40" s="58"/>
      <c r="BM40" s="58"/>
      <c r="BN40" s="57"/>
      <c r="BO40" s="60"/>
      <c r="BP40" s="61"/>
      <c r="BQ40" s="61"/>
      <c r="BR40" s="61"/>
      <c r="BS40" s="61"/>
      <c r="BT40" s="74"/>
    </row>
    <row r="41" spans="2:72" ht="45">
      <c r="B41" s="47" t="s">
        <v>864</v>
      </c>
      <c r="C41" s="48" t="s">
        <v>1071</v>
      </c>
      <c r="D41" s="49" t="s">
        <v>1001</v>
      </c>
      <c r="E41" s="70" t="s">
        <v>1002</v>
      </c>
      <c r="F41" s="273" t="s">
        <v>1299</v>
      </c>
      <c r="G41" s="273">
        <v>45467</v>
      </c>
      <c r="H41" s="273">
        <v>45485</v>
      </c>
      <c r="I41" s="273" t="s">
        <v>1299</v>
      </c>
      <c r="J41" s="49" t="s">
        <v>463</v>
      </c>
      <c r="K41" s="49" t="s">
        <v>1441</v>
      </c>
      <c r="L41" s="64"/>
      <c r="M41" s="266"/>
      <c r="N41" s="64"/>
      <c r="O41" s="64"/>
      <c r="P41" s="57"/>
      <c r="Q41" s="60"/>
      <c r="R41" s="61"/>
      <c r="S41" s="61"/>
      <c r="T41" s="56"/>
      <c r="U41" s="61"/>
      <c r="V41" s="63"/>
      <c r="W41" s="64"/>
      <c r="X41" s="64"/>
      <c r="Y41" s="64"/>
      <c r="Z41" s="213"/>
      <c r="AA41" s="72"/>
      <c r="AB41" s="64"/>
      <c r="AC41" s="73"/>
      <c r="AD41" s="73"/>
      <c r="AE41" s="73"/>
      <c r="AF41" s="66"/>
      <c r="AG41" s="56"/>
      <c r="AH41" s="56"/>
      <c r="AI41" s="56"/>
      <c r="AJ41" s="56"/>
      <c r="AK41" s="57"/>
      <c r="AL41" s="58"/>
      <c r="AM41" s="58"/>
      <c r="AN41" s="61"/>
      <c r="AO41" s="296" t="s">
        <v>861</v>
      </c>
      <c r="AP41" s="60"/>
      <c r="AQ41" s="64"/>
      <c r="AR41" s="61"/>
      <c r="AS41" s="61"/>
      <c r="AT41" s="61"/>
      <c r="AU41" s="63"/>
      <c r="AV41" s="64"/>
      <c r="AW41" s="64"/>
      <c r="AX41" s="64"/>
      <c r="AY41" s="64"/>
      <c r="AZ41" s="72"/>
      <c r="BA41" s="73"/>
      <c r="BB41" s="73"/>
      <c r="BC41" s="73"/>
      <c r="BD41" s="73"/>
      <c r="BE41" s="66"/>
      <c r="BF41" s="56"/>
      <c r="BG41" s="56"/>
      <c r="BH41" s="56"/>
      <c r="BI41" s="56"/>
      <c r="BJ41" s="57"/>
      <c r="BK41" s="58"/>
      <c r="BL41" s="58"/>
      <c r="BM41" s="58"/>
      <c r="BN41" s="57"/>
      <c r="BO41" s="60"/>
      <c r="BP41" s="61"/>
      <c r="BQ41" s="61"/>
      <c r="BR41" s="61"/>
      <c r="BS41" s="61"/>
      <c r="BT41" s="74"/>
    </row>
    <row r="42" spans="2:72" ht="45">
      <c r="B42" s="47" t="s">
        <v>864</v>
      </c>
      <c r="C42" s="48" t="s">
        <v>1071</v>
      </c>
      <c r="D42" s="49" t="s">
        <v>1029</v>
      </c>
      <c r="E42" s="70" t="s">
        <v>1030</v>
      </c>
      <c r="F42" s="273"/>
      <c r="G42" s="273"/>
      <c r="H42" s="273"/>
      <c r="I42" s="273"/>
      <c r="J42" s="49" t="s">
        <v>463</v>
      </c>
      <c r="K42" s="49" t="s">
        <v>1441</v>
      </c>
      <c r="L42" s="64"/>
      <c r="M42" s="266"/>
      <c r="N42" s="64"/>
      <c r="O42" s="64"/>
      <c r="P42" s="57"/>
      <c r="Q42" s="60"/>
      <c r="R42" s="61"/>
      <c r="S42" s="61"/>
      <c r="T42" s="56"/>
      <c r="U42" s="61"/>
      <c r="V42" s="63"/>
      <c r="W42" s="64"/>
      <c r="X42" s="64"/>
      <c r="Y42" s="64"/>
      <c r="Z42" s="213"/>
      <c r="AA42" s="72"/>
      <c r="AB42" s="64"/>
      <c r="AC42" s="73"/>
      <c r="AD42" s="73"/>
      <c r="AE42" s="73"/>
      <c r="AF42" s="66"/>
      <c r="AG42" s="56"/>
      <c r="AH42" s="56"/>
      <c r="AI42" s="56"/>
      <c r="AJ42" s="56"/>
      <c r="AK42" s="57"/>
      <c r="AL42" s="58"/>
      <c r="AM42" s="58"/>
      <c r="AN42" s="58"/>
      <c r="AO42" s="57"/>
      <c r="AP42" s="60"/>
      <c r="AQ42" s="61"/>
      <c r="AR42" s="61"/>
      <c r="AS42" s="61"/>
      <c r="AT42" s="61"/>
      <c r="AU42" s="63"/>
      <c r="AV42" s="64"/>
      <c r="AW42" s="64"/>
      <c r="AX42" s="64"/>
      <c r="AY42" s="64"/>
      <c r="AZ42" s="72"/>
      <c r="BA42" s="73"/>
      <c r="BB42" s="73"/>
      <c r="BC42" s="73"/>
      <c r="BD42" s="73"/>
      <c r="BE42" s="66"/>
      <c r="BF42" s="56"/>
      <c r="BG42" s="56"/>
      <c r="BH42" s="56"/>
      <c r="BI42" s="56"/>
      <c r="BJ42" s="57"/>
      <c r="BK42" s="58"/>
      <c r="BL42" s="58"/>
      <c r="BM42" s="58"/>
      <c r="BN42" s="57"/>
      <c r="BO42" s="60"/>
      <c r="BP42" s="61"/>
      <c r="BQ42" s="61"/>
      <c r="BR42" s="61"/>
      <c r="BS42" s="61"/>
      <c r="BT42" s="74"/>
    </row>
  </sheetData>
  <sheetProtection algorithmName="SHA-512" hashValue="xZTOFhgjIx4XNSCYd4tu+l4jbtcoX+0E0s6dDtsIW1qwGshZpER5dN99sv2zWJgrNddvdgmAxKz5hQsb0qh0Fw==" saltValue="0fS0FrLBm7J5Ile5cVwjyg==" spinCount="100000" sheet="1" sort="0" autoFilter="0"/>
  <autoFilter ref="B17:BS42" xr:uid="{99E5E6F7-8B21-4AE6-ACEF-3E1D0C8CF839}">
    <sortState xmlns:xlrd2="http://schemas.microsoft.com/office/spreadsheetml/2017/richdata2" ref="B18:BS42">
      <sortCondition ref="F17:F42"/>
    </sortState>
  </autoFilter>
  <mergeCells count="23">
    <mergeCell ref="BT16:BT17"/>
    <mergeCell ref="AP16:AT16"/>
    <mergeCell ref="AU16:AY16"/>
    <mergeCell ref="AZ16:BD16"/>
    <mergeCell ref="BE16:BI16"/>
    <mergeCell ref="BJ16:BN16"/>
    <mergeCell ref="BO16:BS16"/>
    <mergeCell ref="AK16:AO16"/>
    <mergeCell ref="E9:K9"/>
    <mergeCell ref="E10:K10"/>
    <mergeCell ref="E11:K11"/>
    <mergeCell ref="E12:K12"/>
    <mergeCell ref="L16:P16"/>
    <mergeCell ref="Q16:U16"/>
    <mergeCell ref="V16:Z16"/>
    <mergeCell ref="AA16:AE16"/>
    <mergeCell ref="AF16:AJ16"/>
    <mergeCell ref="E8:K8"/>
    <mergeCell ref="E3:K3"/>
    <mergeCell ref="E4:K4"/>
    <mergeCell ref="E5:K5"/>
    <mergeCell ref="E6:K6"/>
    <mergeCell ref="E7:K7"/>
  </mergeCells>
  <phoneticPr fontId="29" type="noConversion"/>
  <conditionalFormatting sqref="L18:L42">
    <cfRule type="expression" dxfId="761" priority="256">
      <formula>(TEXT(TODAY(),"aaaa"))="Wednesday"</formula>
    </cfRule>
    <cfRule type="iconSet" priority="7104">
      <iconSet iconSet="3Symbols2" showValue="0">
        <cfvo type="percent" val="0"/>
        <cfvo type="percent" val="33"/>
        <cfvo type="percent" val="67"/>
      </iconSet>
    </cfRule>
  </conditionalFormatting>
  <conditionalFormatting sqref="L18:M42">
    <cfRule type="expression" dxfId="760" priority="254">
      <formula>(TEXT(TODAY(),"aaaa"))="Monday"</formula>
    </cfRule>
  </conditionalFormatting>
  <conditionalFormatting sqref="L18:BS42">
    <cfRule type="cellIs" dxfId="759" priority="63" operator="equal">
      <formula>"✖"</formula>
    </cfRule>
    <cfRule type="cellIs" dxfId="758" priority="62" operator="equal">
      <formula>"✔"</formula>
    </cfRule>
  </conditionalFormatting>
  <conditionalFormatting sqref="N18:O42">
    <cfRule type="iconSet" priority="7128">
      <iconSet iconSet="3Symbols2" showValue="0">
        <cfvo type="percent" val="0"/>
        <cfvo type="percent" val="33"/>
        <cfvo type="percent" val="67"/>
      </iconSet>
    </cfRule>
    <cfRule type="expression" dxfId="757" priority="112">
      <formula>(TEXT(TODAY(),"aaaa"))="Wednesday"</formula>
    </cfRule>
  </conditionalFormatting>
  <conditionalFormatting sqref="P18:P42">
    <cfRule type="expression" dxfId="756" priority="310">
      <formula>(TEXT(TODAY(),"aaaa"))="Monday"</formula>
    </cfRule>
  </conditionalFormatting>
  <conditionalFormatting sqref="Q18:S42 U18:U42 AP18:AT42 BO18:BS42">
    <cfRule type="expression" dxfId="755" priority="579">
      <formula>(TEXT(TODAY(),"aaaa"))="Tuesday"</formula>
    </cfRule>
  </conditionalFormatting>
  <conditionalFormatting sqref="T18:T42">
    <cfRule type="iconSet" priority="7131">
      <iconSet iconSet="3Symbols2" showValue="0">
        <cfvo type="percent" val="0"/>
        <cfvo type="percent" val="33"/>
        <cfvo type="percent" val="67"/>
      </iconSet>
    </cfRule>
    <cfRule type="expression" dxfId="754" priority="108">
      <formula>(TEXT(TODAY(),"aaaa"))="Friday"</formula>
    </cfRule>
  </conditionalFormatting>
  <conditionalFormatting sqref="V18:Z42">
    <cfRule type="expression" dxfId="753" priority="264">
      <formula>(TEXT(TODAY(),"aaaa"))="Wednesday"</formula>
    </cfRule>
  </conditionalFormatting>
  <conditionalFormatting sqref="Z18:Z23">
    <cfRule type="iconSet" priority="97">
      <iconSet iconSet="3Symbols2" showValue="0">
        <cfvo type="percent" val="0"/>
        <cfvo type="percent" val="33"/>
        <cfvo type="percent" val="67"/>
      </iconSet>
    </cfRule>
    <cfRule type="expression" dxfId="752" priority="96">
      <formula>(TEXT(TODAY(),"aaaa"))="Tuesday"</formula>
    </cfRule>
  </conditionalFormatting>
  <conditionalFormatting sqref="Z18:Z42">
    <cfRule type="iconSet" priority="7101">
      <iconSet iconSet="3Symbols2" showValue="0">
        <cfvo type="percent" val="0"/>
        <cfvo type="percent" val="33"/>
        <cfvo type="percent" val="67"/>
      </iconSet>
    </cfRule>
  </conditionalFormatting>
  <conditionalFormatting sqref="AB18:AB42">
    <cfRule type="expression" dxfId="751" priority="195">
      <formula>(TEXT(TODAY(),"aaaa"))="Wednesday"</formula>
    </cfRule>
    <cfRule type="iconSet" priority="194">
      <iconSet iconSet="3Symbols2" showValue="0">
        <cfvo type="percent" val="0"/>
        <cfvo type="percent" val="33"/>
        <cfvo type="percent" val="67"/>
      </iconSet>
    </cfRule>
  </conditionalFormatting>
  <conditionalFormatting sqref="AC18">
    <cfRule type="iconSet" priority="59">
      <iconSet iconSet="3Symbols2" showValue="0">
        <cfvo type="percent" val="0"/>
        <cfvo type="percent" val="33"/>
        <cfvo type="percent" val="67"/>
      </iconSet>
    </cfRule>
  </conditionalFormatting>
  <conditionalFormatting sqref="AC18:AC23">
    <cfRule type="iconSet" priority="57">
      <iconSet iconSet="3Symbols2" showValue="0">
        <cfvo type="percent" val="0"/>
        <cfvo type="percent" val="33"/>
        <cfvo type="percent" val="67"/>
      </iconSet>
    </cfRule>
    <cfRule type="expression" dxfId="750" priority="56">
      <formula>(TEXT(TODAY(),"aaaa"))="Tuesday"</formula>
    </cfRule>
    <cfRule type="iconSet" priority="93">
      <iconSet iconSet="3Symbols2" showValue="0">
        <cfvo type="percent" val="0"/>
        <cfvo type="percent" val="33"/>
        <cfvo type="percent" val="67"/>
      </iconSet>
    </cfRule>
    <cfRule type="expression" dxfId="749" priority="92">
      <formula>(TEXT(TODAY(),"aaaa"))="Wednesday"</formula>
    </cfRule>
  </conditionalFormatting>
  <conditionalFormatting sqref="AC42:BS42 L18:M42 U18:Y42 P18:S42 AA18:AA42 AC24:AD28 AF24:AI28 AL29:BS30 AJ29:AJ30 AC29:AH35 AJ31:AM35 AK40:AM41 AO40:BS41 AD18:BS23 AE24:AE29 AO31:BS35 AC36:AJ41 AK36:BS39 AK24:BS28">
    <cfRule type="iconSet" priority="7107">
      <iconSet iconSet="3Symbols2" showValue="0">
        <cfvo type="percent" val="0"/>
        <cfvo type="percent" val="33"/>
        <cfvo type="percent" val="67"/>
      </iconSet>
    </cfRule>
  </conditionalFormatting>
  <conditionalFormatting sqref="AD18:AE23 AA18:AA42 AC24:AD28 AE24:AE29 AC29:AE42">
    <cfRule type="expression" dxfId="748" priority="210">
      <formula>(TEXT(TODAY(),"aaaa"))="Thursday"</formula>
    </cfRule>
  </conditionalFormatting>
  <conditionalFormatting sqref="AE24:AE28">
    <cfRule type="iconSet" priority="89">
      <iconSet iconSet="3Symbols2" showValue="0">
        <cfvo type="percent" val="0"/>
        <cfvo type="percent" val="33"/>
        <cfvo type="percent" val="67"/>
      </iconSet>
    </cfRule>
    <cfRule type="expression" dxfId="747" priority="88">
      <formula>(TEXT(TODAY(),"aaaa"))="Tuesday"</formula>
    </cfRule>
  </conditionalFormatting>
  <conditionalFormatting sqref="AF18:AJ23 AF24:AI28">
    <cfRule type="expression" dxfId="746" priority="207">
      <formula>(TEXT(TODAY(),"aaaa"))="Friday"</formula>
    </cfRule>
  </conditionalFormatting>
  <conditionalFormatting sqref="AF29:AJ42">
    <cfRule type="expression" dxfId="745" priority="40">
      <formula>(TEXT(TODAY(),"aaaa"))="Friday"</formula>
    </cfRule>
  </conditionalFormatting>
  <conditionalFormatting sqref="AH18:AH23">
    <cfRule type="expression" dxfId="744" priority="48">
      <formula>(TEXT(TODAY(),"aaaa"))="Wednesday"</formula>
    </cfRule>
    <cfRule type="iconSet" priority="55">
      <iconSet iconSet="3Symbols2" showValue="0">
        <cfvo type="percent" val="0"/>
        <cfvo type="percent" val="33"/>
        <cfvo type="percent" val="67"/>
      </iconSet>
    </cfRule>
  </conditionalFormatting>
  <conditionalFormatting sqref="AH21">
    <cfRule type="iconSet" priority="49">
      <iconSet iconSet="3Symbols2" showValue="0">
        <cfvo type="percent" val="0"/>
        <cfvo type="percent" val="33"/>
        <cfvo type="percent" val="67"/>
      </iconSet>
    </cfRule>
  </conditionalFormatting>
  <conditionalFormatting sqref="AI29:AI35">
    <cfRule type="iconSet" priority="81">
      <iconSet iconSet="3Symbols2" showValue="0">
        <cfvo type="percent" val="0"/>
        <cfvo type="percent" val="33"/>
        <cfvo type="percent" val="67"/>
      </iconSet>
    </cfRule>
    <cfRule type="expression" dxfId="743" priority="80">
      <formula>(TEXT(TODAY(),"aaaa"))="Tuesday"</formula>
    </cfRule>
    <cfRule type="iconSet" priority="41">
      <iconSet iconSet="3Symbols2" showValue="0">
        <cfvo type="percent" val="0"/>
        <cfvo type="percent" val="33"/>
        <cfvo type="percent" val="67"/>
      </iconSet>
    </cfRule>
  </conditionalFormatting>
  <conditionalFormatting sqref="AJ24:AJ28">
    <cfRule type="iconSet" priority="53">
      <iconSet iconSet="3Symbols2" showValue="0">
        <cfvo type="percent" val="0"/>
        <cfvo type="percent" val="33"/>
        <cfvo type="percent" val="67"/>
      </iconSet>
    </cfRule>
    <cfRule type="expression" dxfId="742" priority="84">
      <formula>(TEXT(TODAY(),"aaaa"))="Wednesday"</formula>
    </cfRule>
    <cfRule type="iconSet" priority="85">
      <iconSet iconSet="3Symbols2" showValue="0">
        <cfvo type="percent" val="0"/>
        <cfvo type="percent" val="33"/>
        <cfvo type="percent" val="67"/>
      </iconSet>
    </cfRule>
  </conditionalFormatting>
  <conditionalFormatting sqref="AJ24:AJ29">
    <cfRule type="expression" dxfId="741" priority="10">
      <formula>(TEXT(TODAY(),"aaaa"))="Tuesday"</formula>
    </cfRule>
  </conditionalFormatting>
  <conditionalFormatting sqref="AJ25:AJ27">
    <cfRule type="iconSet" priority="13">
      <iconSet iconSet="3Symbols2" showValue="0">
        <cfvo type="percent" val="0"/>
        <cfvo type="percent" val="33"/>
        <cfvo type="percent" val="67"/>
      </iconSet>
    </cfRule>
  </conditionalFormatting>
  <conditionalFormatting sqref="AJ25:AJ29">
    <cfRule type="expression" dxfId="740" priority="12">
      <formula>(TEXT(TODAY(),"aaaa"))="Friday"</formula>
    </cfRule>
  </conditionalFormatting>
  <conditionalFormatting sqref="AJ28:AJ29">
    <cfRule type="iconSet" priority="9">
      <iconSet iconSet="3Symbols2" showValue="0">
        <cfvo type="percent" val="0"/>
        <cfvo type="percent" val="33"/>
        <cfvo type="percent" val="67"/>
      </iconSet>
    </cfRule>
    <cfRule type="iconSet" priority="11">
      <iconSet iconSet="3Symbols2" showValue="0">
        <cfvo type="percent" val="0"/>
        <cfvo type="percent" val="33"/>
        <cfvo type="percent" val="67"/>
      </iconSet>
    </cfRule>
  </conditionalFormatting>
  <conditionalFormatting sqref="AJ36:AJ41">
    <cfRule type="expression" dxfId="739" priority="68">
      <formula>(TEXT(TODAY(),"aaaa"))="Tuesday"</formula>
    </cfRule>
    <cfRule type="iconSet" priority="69">
      <iconSet iconSet="3Symbols2" showValue="0">
        <cfvo type="percent" val="0"/>
        <cfvo type="percent" val="33"/>
        <cfvo type="percent" val="67"/>
      </iconSet>
    </cfRule>
  </conditionalFormatting>
  <conditionalFormatting sqref="AK29:AK30">
    <cfRule type="expression" dxfId="738" priority="76">
      <formula>(TEXT(TODAY(),"aaaa"))="Wednesday"</formula>
    </cfRule>
    <cfRule type="iconSet" priority="77">
      <iconSet iconSet="3Symbols2" showValue="0">
        <cfvo type="percent" val="0"/>
        <cfvo type="percent" val="33"/>
        <cfvo type="percent" val="67"/>
      </iconSet>
    </cfRule>
    <cfRule type="iconSet" priority="47">
      <iconSet iconSet="3Symbols2" showValue="0">
        <cfvo type="percent" val="0"/>
        <cfvo type="percent" val="33"/>
        <cfvo type="percent" val="67"/>
      </iconSet>
    </cfRule>
    <cfRule type="expression" dxfId="737" priority="46">
      <formula>(TEXT(TODAY(),"aaaa"))="Tuesday"</formula>
    </cfRule>
  </conditionalFormatting>
  <conditionalFormatting sqref="AK18:AO28 BJ18:BN42 AL29:AO30 AK31:AM35 AO31:AO35 AK36:AO39 AO37:AO41 AK40:AM41 AK42:AO42">
    <cfRule type="expression" dxfId="736" priority="577">
      <formula>(TEXT(TODAY(),"aaaa"))="Monday"</formula>
    </cfRule>
  </conditionalFormatting>
  <conditionalFormatting sqref="AM25:AM28">
    <cfRule type="expression" dxfId="735" priority="14">
      <formula>(TEXT(TODAY(),"aaaa"))="Tuesday"</formula>
    </cfRule>
    <cfRule type="iconSet" priority="15">
      <iconSet iconSet="3Symbols2" showValue="0">
        <cfvo type="percent" val="0"/>
        <cfvo type="percent" val="33"/>
        <cfvo type="percent" val="67"/>
      </iconSet>
    </cfRule>
    <cfRule type="expression" dxfId="734" priority="16">
      <formula>(TEXT(TODAY(),"aaaa"))="Wednesday"</formula>
    </cfRule>
    <cfRule type="iconSet" priority="17">
      <iconSet iconSet="3Symbols2" showValue="0">
        <cfvo type="percent" val="0"/>
        <cfvo type="percent" val="33"/>
        <cfvo type="percent" val="67"/>
      </iconSet>
    </cfRule>
  </conditionalFormatting>
  <conditionalFormatting sqref="AN24:AN28">
    <cfRule type="expression" dxfId="733" priority="50">
      <formula>(TEXT(TODAY(),"aaaa"))="Wednesday"</formula>
    </cfRule>
    <cfRule type="iconSet" priority="51">
      <iconSet iconSet="3Symbols2" showValue="0">
        <cfvo type="percent" val="0"/>
        <cfvo type="percent" val="33"/>
        <cfvo type="percent" val="67"/>
      </iconSet>
    </cfRule>
  </conditionalFormatting>
  <conditionalFormatting sqref="AN31:AN35">
    <cfRule type="iconSet" priority="39">
      <iconSet iconSet="3Symbols2" showValue="0">
        <cfvo type="percent" val="0"/>
        <cfvo type="percent" val="33"/>
        <cfvo type="percent" val="67"/>
      </iconSet>
    </cfRule>
    <cfRule type="expression" dxfId="732" priority="38">
      <formula>(TEXT(TODAY(),"aaaa"))="Wednesday"</formula>
    </cfRule>
    <cfRule type="iconSet" priority="37">
      <iconSet iconSet="3Symbols2" showValue="0">
        <cfvo type="percent" val="0"/>
        <cfvo type="percent" val="33"/>
        <cfvo type="percent" val="67"/>
      </iconSet>
    </cfRule>
    <cfRule type="expression" dxfId="731" priority="36">
      <formula>(TEXT(TODAY(),"aaaa"))="Tuesday"</formula>
    </cfRule>
    <cfRule type="iconSet" priority="73">
      <iconSet iconSet="3Symbols2" showValue="0">
        <cfvo type="percent" val="0"/>
        <cfvo type="percent" val="33"/>
        <cfvo type="percent" val="67"/>
      </iconSet>
    </cfRule>
  </conditionalFormatting>
  <conditionalFormatting sqref="AN40">
    <cfRule type="iconSet" priority="29">
      <iconSet iconSet="3Symbols2" showValue="0">
        <cfvo type="percent" val="0"/>
        <cfvo type="percent" val="33"/>
        <cfvo type="percent" val="67"/>
      </iconSet>
    </cfRule>
    <cfRule type="iconSet" priority="27">
      <iconSet iconSet="3Symbols2" showValue="0">
        <cfvo type="percent" val="0"/>
        <cfvo type="percent" val="33"/>
        <cfvo type="percent" val="67"/>
      </iconSet>
    </cfRule>
    <cfRule type="iconSet" priority="25">
      <iconSet iconSet="3Symbols2" showValue="0">
        <cfvo type="percent" val="0"/>
        <cfvo type="percent" val="33"/>
        <cfvo type="percent" val="67"/>
      </iconSet>
    </cfRule>
    <cfRule type="iconSet" priority="65">
      <iconSet iconSet="3Symbols2" showValue="0">
        <cfvo type="percent" val="0"/>
        <cfvo type="percent" val="33"/>
        <cfvo type="percent" val="67"/>
      </iconSet>
    </cfRule>
  </conditionalFormatting>
  <conditionalFormatting sqref="AN40:AN41">
    <cfRule type="expression" dxfId="730" priority="18">
      <formula>(TEXT(TODAY(),"aaaa"))="Tuesday"</formula>
    </cfRule>
    <cfRule type="expression" dxfId="729" priority="20">
      <formula>(TEXT(TODAY(),"aaaa"))="Wednesday"</formula>
    </cfRule>
  </conditionalFormatting>
  <conditionalFormatting sqref="AN41">
    <cfRule type="iconSet" priority="23">
      <iconSet iconSet="3Symbols2" showValue="0">
        <cfvo type="percent" val="0"/>
        <cfvo type="percent" val="33"/>
        <cfvo type="percent" val="67"/>
      </iconSet>
    </cfRule>
    <cfRule type="iconSet" priority="21">
      <iconSet iconSet="3Symbols2" showValue="0">
        <cfvo type="percent" val="0"/>
        <cfvo type="percent" val="33"/>
        <cfvo type="percent" val="67"/>
      </iconSet>
    </cfRule>
    <cfRule type="iconSet" priority="19">
      <iconSet iconSet="3Symbols2" showValue="0">
        <cfvo type="percent" val="0"/>
        <cfvo type="percent" val="33"/>
        <cfvo type="percent" val="67"/>
      </iconSet>
    </cfRule>
    <cfRule type="iconSet" priority="61">
      <iconSet iconSet="3Symbols2" showValue="0">
        <cfvo type="percent" val="0"/>
        <cfvo type="percent" val="33"/>
        <cfvo type="percent" val="67"/>
      </iconSet>
    </cfRule>
  </conditionalFormatting>
  <conditionalFormatting sqref="AO36:AO39">
    <cfRule type="iconSet" priority="35">
      <iconSet iconSet="3Symbols2" showValue="0">
        <cfvo type="percent" val="0"/>
        <cfvo type="percent" val="33"/>
        <cfvo type="percent" val="67"/>
      </iconSet>
    </cfRule>
    <cfRule type="expression" dxfId="728" priority="34">
      <formula>(TEXT(TODAY(),"aaaa"))="Wednesday"</formula>
    </cfRule>
  </conditionalFormatting>
  <conditionalFormatting sqref="AP25:AP26">
    <cfRule type="iconSet" priority="2">
      <iconSet iconSet="3Symbols2" showValue="0">
        <cfvo type="percent" val="0"/>
        <cfvo type="percent" val="33"/>
        <cfvo type="percent" val="67"/>
      </iconSet>
    </cfRule>
    <cfRule type="iconSet" priority="4">
      <iconSet iconSet="3Symbols2" showValue="0">
        <cfvo type="percent" val="0"/>
        <cfvo type="percent" val="33"/>
        <cfvo type="percent" val="67"/>
      </iconSet>
    </cfRule>
    <cfRule type="expression" dxfId="727" priority="1">
      <formula>(TEXT(TODAY(),"aaaa"))="Tuesday"</formula>
    </cfRule>
  </conditionalFormatting>
  <conditionalFormatting sqref="AP25:AP28">
    <cfRule type="expression" dxfId="726" priority="3">
      <formula>(TEXT(TODAY(),"aaaa"))="Wednesday"</formula>
    </cfRule>
    <cfRule type="expression" dxfId="725" priority="5">
      <formula>(TEXT(TODAY(),"aaaa"))="Monday"</formula>
    </cfRule>
    <cfRule type="iconSet" priority="7">
      <iconSet iconSet="3Symbols2" showValue="0">
        <cfvo type="percent" val="0"/>
        <cfvo type="percent" val="33"/>
        <cfvo type="percent" val="67"/>
      </iconSet>
    </cfRule>
  </conditionalFormatting>
  <conditionalFormatting sqref="AQ29">
    <cfRule type="iconSet" priority="45">
      <iconSet iconSet="3Symbols2" showValue="0">
        <cfvo type="percent" val="0"/>
        <cfvo type="percent" val="33"/>
        <cfvo type="percent" val="67"/>
      </iconSet>
    </cfRule>
  </conditionalFormatting>
  <conditionalFormatting sqref="AQ29:AQ35">
    <cfRule type="expression" dxfId="724" priority="42">
      <formula>(TEXT(TODAY(),"aaaa"))="Wednesday"</formula>
    </cfRule>
  </conditionalFormatting>
  <conditionalFormatting sqref="AQ30:AQ35">
    <cfRule type="iconSet" priority="43">
      <iconSet iconSet="3Symbols2" showValue="0">
        <cfvo type="percent" val="0"/>
        <cfvo type="percent" val="33"/>
        <cfvo type="percent" val="67"/>
      </iconSet>
    </cfRule>
  </conditionalFormatting>
  <conditionalFormatting sqref="AQ40">
    <cfRule type="iconSet" priority="31">
      <iconSet iconSet="3Symbols2" showValue="0">
        <cfvo type="percent" val="0"/>
        <cfvo type="percent" val="33"/>
        <cfvo type="percent" val="67"/>
      </iconSet>
    </cfRule>
  </conditionalFormatting>
  <conditionalFormatting sqref="AQ40:AQ41">
    <cfRule type="expression" dxfId="723" priority="30">
      <formula>(TEXT(TODAY(),"aaaa"))="Wednesday"</formula>
    </cfRule>
  </conditionalFormatting>
  <conditionalFormatting sqref="AQ41">
    <cfRule type="iconSet" priority="33">
      <iconSet iconSet="3Symbols2" showValue="0">
        <cfvo type="percent" val="0"/>
        <cfvo type="percent" val="33"/>
        <cfvo type="percent" val="67"/>
      </iconSet>
    </cfRule>
  </conditionalFormatting>
  <conditionalFormatting sqref="AU18:AY42">
    <cfRule type="expression" dxfId="722" priority="580">
      <formula>(TEXT(TODAY(),"aaaa"))="Wednesday"</formula>
    </cfRule>
  </conditionalFormatting>
  <conditionalFormatting sqref="AZ18:BD42">
    <cfRule type="expression" dxfId="721" priority="581">
      <formula>(TEXT(TODAY(),"aaaa"))="Thursday"</formula>
    </cfRule>
  </conditionalFormatting>
  <conditionalFormatting sqref="BE18:BI42">
    <cfRule type="expression" dxfId="720" priority="578">
      <formula>(TEXT(TODAY(),"aaaa"))="Friday"</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1A6C-FA7F-4BDB-BA72-E1FD36A03DB4}">
  <dimension ref="B1:BT85"/>
  <sheetViews>
    <sheetView topLeftCell="A2" zoomScale="55" zoomScaleNormal="55" workbookViewId="0">
      <selection activeCell="B41" sqref="B4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6.28515625" style="8" customWidth="1"/>
    <col min="10" max="10" width="15" style="8" customWidth="1"/>
    <col min="11" max="11" width="24" style="8" customWidth="1"/>
    <col min="12" max="12" width="21.7109375" style="9" bestFit="1" customWidth="1"/>
    <col min="13" max="13" width="21.7109375" style="7" customWidth="1"/>
    <col min="14" max="14" width="20.85546875" style="7" bestFit="1" customWidth="1"/>
    <col min="15" max="15" width="17.85546875" style="7" customWidth="1"/>
    <col min="16" max="16" width="20.140625" style="7" bestFit="1" customWidth="1"/>
    <col min="17" max="27" width="17.85546875" style="7" customWidth="1"/>
    <col min="28" max="28" width="19.42578125" style="7" bestFit="1" customWidth="1"/>
    <col min="29" max="29" width="22.42578125" style="7" bestFit="1" customWidth="1"/>
    <col min="30" max="30" width="20.140625" style="7" bestFit="1" customWidth="1"/>
    <col min="31" max="31" width="22.42578125" style="7" bestFit="1" customWidth="1"/>
    <col min="32" max="32" width="21.7109375" style="7" customWidth="1"/>
    <col min="33" max="33" width="17.85546875" style="7" customWidth="1"/>
    <col min="34" max="34" width="21.7109375" style="7" customWidth="1"/>
    <col min="35" max="35" width="23.85546875" style="7" bestFit="1" customWidth="1"/>
    <col min="36" max="37" width="22.42578125" style="7" bestFit="1" customWidth="1"/>
    <col min="38" max="38" width="17.85546875" style="7" customWidth="1"/>
    <col min="39" max="40" width="22.42578125" style="7" bestFit="1" customWidth="1"/>
    <col min="41" max="41" width="17.85546875" style="7" customWidth="1"/>
    <col min="42" max="42" width="22.42578125" style="7" bestFit="1" customWidth="1"/>
    <col min="43" max="43" width="20.7109375" style="7" bestFit="1" customWidth="1"/>
    <col min="44" max="44" width="23.85546875" style="7" bestFit="1" customWidth="1"/>
    <col min="45" max="71" width="17.85546875" style="7" customWidth="1"/>
    <col min="72" max="72" width="29.140625" style="7" customWidth="1"/>
    <col min="73" max="16384" width="10.42578125" style="7"/>
  </cols>
  <sheetData>
    <row r="1" spans="2:72" ht="39.75">
      <c r="B1" s="6" t="s">
        <v>1213</v>
      </c>
      <c r="M1" s="10" t="s">
        <v>1336</v>
      </c>
    </row>
    <row r="2" spans="2:72" ht="39.75">
      <c r="B2" s="6"/>
      <c r="M2" s="10"/>
    </row>
    <row r="3" spans="2:72" ht="18.75" customHeight="1">
      <c r="B3" s="6"/>
      <c r="E3" s="366" t="s">
        <v>0</v>
      </c>
      <c r="F3" s="366"/>
      <c r="G3" s="366"/>
      <c r="H3" s="366"/>
      <c r="I3" s="366"/>
      <c r="J3" s="366"/>
      <c r="K3" s="366"/>
      <c r="L3" s="121"/>
      <c r="M3" s="10"/>
    </row>
    <row r="4" spans="2:72" ht="18.75" customHeight="1">
      <c r="B4" s="6"/>
      <c r="E4" s="365" t="s">
        <v>1214</v>
      </c>
      <c r="F4" s="365"/>
      <c r="G4" s="365"/>
      <c r="H4" s="365"/>
      <c r="I4" s="365"/>
      <c r="J4" s="365"/>
      <c r="K4" s="365"/>
      <c r="M4" s="10"/>
    </row>
    <row r="5" spans="2:72" ht="18.75" customHeight="1">
      <c r="B5" s="6"/>
      <c r="E5" s="365" t="s">
        <v>1215</v>
      </c>
      <c r="F5" s="365"/>
      <c r="G5" s="365"/>
      <c r="H5" s="365"/>
      <c r="I5" s="365"/>
      <c r="J5" s="365"/>
      <c r="K5" s="365"/>
      <c r="M5" s="10"/>
    </row>
    <row r="6" spans="2:72" ht="18.75" customHeight="1">
      <c r="B6" s="6"/>
      <c r="E6" s="367" t="s">
        <v>1216</v>
      </c>
      <c r="F6" s="367"/>
      <c r="G6" s="367"/>
      <c r="H6" s="367"/>
      <c r="I6" s="367"/>
      <c r="J6" s="367"/>
      <c r="K6" s="367"/>
      <c r="M6" s="10"/>
    </row>
    <row r="7" spans="2:72" ht="18.75" customHeight="1">
      <c r="E7" s="366" t="s">
        <v>33</v>
      </c>
      <c r="F7" s="366"/>
      <c r="G7" s="366"/>
      <c r="H7" s="366"/>
      <c r="I7" s="366"/>
      <c r="J7" s="366"/>
      <c r="K7" s="366"/>
      <c r="L7" s="121"/>
      <c r="M7" s="10"/>
    </row>
    <row r="8" spans="2:72" ht="18.75" customHeight="1">
      <c r="E8" s="365" t="s">
        <v>1217</v>
      </c>
      <c r="F8" s="365"/>
      <c r="G8" s="365"/>
      <c r="H8" s="365"/>
      <c r="I8" s="365"/>
      <c r="J8" s="365"/>
      <c r="K8" s="365"/>
      <c r="M8" s="10"/>
    </row>
    <row r="9" spans="2:72" ht="21.75" customHeight="1">
      <c r="E9" s="365" t="s">
        <v>1218</v>
      </c>
      <c r="F9" s="365"/>
      <c r="G9" s="365"/>
      <c r="H9" s="365"/>
      <c r="I9" s="365"/>
      <c r="J9" s="365"/>
      <c r="K9" s="365"/>
      <c r="M9" s="10"/>
    </row>
    <row r="10" spans="2:72" ht="28.5">
      <c r="E10" s="365" t="s">
        <v>1219</v>
      </c>
      <c r="F10" s="365"/>
      <c r="G10" s="365"/>
      <c r="H10" s="365"/>
      <c r="I10" s="365"/>
      <c r="J10" s="365"/>
      <c r="K10" s="365"/>
      <c r="L10" s="11"/>
      <c r="M10" s="11"/>
      <c r="AD10" s="11"/>
      <c r="AE10" s="11"/>
      <c r="AF10" s="258" t="s">
        <v>404</v>
      </c>
      <c r="AH10" s="258" t="s">
        <v>408</v>
      </c>
      <c r="AI10" s="258" t="s">
        <v>415</v>
      </c>
      <c r="AJ10" s="258" t="s">
        <v>421</v>
      </c>
      <c r="AK10" s="258" t="s">
        <v>431</v>
      </c>
      <c r="AM10" s="258" t="s">
        <v>435</v>
      </c>
    </row>
    <row r="11" spans="2:72" ht="34.5" customHeight="1">
      <c r="E11" s="365" t="s">
        <v>1220</v>
      </c>
      <c r="F11" s="365"/>
      <c r="G11" s="365"/>
      <c r="H11" s="365"/>
      <c r="I11" s="365"/>
      <c r="J11" s="365"/>
      <c r="K11" s="365"/>
      <c r="M11" s="10"/>
      <c r="N11" s="11"/>
      <c r="P11" s="11"/>
      <c r="AC11" s="11"/>
      <c r="AN11" s="258" t="s">
        <v>439</v>
      </c>
      <c r="AP11" s="258" t="s">
        <v>452</v>
      </c>
      <c r="AQ11" s="258" t="s">
        <v>456</v>
      </c>
      <c r="AR11" s="258" t="s">
        <v>464</v>
      </c>
    </row>
    <row r="12" spans="2:72" ht="18">
      <c r="E12" s="367" t="s">
        <v>1216</v>
      </c>
      <c r="F12" s="367"/>
      <c r="G12" s="367"/>
      <c r="H12" s="367"/>
      <c r="I12" s="367"/>
      <c r="J12" s="367"/>
      <c r="K12" s="367"/>
      <c r="L12" s="123"/>
      <c r="M12" s="10"/>
      <c r="O12" s="11"/>
      <c r="AB12" s="11"/>
      <c r="AJ12" s="258" t="s">
        <v>1439</v>
      </c>
      <c r="AM12" s="258" t="s">
        <v>1386</v>
      </c>
      <c r="AQ12" s="258" t="s">
        <v>1387</v>
      </c>
    </row>
    <row r="13" spans="2:72">
      <c r="E13" s="12"/>
      <c r="M13" s="10"/>
    </row>
    <row r="14" spans="2:72" s="13" customFormat="1" ht="39.75">
      <c r="E14" s="14"/>
      <c r="F14" s="15"/>
      <c r="G14" s="15"/>
      <c r="H14" s="15"/>
      <c r="I14" s="15"/>
      <c r="J14" s="15"/>
      <c r="K14" s="15"/>
      <c r="L14" s="20"/>
      <c r="O14" s="21"/>
    </row>
    <row r="15" spans="2:72" ht="18">
      <c r="E15" s="22"/>
      <c r="F15" s="23"/>
      <c r="G15" s="23"/>
      <c r="H15" s="23"/>
      <c r="I15" s="23"/>
      <c r="J15" s="23"/>
      <c r="K15" s="23"/>
      <c r="L15" s="24"/>
      <c r="O15" s="21"/>
    </row>
    <row r="16" spans="2:72" s="13" customFormat="1" ht="18">
      <c r="B16" s="25" t="s">
        <v>855</v>
      </c>
      <c r="C16" s="26" t="s">
        <v>856</v>
      </c>
      <c r="D16" s="27" t="s">
        <v>857</v>
      </c>
      <c r="E16" s="28" t="s">
        <v>859</v>
      </c>
      <c r="F16" s="28" t="s">
        <v>860</v>
      </c>
      <c r="G16" s="29" t="s">
        <v>861</v>
      </c>
      <c r="H16" s="29" t="s">
        <v>1230</v>
      </c>
      <c r="I16" s="29" t="s">
        <v>1231</v>
      </c>
      <c r="J16" s="29" t="s">
        <v>1232</v>
      </c>
      <c r="K16" s="29" t="s">
        <v>140</v>
      </c>
      <c r="L16" s="362" t="s">
        <v>1443</v>
      </c>
      <c r="M16" s="363"/>
      <c r="N16" s="363"/>
      <c r="O16" s="363"/>
      <c r="P16" s="364"/>
      <c r="Q16" s="359" t="s">
        <v>1444</v>
      </c>
      <c r="R16" s="360"/>
      <c r="S16" s="360"/>
      <c r="T16" s="360"/>
      <c r="U16" s="361"/>
      <c r="V16" s="370" t="s">
        <v>1445</v>
      </c>
      <c r="W16" s="371"/>
      <c r="X16" s="371"/>
      <c r="Y16" s="371"/>
      <c r="Z16" s="372"/>
      <c r="AA16" s="373" t="s">
        <v>1446</v>
      </c>
      <c r="AB16" s="374"/>
      <c r="AC16" s="374"/>
      <c r="AD16" s="374"/>
      <c r="AE16" s="374"/>
      <c r="AF16" s="368" t="s">
        <v>1393</v>
      </c>
      <c r="AG16" s="368"/>
      <c r="AH16" s="368"/>
      <c r="AI16" s="368"/>
      <c r="AJ16" s="369"/>
      <c r="AK16" s="362" t="s">
        <v>1394</v>
      </c>
      <c r="AL16" s="363"/>
      <c r="AM16" s="363"/>
      <c r="AN16" s="363"/>
      <c r="AO16" s="364"/>
      <c r="AP16" s="359" t="s">
        <v>1395</v>
      </c>
      <c r="AQ16" s="360"/>
      <c r="AR16" s="360"/>
      <c r="AS16" s="360"/>
      <c r="AT16" s="361"/>
      <c r="AU16" s="370" t="s">
        <v>1396</v>
      </c>
      <c r="AV16" s="371"/>
      <c r="AW16" s="371"/>
      <c r="AX16" s="371"/>
      <c r="AY16" s="372"/>
      <c r="AZ16" s="373" t="s">
        <v>1397</v>
      </c>
      <c r="BA16" s="374"/>
      <c r="BB16" s="374"/>
      <c r="BC16" s="374"/>
      <c r="BD16" s="374"/>
      <c r="BE16" s="368" t="s">
        <v>1398</v>
      </c>
      <c r="BF16" s="368"/>
      <c r="BG16" s="368"/>
      <c r="BH16" s="368"/>
      <c r="BI16" s="369"/>
      <c r="BJ16" s="362" t="s">
        <v>1399</v>
      </c>
      <c r="BK16" s="363"/>
      <c r="BL16" s="363"/>
      <c r="BM16" s="363"/>
      <c r="BN16" s="364"/>
      <c r="BO16" s="359" t="s">
        <v>1354</v>
      </c>
      <c r="BP16" s="360"/>
      <c r="BQ16" s="360"/>
      <c r="BR16" s="360"/>
      <c r="BS16" s="361"/>
      <c r="BT16" s="375" t="s">
        <v>1440</v>
      </c>
    </row>
    <row r="17" spans="2:72" s="21" customFormat="1" ht="18">
      <c r="B17" s="30"/>
      <c r="C17" s="31"/>
      <c r="D17" s="32"/>
      <c r="E17" s="33"/>
      <c r="F17" s="33"/>
      <c r="G17" s="34"/>
      <c r="H17" s="34"/>
      <c r="I17" s="34"/>
      <c r="J17" s="29" t="s">
        <v>856</v>
      </c>
      <c r="K17" s="29" t="s">
        <v>1247</v>
      </c>
      <c r="L17" s="39" t="s">
        <v>1248</v>
      </c>
      <c r="M17" s="40" t="s">
        <v>1249</v>
      </c>
      <c r="N17" s="40" t="s">
        <v>1250</v>
      </c>
      <c r="O17" s="40" t="s">
        <v>1251</v>
      </c>
      <c r="P17" s="39" t="s">
        <v>1252</v>
      </c>
      <c r="Q17" s="41" t="s">
        <v>1248</v>
      </c>
      <c r="R17" s="42" t="s">
        <v>1249</v>
      </c>
      <c r="S17" s="42" t="s">
        <v>1250</v>
      </c>
      <c r="T17" s="42" t="s">
        <v>1251</v>
      </c>
      <c r="U17" s="42" t="s">
        <v>1252</v>
      </c>
      <c r="V17" s="43" t="s">
        <v>1248</v>
      </c>
      <c r="W17" s="44" t="s">
        <v>1249</v>
      </c>
      <c r="X17" s="44" t="s">
        <v>1250</v>
      </c>
      <c r="Y17" s="44" t="s">
        <v>1251</v>
      </c>
      <c r="Z17" s="44" t="s">
        <v>1252</v>
      </c>
      <c r="AA17" s="35" t="s">
        <v>1248</v>
      </c>
      <c r="AB17" s="36" t="s">
        <v>1249</v>
      </c>
      <c r="AC17" s="36" t="s">
        <v>1250</v>
      </c>
      <c r="AD17" s="36" t="s">
        <v>1251</v>
      </c>
      <c r="AE17" s="36" t="s">
        <v>1252</v>
      </c>
      <c r="AF17" s="37" t="s">
        <v>1248</v>
      </c>
      <c r="AG17" s="38" t="s">
        <v>1249</v>
      </c>
      <c r="AH17" s="38" t="s">
        <v>1250</v>
      </c>
      <c r="AI17" s="38" t="s">
        <v>1251</v>
      </c>
      <c r="AJ17" s="38" t="s">
        <v>1252</v>
      </c>
      <c r="AK17" s="39" t="s">
        <v>1248</v>
      </c>
      <c r="AL17" s="40" t="s">
        <v>1249</v>
      </c>
      <c r="AM17" s="40" t="s">
        <v>1250</v>
      </c>
      <c r="AN17" s="40" t="s">
        <v>1251</v>
      </c>
      <c r="AO17" s="39" t="s">
        <v>1252</v>
      </c>
      <c r="AP17" s="41" t="s">
        <v>1248</v>
      </c>
      <c r="AQ17" s="42" t="s">
        <v>1249</v>
      </c>
      <c r="AR17" s="42" t="s">
        <v>1250</v>
      </c>
      <c r="AS17" s="42" t="s">
        <v>1251</v>
      </c>
      <c r="AT17" s="42" t="s">
        <v>1252</v>
      </c>
      <c r="AU17" s="45" t="s">
        <v>1248</v>
      </c>
      <c r="AV17" s="46" t="s">
        <v>1249</v>
      </c>
      <c r="AW17" s="44" t="s">
        <v>1250</v>
      </c>
      <c r="AX17" s="44" t="s">
        <v>1251</v>
      </c>
      <c r="AY17" s="44" t="s">
        <v>1252</v>
      </c>
      <c r="AZ17" s="35" t="s">
        <v>1248</v>
      </c>
      <c r="BA17" s="36" t="s">
        <v>1249</v>
      </c>
      <c r="BB17" s="36" t="s">
        <v>1250</v>
      </c>
      <c r="BC17" s="36" t="s">
        <v>1251</v>
      </c>
      <c r="BD17" s="36" t="s">
        <v>1252</v>
      </c>
      <c r="BE17" s="37" t="s">
        <v>1248</v>
      </c>
      <c r="BF17" s="38" t="s">
        <v>1249</v>
      </c>
      <c r="BG17" s="38" t="s">
        <v>1250</v>
      </c>
      <c r="BH17" s="38" t="s">
        <v>1251</v>
      </c>
      <c r="BI17" s="38" t="s">
        <v>1252</v>
      </c>
      <c r="BJ17" s="39" t="s">
        <v>1248</v>
      </c>
      <c r="BK17" s="40" t="s">
        <v>1249</v>
      </c>
      <c r="BL17" s="40" t="s">
        <v>1250</v>
      </c>
      <c r="BM17" s="40" t="s">
        <v>1251</v>
      </c>
      <c r="BN17" s="39" t="s">
        <v>1252</v>
      </c>
      <c r="BO17" s="41" t="s">
        <v>1248</v>
      </c>
      <c r="BP17" s="42" t="s">
        <v>1249</v>
      </c>
      <c r="BQ17" s="42" t="s">
        <v>1250</v>
      </c>
      <c r="BR17" s="42" t="s">
        <v>1251</v>
      </c>
      <c r="BS17" s="42" t="s">
        <v>1252</v>
      </c>
      <c r="BT17" s="376"/>
    </row>
    <row r="18" spans="2:72" ht="45">
      <c r="B18" s="47" t="s">
        <v>899</v>
      </c>
      <c r="C18" s="48" t="s">
        <v>1316</v>
      </c>
      <c r="D18" s="49" t="s">
        <v>940</v>
      </c>
      <c r="E18" s="70" t="s">
        <v>1451</v>
      </c>
      <c r="F18" s="273">
        <v>45470</v>
      </c>
      <c r="G18" s="273">
        <v>45491</v>
      </c>
      <c r="H18" s="273">
        <v>45505</v>
      </c>
      <c r="I18" s="273" t="s">
        <v>1299</v>
      </c>
      <c r="J18" s="49" t="s">
        <v>463</v>
      </c>
      <c r="K18" s="49" t="s">
        <v>1441</v>
      </c>
      <c r="L18" s="64"/>
      <c r="M18" s="266"/>
      <c r="N18" s="64"/>
      <c r="O18" s="64"/>
      <c r="P18" s="57"/>
      <c r="Q18" s="60"/>
      <c r="R18" s="61"/>
      <c r="S18" s="61"/>
      <c r="T18" s="56"/>
      <c r="U18" s="61"/>
      <c r="V18" s="63"/>
      <c r="W18" s="64"/>
      <c r="X18" s="64"/>
      <c r="Y18" s="64"/>
      <c r="Z18" s="213"/>
      <c r="AA18" s="72"/>
      <c r="AB18" s="64"/>
      <c r="AC18" s="73"/>
      <c r="AD18" s="73"/>
      <c r="AE18" s="73"/>
      <c r="AF18" s="66"/>
      <c r="AG18" s="56"/>
      <c r="AH18" s="56"/>
      <c r="AI18" s="56"/>
      <c r="AJ18" s="56"/>
      <c r="AK18" s="57"/>
      <c r="AL18" s="58"/>
      <c r="AM18" s="58"/>
      <c r="AN18" s="58"/>
      <c r="AO18" s="138" t="s">
        <v>860</v>
      </c>
      <c r="AP18" s="60"/>
      <c r="AQ18" s="61"/>
      <c r="AR18" s="95" t="s">
        <v>861</v>
      </c>
      <c r="AS18" s="61"/>
      <c r="AT18" s="61"/>
      <c r="AU18" s="63"/>
      <c r="AV18" s="64"/>
      <c r="AW18" s="64"/>
      <c r="AX18" s="64"/>
      <c r="AY18" s="64"/>
      <c r="AZ18" s="72"/>
      <c r="BA18" s="73"/>
      <c r="BB18" s="73"/>
      <c r="BC18" s="73"/>
      <c r="BD18" s="73"/>
      <c r="BE18" s="66"/>
      <c r="BF18" s="56"/>
      <c r="BG18" s="56"/>
      <c r="BH18" s="56"/>
      <c r="BI18" s="56"/>
      <c r="BJ18" s="57"/>
      <c r="BK18" s="58"/>
      <c r="BL18" s="58"/>
      <c r="BM18" s="58"/>
      <c r="BN18" s="57"/>
      <c r="BO18" s="60"/>
      <c r="BP18" s="61"/>
      <c r="BQ18" s="61"/>
      <c r="BR18" s="61"/>
      <c r="BS18" s="61"/>
      <c r="BT18" s="74"/>
    </row>
    <row r="19" spans="2:72" ht="45">
      <c r="B19" s="47" t="s">
        <v>899</v>
      </c>
      <c r="C19" s="48" t="s">
        <v>1316</v>
      </c>
      <c r="D19" s="49" t="s">
        <v>942</v>
      </c>
      <c r="E19" s="70" t="s">
        <v>943</v>
      </c>
      <c r="F19" s="273">
        <v>45470</v>
      </c>
      <c r="G19" s="273">
        <v>45491</v>
      </c>
      <c r="H19" s="273">
        <v>45505</v>
      </c>
      <c r="I19" s="273" t="s">
        <v>1299</v>
      </c>
      <c r="J19" s="49" t="s">
        <v>463</v>
      </c>
      <c r="K19" s="49" t="s">
        <v>1441</v>
      </c>
      <c r="L19" s="64"/>
      <c r="M19" s="266"/>
      <c r="N19" s="64"/>
      <c r="O19" s="64"/>
      <c r="P19" s="57"/>
      <c r="Q19" s="60"/>
      <c r="R19" s="61"/>
      <c r="S19" s="61"/>
      <c r="T19" s="56"/>
      <c r="U19" s="61"/>
      <c r="V19" s="63"/>
      <c r="W19" s="64"/>
      <c r="X19" s="64"/>
      <c r="Y19" s="64"/>
      <c r="Z19" s="213"/>
      <c r="AA19" s="72"/>
      <c r="AB19" s="64"/>
      <c r="AC19" s="73"/>
      <c r="AD19" s="73"/>
      <c r="AE19" s="73"/>
      <c r="AF19" s="66"/>
      <c r="AG19" s="56"/>
      <c r="AH19" s="56"/>
      <c r="AI19" s="56"/>
      <c r="AJ19" s="56"/>
      <c r="AK19" s="57"/>
      <c r="AL19" s="58"/>
      <c r="AM19" s="58"/>
      <c r="AN19" s="58"/>
      <c r="AO19" s="138" t="s">
        <v>860</v>
      </c>
      <c r="AP19" s="60"/>
      <c r="AQ19" s="61"/>
      <c r="AR19" s="95" t="s">
        <v>861</v>
      </c>
      <c r="AS19" s="61"/>
      <c r="AT19" s="61"/>
      <c r="AU19" s="63"/>
      <c r="AV19" s="64"/>
      <c r="AW19" s="64"/>
      <c r="AX19" s="64"/>
      <c r="AY19" s="64"/>
      <c r="AZ19" s="72"/>
      <c r="BA19" s="73"/>
      <c r="BB19" s="73"/>
      <c r="BC19" s="73"/>
      <c r="BD19" s="73"/>
      <c r="BE19" s="66"/>
      <c r="BF19" s="56"/>
      <c r="BG19" s="56"/>
      <c r="BH19" s="56"/>
      <c r="BI19" s="56"/>
      <c r="BJ19" s="57"/>
      <c r="BK19" s="58"/>
      <c r="BL19" s="58"/>
      <c r="BM19" s="58"/>
      <c r="BN19" s="57"/>
      <c r="BO19" s="60"/>
      <c r="BP19" s="61"/>
      <c r="BQ19" s="61"/>
      <c r="BR19" s="61"/>
      <c r="BS19" s="61"/>
      <c r="BT19" s="74"/>
    </row>
    <row r="20" spans="2:72" ht="45">
      <c r="B20" s="47" t="s">
        <v>899</v>
      </c>
      <c r="C20" s="48" t="s">
        <v>1316</v>
      </c>
      <c r="D20" s="49" t="s">
        <v>944</v>
      </c>
      <c r="E20" s="70" t="s">
        <v>945</v>
      </c>
      <c r="F20" s="273">
        <v>45470</v>
      </c>
      <c r="G20" s="273">
        <v>45491</v>
      </c>
      <c r="H20" s="273">
        <v>45505</v>
      </c>
      <c r="I20" s="273" t="s">
        <v>1299</v>
      </c>
      <c r="J20" s="49" t="s">
        <v>463</v>
      </c>
      <c r="K20" s="49" t="s">
        <v>1441</v>
      </c>
      <c r="L20" s="64"/>
      <c r="M20" s="266"/>
      <c r="N20" s="64"/>
      <c r="O20" s="64"/>
      <c r="P20" s="57"/>
      <c r="Q20" s="60"/>
      <c r="R20" s="61"/>
      <c r="S20" s="61"/>
      <c r="T20" s="56"/>
      <c r="U20" s="61"/>
      <c r="V20" s="63"/>
      <c r="W20" s="64"/>
      <c r="X20" s="64"/>
      <c r="Y20" s="64"/>
      <c r="Z20" s="213"/>
      <c r="AA20" s="72"/>
      <c r="AB20" s="64"/>
      <c r="AC20" s="73"/>
      <c r="AD20" s="73"/>
      <c r="AE20" s="73"/>
      <c r="AF20" s="66"/>
      <c r="AG20" s="56"/>
      <c r="AH20" s="56"/>
      <c r="AI20" s="56"/>
      <c r="AJ20" s="56"/>
      <c r="AK20" s="57"/>
      <c r="AL20" s="58"/>
      <c r="AM20" s="58"/>
      <c r="AN20" s="58"/>
      <c r="AO20" s="138" t="s">
        <v>860</v>
      </c>
      <c r="AP20" s="60"/>
      <c r="AQ20" s="61"/>
      <c r="AR20" s="95" t="s">
        <v>861</v>
      </c>
      <c r="AS20" s="61"/>
      <c r="AT20" s="61"/>
      <c r="AU20" s="63"/>
      <c r="AV20" s="64"/>
      <c r="AW20" s="64"/>
      <c r="AX20" s="64"/>
      <c r="AY20" s="64"/>
      <c r="AZ20" s="72"/>
      <c r="BA20" s="73"/>
      <c r="BB20" s="73"/>
      <c r="BC20" s="73"/>
      <c r="BD20" s="73"/>
      <c r="BE20" s="66"/>
      <c r="BF20" s="56"/>
      <c r="BG20" s="56"/>
      <c r="BH20" s="56"/>
      <c r="BI20" s="56"/>
      <c r="BJ20" s="57"/>
      <c r="BK20" s="58"/>
      <c r="BL20" s="58"/>
      <c r="BM20" s="58"/>
      <c r="BN20" s="57"/>
      <c r="BO20" s="60"/>
      <c r="BP20" s="61"/>
      <c r="BQ20" s="61"/>
      <c r="BR20" s="61"/>
      <c r="BS20" s="61"/>
      <c r="BT20" s="74"/>
    </row>
    <row r="21" spans="2:72" ht="45">
      <c r="B21" s="47" t="s">
        <v>899</v>
      </c>
      <c r="C21" s="48" t="s">
        <v>1316</v>
      </c>
      <c r="D21" s="49" t="s">
        <v>1452</v>
      </c>
      <c r="E21" s="70" t="s">
        <v>916</v>
      </c>
      <c r="F21" s="273">
        <v>45470</v>
      </c>
      <c r="G21" s="273">
        <v>45491</v>
      </c>
      <c r="H21" s="273">
        <v>45505</v>
      </c>
      <c r="I21" s="273" t="s">
        <v>1299</v>
      </c>
      <c r="J21" s="49" t="s">
        <v>463</v>
      </c>
      <c r="K21" s="49" t="s">
        <v>1441</v>
      </c>
      <c r="L21" s="64"/>
      <c r="M21" s="266"/>
      <c r="N21" s="64"/>
      <c r="O21" s="64"/>
      <c r="P21" s="57"/>
      <c r="Q21" s="60"/>
      <c r="R21" s="61"/>
      <c r="S21" s="61"/>
      <c r="T21" s="56"/>
      <c r="U21" s="61"/>
      <c r="V21" s="63"/>
      <c r="W21" s="64"/>
      <c r="X21" s="64"/>
      <c r="Y21" s="64"/>
      <c r="Z21" s="213"/>
      <c r="AA21" s="72"/>
      <c r="AB21" s="64"/>
      <c r="AC21" s="73"/>
      <c r="AD21" s="73"/>
      <c r="AE21" s="73"/>
      <c r="AF21" s="66"/>
      <c r="AG21" s="56"/>
      <c r="AH21" s="56"/>
      <c r="AI21" s="56"/>
      <c r="AJ21" s="56"/>
      <c r="AK21" s="57"/>
      <c r="AL21" s="58"/>
      <c r="AM21" s="58"/>
      <c r="AN21" s="58"/>
      <c r="AO21" s="138" t="s">
        <v>860</v>
      </c>
      <c r="AP21" s="60"/>
      <c r="AQ21" s="61"/>
      <c r="AR21" s="95" t="s">
        <v>861</v>
      </c>
      <c r="AS21" s="61"/>
      <c r="AT21" s="61"/>
      <c r="AU21" s="63"/>
      <c r="AV21" s="64"/>
      <c r="AW21" s="64"/>
      <c r="AX21" s="64"/>
      <c r="AY21" s="64"/>
      <c r="AZ21" s="72"/>
      <c r="BA21" s="73"/>
      <c r="BB21" s="73"/>
      <c r="BC21" s="73"/>
      <c r="BD21" s="73"/>
      <c r="BE21" s="66"/>
      <c r="BF21" s="56"/>
      <c r="BG21" s="56"/>
      <c r="BH21" s="56"/>
      <c r="BI21" s="56"/>
      <c r="BJ21" s="57"/>
      <c r="BK21" s="58"/>
      <c r="BL21" s="58"/>
      <c r="BM21" s="58"/>
      <c r="BN21" s="57"/>
      <c r="BO21" s="60"/>
      <c r="BP21" s="61"/>
      <c r="BQ21" s="61"/>
      <c r="BR21" s="61"/>
      <c r="BS21" s="61"/>
      <c r="BT21" s="74"/>
    </row>
    <row r="22" spans="2:72" ht="45">
      <c r="B22" s="47" t="s">
        <v>899</v>
      </c>
      <c r="C22" s="48" t="s">
        <v>1316</v>
      </c>
      <c r="D22" s="49" t="s">
        <v>1453</v>
      </c>
      <c r="E22" s="70" t="s">
        <v>1454</v>
      </c>
      <c r="F22" s="273">
        <v>45470</v>
      </c>
      <c r="G22" s="273">
        <v>45491</v>
      </c>
      <c r="H22" s="273">
        <v>45505</v>
      </c>
      <c r="I22" s="273" t="s">
        <v>1299</v>
      </c>
      <c r="J22" s="49" t="s">
        <v>463</v>
      </c>
      <c r="K22" s="49" t="s">
        <v>1441</v>
      </c>
      <c r="L22" s="64"/>
      <c r="M22" s="266"/>
      <c r="N22" s="64"/>
      <c r="O22" s="64"/>
      <c r="P22" s="57"/>
      <c r="Q22" s="60"/>
      <c r="R22" s="61"/>
      <c r="S22" s="61"/>
      <c r="T22" s="56"/>
      <c r="U22" s="61"/>
      <c r="V22" s="63"/>
      <c r="W22" s="64"/>
      <c r="X22" s="64"/>
      <c r="Y22" s="64"/>
      <c r="Z22" s="213"/>
      <c r="AA22" s="72"/>
      <c r="AB22" s="64"/>
      <c r="AC22" s="73"/>
      <c r="AD22" s="73"/>
      <c r="AE22" s="73"/>
      <c r="AF22" s="66"/>
      <c r="AG22" s="56"/>
      <c r="AH22" s="56"/>
      <c r="AI22" s="56"/>
      <c r="AJ22" s="56"/>
      <c r="AK22" s="57"/>
      <c r="AL22" s="58"/>
      <c r="AM22" s="58"/>
      <c r="AN22" s="58"/>
      <c r="AO22" s="138" t="s">
        <v>860</v>
      </c>
      <c r="AP22" s="60"/>
      <c r="AQ22" s="61"/>
      <c r="AR22" s="95" t="s">
        <v>861</v>
      </c>
      <c r="AS22" s="61"/>
      <c r="AT22" s="61"/>
      <c r="AU22" s="63"/>
      <c r="AV22" s="64"/>
      <c r="AW22" s="64"/>
      <c r="AX22" s="64"/>
      <c r="AY22" s="64"/>
      <c r="AZ22" s="72"/>
      <c r="BA22" s="73"/>
      <c r="BB22" s="73"/>
      <c r="BC22" s="73"/>
      <c r="BD22" s="73"/>
      <c r="BE22" s="66"/>
      <c r="BF22" s="56"/>
      <c r="BG22" s="56"/>
      <c r="BH22" s="56"/>
      <c r="BI22" s="56"/>
      <c r="BJ22" s="57"/>
      <c r="BK22" s="58"/>
      <c r="BL22" s="58"/>
      <c r="BM22" s="58"/>
      <c r="BN22" s="57"/>
      <c r="BO22" s="60"/>
      <c r="BP22" s="61"/>
      <c r="BQ22" s="61"/>
      <c r="BR22" s="61"/>
      <c r="BS22" s="61"/>
      <c r="BT22" s="74"/>
    </row>
    <row r="23" spans="2:72" ht="45">
      <c r="B23" s="47" t="s">
        <v>899</v>
      </c>
      <c r="C23" s="48" t="s">
        <v>1316</v>
      </c>
      <c r="D23" s="49" t="s">
        <v>1323</v>
      </c>
      <c r="E23" s="70" t="s">
        <v>1455</v>
      </c>
      <c r="F23" s="273">
        <v>45470</v>
      </c>
      <c r="G23" s="273">
        <v>45491</v>
      </c>
      <c r="H23" s="273">
        <v>45505</v>
      </c>
      <c r="I23" s="273" t="s">
        <v>1299</v>
      </c>
      <c r="J23" s="49" t="s">
        <v>463</v>
      </c>
      <c r="K23" s="49" t="s">
        <v>1441</v>
      </c>
      <c r="L23" s="64"/>
      <c r="M23" s="266"/>
      <c r="N23" s="64"/>
      <c r="O23" s="64"/>
      <c r="P23" s="57"/>
      <c r="Q23" s="60"/>
      <c r="R23" s="61"/>
      <c r="S23" s="61"/>
      <c r="T23" s="56"/>
      <c r="U23" s="61"/>
      <c r="V23" s="63"/>
      <c r="W23" s="64"/>
      <c r="X23" s="64"/>
      <c r="Y23" s="64"/>
      <c r="Z23" s="213"/>
      <c r="AA23" s="72"/>
      <c r="AB23" s="64"/>
      <c r="AC23" s="73"/>
      <c r="AD23" s="73"/>
      <c r="AE23" s="73"/>
      <c r="AF23" s="66"/>
      <c r="AG23" s="56"/>
      <c r="AH23" s="56"/>
      <c r="AI23" s="56"/>
      <c r="AJ23" s="56"/>
      <c r="AK23" s="57"/>
      <c r="AL23" s="58"/>
      <c r="AM23" s="58"/>
      <c r="AN23" s="58"/>
      <c r="AO23" s="138" t="s">
        <v>860</v>
      </c>
      <c r="AP23" s="60"/>
      <c r="AQ23" s="61"/>
      <c r="AR23" s="95" t="s">
        <v>861</v>
      </c>
      <c r="AS23" s="61"/>
      <c r="AT23" s="61"/>
      <c r="AU23" s="63"/>
      <c r="AV23" s="64"/>
      <c r="AW23" s="64"/>
      <c r="AX23" s="64"/>
      <c r="AY23" s="64"/>
      <c r="AZ23" s="72"/>
      <c r="BA23" s="73"/>
      <c r="BB23" s="73"/>
      <c r="BC23" s="73"/>
      <c r="BD23" s="73"/>
      <c r="BE23" s="66"/>
      <c r="BF23" s="56"/>
      <c r="BG23" s="56"/>
      <c r="BH23" s="56"/>
      <c r="BI23" s="56"/>
      <c r="BJ23" s="57"/>
      <c r="BK23" s="58"/>
      <c r="BL23" s="58"/>
      <c r="BM23" s="58"/>
      <c r="BN23" s="57"/>
      <c r="BO23" s="60"/>
      <c r="BP23" s="61"/>
      <c r="BQ23" s="61"/>
      <c r="BR23" s="61"/>
      <c r="BS23" s="61"/>
      <c r="BT23" s="74"/>
    </row>
    <row r="24" spans="2:72" ht="45">
      <c r="B24" s="47" t="s">
        <v>899</v>
      </c>
      <c r="C24" s="48" t="s">
        <v>1316</v>
      </c>
      <c r="D24" s="49" t="s">
        <v>929</v>
      </c>
      <c r="E24" s="70" t="s">
        <v>930</v>
      </c>
      <c r="F24" s="273">
        <v>45470</v>
      </c>
      <c r="G24" s="273">
        <v>45491</v>
      </c>
      <c r="H24" s="273">
        <v>45505</v>
      </c>
      <c r="I24" s="273" t="s">
        <v>1299</v>
      </c>
      <c r="J24" s="49" t="s">
        <v>463</v>
      </c>
      <c r="K24" s="49" t="s">
        <v>1441</v>
      </c>
      <c r="L24" s="64"/>
      <c r="M24" s="266"/>
      <c r="N24" s="64"/>
      <c r="O24" s="64"/>
      <c r="P24" s="57"/>
      <c r="Q24" s="60"/>
      <c r="R24" s="61"/>
      <c r="S24" s="61"/>
      <c r="T24" s="56"/>
      <c r="U24" s="61"/>
      <c r="V24" s="63"/>
      <c r="W24" s="64"/>
      <c r="X24" s="64"/>
      <c r="Y24" s="64"/>
      <c r="Z24" s="213"/>
      <c r="AA24" s="72"/>
      <c r="AB24" s="64"/>
      <c r="AC24" s="73"/>
      <c r="AD24" s="73"/>
      <c r="AE24" s="73"/>
      <c r="AF24" s="66"/>
      <c r="AG24" s="56"/>
      <c r="AH24" s="56"/>
      <c r="AI24" s="56"/>
      <c r="AJ24" s="56"/>
      <c r="AK24" s="57"/>
      <c r="AL24" s="58"/>
      <c r="AM24" s="58"/>
      <c r="AN24" s="58"/>
      <c r="AO24" s="138" t="s">
        <v>860</v>
      </c>
      <c r="AP24" s="60"/>
      <c r="AQ24" s="61"/>
      <c r="AR24" s="95" t="s">
        <v>861</v>
      </c>
      <c r="AS24" s="61"/>
      <c r="AT24" s="61"/>
      <c r="AU24" s="63"/>
      <c r="AV24" s="64"/>
      <c r="AW24" s="64"/>
      <c r="AX24" s="64"/>
      <c r="AY24" s="64"/>
      <c r="AZ24" s="72"/>
      <c r="BA24" s="73"/>
      <c r="BB24" s="73"/>
      <c r="BC24" s="73"/>
      <c r="BD24" s="73"/>
      <c r="BE24" s="66"/>
      <c r="BF24" s="56"/>
      <c r="BG24" s="56"/>
      <c r="BH24" s="56"/>
      <c r="BI24" s="56"/>
      <c r="BJ24" s="57"/>
      <c r="BK24" s="58"/>
      <c r="BL24" s="58"/>
      <c r="BM24" s="58"/>
      <c r="BN24" s="57"/>
      <c r="BO24" s="60"/>
      <c r="BP24" s="61"/>
      <c r="BQ24" s="61"/>
      <c r="BR24" s="61"/>
      <c r="BS24" s="61"/>
      <c r="BT24" s="74"/>
    </row>
    <row r="25" spans="2:72" ht="45">
      <c r="B25" s="47" t="s">
        <v>899</v>
      </c>
      <c r="C25" s="48" t="s">
        <v>1414</v>
      </c>
      <c r="D25" s="49" t="s">
        <v>934</v>
      </c>
      <c r="E25" s="70" t="s">
        <v>1456</v>
      </c>
      <c r="F25" s="273">
        <v>45470</v>
      </c>
      <c r="G25" s="273">
        <v>45491</v>
      </c>
      <c r="H25" s="273">
        <v>45505</v>
      </c>
      <c r="I25" s="273" t="s">
        <v>1299</v>
      </c>
      <c r="J25" s="49" t="s">
        <v>463</v>
      </c>
      <c r="K25" s="49" t="s">
        <v>1441</v>
      </c>
      <c r="L25" s="64"/>
      <c r="M25" s="266"/>
      <c r="N25" s="64"/>
      <c r="O25" s="64"/>
      <c r="P25" s="57"/>
      <c r="Q25" s="60"/>
      <c r="R25" s="61"/>
      <c r="S25" s="61"/>
      <c r="T25" s="56"/>
      <c r="U25" s="61"/>
      <c r="V25" s="63"/>
      <c r="W25" s="64"/>
      <c r="X25" s="64"/>
      <c r="Y25" s="64"/>
      <c r="Z25" s="213"/>
      <c r="AA25" s="72"/>
      <c r="AB25" s="64"/>
      <c r="AC25" s="73"/>
      <c r="AD25" s="73"/>
      <c r="AE25" s="73"/>
      <c r="AF25" s="66"/>
      <c r="AG25" s="56"/>
      <c r="AH25" s="56"/>
      <c r="AI25" s="56"/>
      <c r="AJ25" s="56"/>
      <c r="AK25" s="57"/>
      <c r="AL25" s="58"/>
      <c r="AM25" s="58"/>
      <c r="AN25" s="58"/>
      <c r="AO25" s="138" t="s">
        <v>860</v>
      </c>
      <c r="AP25" s="60"/>
      <c r="AQ25" s="61"/>
      <c r="AR25" s="95" t="s">
        <v>861</v>
      </c>
      <c r="AS25" s="61"/>
      <c r="AT25" s="61"/>
      <c r="AU25" s="63"/>
      <c r="AV25" s="64"/>
      <c r="AW25" s="64"/>
      <c r="AX25" s="64"/>
      <c r="AY25" s="64"/>
      <c r="AZ25" s="72"/>
      <c r="BA25" s="73"/>
      <c r="BB25" s="73"/>
      <c r="BC25" s="73"/>
      <c r="BD25" s="73"/>
      <c r="BE25" s="66"/>
      <c r="BF25" s="56"/>
      <c r="BG25" s="56"/>
      <c r="BH25" s="56"/>
      <c r="BI25" s="56"/>
      <c r="BJ25" s="57"/>
      <c r="BK25" s="58"/>
      <c r="BL25" s="58"/>
      <c r="BM25" s="58"/>
      <c r="BN25" s="57"/>
      <c r="BO25" s="60"/>
      <c r="BP25" s="61"/>
      <c r="BQ25" s="61"/>
      <c r="BR25" s="61"/>
      <c r="BS25" s="61"/>
      <c r="BT25" s="74"/>
    </row>
    <row r="26" spans="2:72" ht="45">
      <c r="B26" s="47" t="s">
        <v>899</v>
      </c>
      <c r="C26" s="48" t="s">
        <v>1316</v>
      </c>
      <c r="D26" s="49" t="s">
        <v>1457</v>
      </c>
      <c r="E26" s="70" t="s">
        <v>1458</v>
      </c>
      <c r="F26" s="273">
        <v>45470</v>
      </c>
      <c r="G26" s="273">
        <v>45491</v>
      </c>
      <c r="H26" s="273">
        <v>45505</v>
      </c>
      <c r="I26" s="273" t="s">
        <v>1299</v>
      </c>
      <c r="J26" s="49" t="s">
        <v>463</v>
      </c>
      <c r="K26" s="49" t="s">
        <v>1441</v>
      </c>
      <c r="L26" s="64"/>
      <c r="M26" s="266"/>
      <c r="N26" s="64"/>
      <c r="O26" s="64"/>
      <c r="P26" s="57"/>
      <c r="Q26" s="60"/>
      <c r="R26" s="61"/>
      <c r="S26" s="61"/>
      <c r="T26" s="56"/>
      <c r="U26" s="61"/>
      <c r="V26" s="63"/>
      <c r="W26" s="64"/>
      <c r="X26" s="64"/>
      <c r="Y26" s="64"/>
      <c r="Z26" s="213"/>
      <c r="AA26" s="72"/>
      <c r="AB26" s="64"/>
      <c r="AC26" s="73"/>
      <c r="AD26" s="73"/>
      <c r="AE26" s="73"/>
      <c r="AF26" s="66"/>
      <c r="AG26" s="56"/>
      <c r="AH26" s="56"/>
      <c r="AI26" s="56"/>
      <c r="AJ26" s="56"/>
      <c r="AK26" s="57"/>
      <c r="AL26" s="58"/>
      <c r="AM26" s="58"/>
      <c r="AN26" s="58"/>
      <c r="AO26" s="138" t="s">
        <v>860</v>
      </c>
      <c r="AP26" s="60"/>
      <c r="AQ26" s="61"/>
      <c r="AR26" s="95" t="s">
        <v>861</v>
      </c>
      <c r="AS26" s="61"/>
      <c r="AT26" s="61"/>
      <c r="AU26" s="63"/>
      <c r="AV26" s="64"/>
      <c r="AW26" s="64"/>
      <c r="AX26" s="64"/>
      <c r="AY26" s="64"/>
      <c r="AZ26" s="72"/>
      <c r="BA26" s="73"/>
      <c r="BB26" s="73"/>
      <c r="BC26" s="73"/>
      <c r="BD26" s="73"/>
      <c r="BE26" s="66"/>
      <c r="BF26" s="56"/>
      <c r="BG26" s="56"/>
      <c r="BH26" s="56"/>
      <c r="BI26" s="56"/>
      <c r="BJ26" s="57"/>
      <c r="BK26" s="58"/>
      <c r="BL26" s="58"/>
      <c r="BM26" s="58"/>
      <c r="BN26" s="57"/>
      <c r="BO26" s="60"/>
      <c r="BP26" s="61"/>
      <c r="BQ26" s="61"/>
      <c r="BR26" s="61"/>
      <c r="BS26" s="61"/>
      <c r="BT26" s="74"/>
    </row>
    <row r="27" spans="2:72" ht="45">
      <c r="B27" s="47" t="s">
        <v>899</v>
      </c>
      <c r="C27" s="48" t="s">
        <v>1316</v>
      </c>
      <c r="D27" s="49" t="s">
        <v>1459</v>
      </c>
      <c r="E27" s="70" t="s">
        <v>1460</v>
      </c>
      <c r="F27" s="273">
        <v>45470</v>
      </c>
      <c r="G27" s="273">
        <v>45491</v>
      </c>
      <c r="H27" s="273">
        <v>45505</v>
      </c>
      <c r="I27" s="273" t="s">
        <v>1299</v>
      </c>
      <c r="J27" s="49" t="s">
        <v>463</v>
      </c>
      <c r="K27" s="49" t="s">
        <v>1441</v>
      </c>
      <c r="L27" s="64"/>
      <c r="M27" s="266"/>
      <c r="N27" s="64"/>
      <c r="O27" s="64"/>
      <c r="P27" s="57"/>
      <c r="Q27" s="60"/>
      <c r="R27" s="61"/>
      <c r="S27" s="61"/>
      <c r="T27" s="56"/>
      <c r="U27" s="61"/>
      <c r="V27" s="63"/>
      <c r="W27" s="64"/>
      <c r="X27" s="64"/>
      <c r="Y27" s="64"/>
      <c r="Z27" s="213"/>
      <c r="AA27" s="72"/>
      <c r="AB27" s="64"/>
      <c r="AC27" s="73"/>
      <c r="AD27" s="73"/>
      <c r="AE27" s="73"/>
      <c r="AF27" s="66"/>
      <c r="AG27" s="56"/>
      <c r="AH27" s="56"/>
      <c r="AI27" s="56"/>
      <c r="AJ27" s="56"/>
      <c r="AK27" s="57"/>
      <c r="AL27" s="58"/>
      <c r="AM27" s="58"/>
      <c r="AN27" s="58"/>
      <c r="AO27" s="138" t="s">
        <v>860</v>
      </c>
      <c r="AP27" s="60"/>
      <c r="AQ27" s="61"/>
      <c r="AR27" s="95" t="s">
        <v>861</v>
      </c>
      <c r="AS27" s="61"/>
      <c r="AT27" s="61"/>
      <c r="AU27" s="63"/>
      <c r="AV27" s="64"/>
      <c r="AW27" s="64"/>
      <c r="AX27" s="64"/>
      <c r="AY27" s="64"/>
      <c r="AZ27" s="72"/>
      <c r="BA27" s="73"/>
      <c r="BB27" s="73"/>
      <c r="BC27" s="73"/>
      <c r="BD27" s="73"/>
      <c r="BE27" s="66"/>
      <c r="BF27" s="56"/>
      <c r="BG27" s="56"/>
      <c r="BH27" s="56"/>
      <c r="BI27" s="56"/>
      <c r="BJ27" s="57"/>
      <c r="BK27" s="58"/>
      <c r="BL27" s="58"/>
      <c r="BM27" s="58"/>
      <c r="BN27" s="57"/>
      <c r="BO27" s="60"/>
      <c r="BP27" s="61"/>
      <c r="BQ27" s="61"/>
      <c r="BR27" s="61"/>
      <c r="BS27" s="61"/>
      <c r="BT27" s="74"/>
    </row>
    <row r="28" spans="2:72" ht="45">
      <c r="B28" s="47" t="s">
        <v>899</v>
      </c>
      <c r="C28" s="48" t="s">
        <v>1414</v>
      </c>
      <c r="D28" s="49" t="s">
        <v>932</v>
      </c>
      <c r="E28" s="70" t="s">
        <v>933</v>
      </c>
      <c r="F28" s="273">
        <v>45470</v>
      </c>
      <c r="G28" s="273">
        <v>45491</v>
      </c>
      <c r="H28" s="273">
        <v>45505</v>
      </c>
      <c r="I28" s="273" t="s">
        <v>1299</v>
      </c>
      <c r="J28" s="49" t="s">
        <v>463</v>
      </c>
      <c r="K28" s="49" t="s">
        <v>1441</v>
      </c>
      <c r="L28" s="64"/>
      <c r="M28" s="266"/>
      <c r="N28" s="64"/>
      <c r="O28" s="64"/>
      <c r="P28" s="57"/>
      <c r="Q28" s="60"/>
      <c r="R28" s="61"/>
      <c r="S28" s="61"/>
      <c r="T28" s="56"/>
      <c r="U28" s="61"/>
      <c r="V28" s="63"/>
      <c r="W28" s="64"/>
      <c r="X28" s="64"/>
      <c r="Y28" s="64"/>
      <c r="Z28" s="213"/>
      <c r="AA28" s="72"/>
      <c r="AB28" s="64"/>
      <c r="AC28" s="73"/>
      <c r="AD28" s="73"/>
      <c r="AE28" s="73"/>
      <c r="AF28" s="66"/>
      <c r="AG28" s="56"/>
      <c r="AH28" s="56"/>
      <c r="AI28" s="56"/>
      <c r="AJ28" s="56"/>
      <c r="AK28" s="57"/>
      <c r="AL28" s="58"/>
      <c r="AM28" s="58"/>
      <c r="AN28" s="58"/>
      <c r="AO28" s="138" t="s">
        <v>860</v>
      </c>
      <c r="AP28" s="60"/>
      <c r="AQ28" s="61"/>
      <c r="AR28" s="95" t="s">
        <v>861</v>
      </c>
      <c r="AS28" s="61"/>
      <c r="AT28" s="61"/>
      <c r="AU28" s="63"/>
      <c r="AV28" s="64"/>
      <c r="AW28" s="64"/>
      <c r="AX28" s="64"/>
      <c r="AY28" s="64"/>
      <c r="AZ28" s="72"/>
      <c r="BA28" s="73"/>
      <c r="BB28" s="73"/>
      <c r="BC28" s="73"/>
      <c r="BD28" s="73"/>
      <c r="BE28" s="66"/>
      <c r="BF28" s="56"/>
      <c r="BG28" s="56"/>
      <c r="BH28" s="56"/>
      <c r="BI28" s="56"/>
      <c r="BJ28" s="57"/>
      <c r="BK28" s="58"/>
      <c r="BL28" s="58"/>
      <c r="BM28" s="58"/>
      <c r="BN28" s="57"/>
      <c r="BO28" s="60"/>
      <c r="BP28" s="61"/>
      <c r="BQ28" s="61"/>
      <c r="BR28" s="61"/>
      <c r="BS28" s="61"/>
      <c r="BT28" s="74"/>
    </row>
    <row r="29" spans="2:72" ht="45">
      <c r="B29" s="47" t="s">
        <v>899</v>
      </c>
      <c r="C29" s="48" t="s">
        <v>1414</v>
      </c>
      <c r="D29" s="49" t="s">
        <v>1418</v>
      </c>
      <c r="E29" s="70" t="s">
        <v>921</v>
      </c>
      <c r="F29" s="273">
        <v>45470</v>
      </c>
      <c r="G29" s="273">
        <v>45491</v>
      </c>
      <c r="H29" s="273">
        <v>45505</v>
      </c>
      <c r="I29" s="273" t="s">
        <v>1299</v>
      </c>
      <c r="J29" s="49" t="s">
        <v>463</v>
      </c>
      <c r="K29" s="49" t="s">
        <v>1441</v>
      </c>
      <c r="L29" s="64"/>
      <c r="M29" s="266"/>
      <c r="N29" s="64"/>
      <c r="O29" s="64"/>
      <c r="P29" s="57"/>
      <c r="Q29" s="60"/>
      <c r="R29" s="61"/>
      <c r="S29" s="61"/>
      <c r="T29" s="56"/>
      <c r="U29" s="61"/>
      <c r="V29" s="63"/>
      <c r="W29" s="64"/>
      <c r="X29" s="64"/>
      <c r="Y29" s="64"/>
      <c r="Z29" s="213"/>
      <c r="AA29" s="72"/>
      <c r="AB29" s="64"/>
      <c r="AC29" s="73"/>
      <c r="AD29" s="73"/>
      <c r="AE29" s="73"/>
      <c r="AF29" s="66"/>
      <c r="AG29" s="56"/>
      <c r="AH29" s="56"/>
      <c r="AI29" s="56"/>
      <c r="AJ29" s="56"/>
      <c r="AK29" s="57"/>
      <c r="AL29" s="58"/>
      <c r="AM29" s="58"/>
      <c r="AN29" s="58"/>
      <c r="AO29" s="138" t="s">
        <v>860</v>
      </c>
      <c r="AP29" s="60"/>
      <c r="AQ29" s="61"/>
      <c r="AR29" s="95" t="s">
        <v>861</v>
      </c>
      <c r="AS29" s="61"/>
      <c r="AT29" s="61"/>
      <c r="AU29" s="63"/>
      <c r="AV29" s="64"/>
      <c r="AW29" s="64"/>
      <c r="AX29" s="64"/>
      <c r="AY29" s="64"/>
      <c r="AZ29" s="72"/>
      <c r="BA29" s="73"/>
      <c r="BB29" s="73"/>
      <c r="BC29" s="73"/>
      <c r="BD29" s="73"/>
      <c r="BE29" s="66"/>
      <c r="BF29" s="56"/>
      <c r="BG29" s="56"/>
      <c r="BH29" s="56"/>
      <c r="BI29" s="56"/>
      <c r="BJ29" s="57"/>
      <c r="BK29" s="58"/>
      <c r="BL29" s="58"/>
      <c r="BM29" s="58"/>
      <c r="BN29" s="57"/>
      <c r="BO29" s="60"/>
      <c r="BP29" s="61"/>
      <c r="BQ29" s="61"/>
      <c r="BR29" s="61"/>
      <c r="BS29" s="61"/>
      <c r="BT29" s="74"/>
    </row>
    <row r="30" spans="2:72" ht="45">
      <c r="B30" s="47" t="s">
        <v>899</v>
      </c>
      <c r="C30" s="48" t="s">
        <v>1320</v>
      </c>
      <c r="D30" s="49" t="s">
        <v>938</v>
      </c>
      <c r="E30" s="70" t="s">
        <v>1461</v>
      </c>
      <c r="F30" s="273">
        <v>45470</v>
      </c>
      <c r="G30" s="273">
        <v>45491</v>
      </c>
      <c r="H30" s="273">
        <v>45505</v>
      </c>
      <c r="I30" s="273" t="s">
        <v>1299</v>
      </c>
      <c r="J30" s="49" t="s">
        <v>463</v>
      </c>
      <c r="K30" s="49" t="s">
        <v>1441</v>
      </c>
      <c r="L30" s="64"/>
      <c r="M30" s="266"/>
      <c r="N30" s="64"/>
      <c r="O30" s="64"/>
      <c r="P30" s="57"/>
      <c r="Q30" s="60"/>
      <c r="R30" s="61"/>
      <c r="S30" s="61"/>
      <c r="T30" s="56"/>
      <c r="U30" s="61"/>
      <c r="V30" s="63"/>
      <c r="W30" s="64"/>
      <c r="X30" s="64"/>
      <c r="Y30" s="64"/>
      <c r="Z30" s="213"/>
      <c r="AA30" s="72"/>
      <c r="AB30" s="64"/>
      <c r="AC30" s="73"/>
      <c r="AD30" s="73"/>
      <c r="AE30" s="73"/>
      <c r="AF30" s="66"/>
      <c r="AG30" s="56"/>
      <c r="AH30" s="56"/>
      <c r="AI30" s="56"/>
      <c r="AJ30" s="56"/>
      <c r="AK30" s="57"/>
      <c r="AL30" s="58"/>
      <c r="AM30" s="58"/>
      <c r="AN30" s="58"/>
      <c r="AO30" s="138" t="s">
        <v>860</v>
      </c>
      <c r="AP30" s="60"/>
      <c r="AQ30" s="61"/>
      <c r="AR30" s="95" t="s">
        <v>861</v>
      </c>
      <c r="AS30" s="61"/>
      <c r="AT30" s="61"/>
      <c r="AU30" s="63"/>
      <c r="AV30" s="64"/>
      <c r="AW30" s="64"/>
      <c r="AX30" s="64"/>
      <c r="AY30" s="64"/>
      <c r="AZ30" s="72"/>
      <c r="BA30" s="73"/>
      <c r="BB30" s="73"/>
      <c r="BC30" s="73"/>
      <c r="BD30" s="73"/>
      <c r="BE30" s="66"/>
      <c r="BF30" s="56"/>
      <c r="BG30" s="56"/>
      <c r="BH30" s="56"/>
      <c r="BI30" s="56"/>
      <c r="BJ30" s="57"/>
      <c r="BK30" s="58"/>
      <c r="BL30" s="58"/>
      <c r="BM30" s="58"/>
      <c r="BN30" s="57"/>
      <c r="BO30" s="60"/>
      <c r="BP30" s="61"/>
      <c r="BQ30" s="61"/>
      <c r="BR30" s="61"/>
      <c r="BS30" s="61"/>
      <c r="BT30" s="74"/>
    </row>
    <row r="31" spans="2:72" ht="45">
      <c r="B31" s="47" t="s">
        <v>899</v>
      </c>
      <c r="C31" s="48" t="s">
        <v>1320</v>
      </c>
      <c r="D31" s="49" t="s">
        <v>936</v>
      </c>
      <c r="E31" s="70" t="s">
        <v>937</v>
      </c>
      <c r="F31" s="273">
        <v>45470</v>
      </c>
      <c r="G31" s="273">
        <v>45491</v>
      </c>
      <c r="H31" s="273">
        <v>45505</v>
      </c>
      <c r="I31" s="273" t="s">
        <v>1299</v>
      </c>
      <c r="J31" s="49" t="s">
        <v>463</v>
      </c>
      <c r="K31" s="49" t="s">
        <v>1441</v>
      </c>
      <c r="L31" s="64"/>
      <c r="M31" s="266"/>
      <c r="N31" s="64"/>
      <c r="O31" s="64"/>
      <c r="P31" s="57"/>
      <c r="Q31" s="60"/>
      <c r="R31" s="61"/>
      <c r="S31" s="61"/>
      <c r="T31" s="56"/>
      <c r="U31" s="61"/>
      <c r="V31" s="63"/>
      <c r="W31" s="64"/>
      <c r="X31" s="64"/>
      <c r="Y31" s="64"/>
      <c r="Z31" s="213"/>
      <c r="AA31" s="72"/>
      <c r="AB31" s="64"/>
      <c r="AC31" s="73"/>
      <c r="AD31" s="73"/>
      <c r="AE31" s="73"/>
      <c r="AF31" s="66"/>
      <c r="AG31" s="56"/>
      <c r="AH31" s="56"/>
      <c r="AI31" s="56"/>
      <c r="AJ31" s="56"/>
      <c r="AK31" s="57"/>
      <c r="AL31" s="58"/>
      <c r="AM31" s="58"/>
      <c r="AN31" s="58"/>
      <c r="AO31" s="138" t="s">
        <v>860</v>
      </c>
      <c r="AP31" s="60"/>
      <c r="AQ31" s="61"/>
      <c r="AR31" s="95" t="s">
        <v>861</v>
      </c>
      <c r="AS31" s="61"/>
      <c r="AT31" s="61"/>
      <c r="AU31" s="63"/>
      <c r="AV31" s="64"/>
      <c r="AW31" s="64"/>
      <c r="AX31" s="64"/>
      <c r="AY31" s="64"/>
      <c r="AZ31" s="72"/>
      <c r="BA31" s="73"/>
      <c r="BB31" s="73"/>
      <c r="BC31" s="73"/>
      <c r="BD31" s="73"/>
      <c r="BE31" s="66"/>
      <c r="BF31" s="56"/>
      <c r="BG31" s="56"/>
      <c r="BH31" s="56"/>
      <c r="BI31" s="56"/>
      <c r="BJ31" s="57"/>
      <c r="BK31" s="58"/>
      <c r="BL31" s="58"/>
      <c r="BM31" s="58"/>
      <c r="BN31" s="57"/>
      <c r="BO31" s="60"/>
      <c r="BP31" s="61"/>
      <c r="BQ31" s="61"/>
      <c r="BR31" s="61"/>
      <c r="BS31" s="61"/>
      <c r="BT31" s="74"/>
    </row>
    <row r="32" spans="2:72" ht="45">
      <c r="B32" s="47" t="s">
        <v>899</v>
      </c>
      <c r="C32" s="48" t="s">
        <v>1320</v>
      </c>
      <c r="D32" s="49" t="s">
        <v>918</v>
      </c>
      <c r="E32" s="70" t="s">
        <v>919</v>
      </c>
      <c r="F32" s="273">
        <v>45470</v>
      </c>
      <c r="G32" s="273">
        <v>45491</v>
      </c>
      <c r="H32" s="273">
        <v>45505</v>
      </c>
      <c r="I32" s="273" t="s">
        <v>1299</v>
      </c>
      <c r="J32" s="49" t="s">
        <v>463</v>
      </c>
      <c r="K32" s="49" t="s">
        <v>1441</v>
      </c>
      <c r="L32" s="64"/>
      <c r="M32" s="266"/>
      <c r="N32" s="64"/>
      <c r="O32" s="64"/>
      <c r="P32" s="57"/>
      <c r="Q32" s="60"/>
      <c r="R32" s="61"/>
      <c r="S32" s="61"/>
      <c r="T32" s="56"/>
      <c r="U32" s="61"/>
      <c r="V32" s="63"/>
      <c r="W32" s="64"/>
      <c r="X32" s="64"/>
      <c r="Y32" s="64"/>
      <c r="Z32" s="213"/>
      <c r="AA32" s="72"/>
      <c r="AB32" s="64"/>
      <c r="AC32" s="73"/>
      <c r="AD32" s="73"/>
      <c r="AE32" s="73"/>
      <c r="AF32" s="66"/>
      <c r="AG32" s="56"/>
      <c r="AH32" s="56"/>
      <c r="AI32" s="56"/>
      <c r="AJ32" s="56"/>
      <c r="AK32" s="57"/>
      <c r="AL32" s="58"/>
      <c r="AM32" s="58"/>
      <c r="AN32" s="58"/>
      <c r="AO32" s="138" t="s">
        <v>860</v>
      </c>
      <c r="AP32" s="60"/>
      <c r="AQ32" s="61"/>
      <c r="AR32" s="95" t="s">
        <v>861</v>
      </c>
      <c r="AS32" s="61"/>
      <c r="AT32" s="61"/>
      <c r="AU32" s="63"/>
      <c r="AV32" s="64"/>
      <c r="AW32" s="64"/>
      <c r="AX32" s="64"/>
      <c r="AY32" s="64"/>
      <c r="AZ32" s="72"/>
      <c r="BA32" s="73"/>
      <c r="BB32" s="73"/>
      <c r="BC32" s="73"/>
      <c r="BD32" s="73"/>
      <c r="BE32" s="66"/>
      <c r="BF32" s="56"/>
      <c r="BG32" s="56"/>
      <c r="BH32" s="56"/>
      <c r="BI32" s="56"/>
      <c r="BJ32" s="57"/>
      <c r="BK32" s="58"/>
      <c r="BL32" s="58"/>
      <c r="BM32" s="58"/>
      <c r="BN32" s="57"/>
      <c r="BO32" s="60"/>
      <c r="BP32" s="61"/>
      <c r="BQ32" s="61"/>
      <c r="BR32" s="61"/>
      <c r="BS32" s="61"/>
      <c r="BT32" s="74"/>
    </row>
    <row r="33" spans="2:72" ht="45">
      <c r="B33" s="47" t="s">
        <v>899</v>
      </c>
      <c r="C33" s="48" t="s">
        <v>1320</v>
      </c>
      <c r="D33" s="49" t="s">
        <v>923</v>
      </c>
      <c r="E33" s="70" t="s">
        <v>924</v>
      </c>
      <c r="F33" s="273">
        <v>45470</v>
      </c>
      <c r="G33" s="273">
        <v>45491</v>
      </c>
      <c r="H33" s="273">
        <v>45505</v>
      </c>
      <c r="I33" s="273" t="s">
        <v>1299</v>
      </c>
      <c r="J33" s="49" t="s">
        <v>463</v>
      </c>
      <c r="K33" s="49" t="s">
        <v>1441</v>
      </c>
      <c r="L33" s="64"/>
      <c r="M33" s="266"/>
      <c r="N33" s="64"/>
      <c r="O33" s="64"/>
      <c r="P33" s="57"/>
      <c r="Q33" s="60"/>
      <c r="R33" s="61"/>
      <c r="S33" s="61"/>
      <c r="T33" s="56"/>
      <c r="U33" s="61"/>
      <c r="V33" s="63"/>
      <c r="W33" s="64"/>
      <c r="X33" s="64"/>
      <c r="Y33" s="64"/>
      <c r="Z33" s="213"/>
      <c r="AA33" s="72"/>
      <c r="AB33" s="64"/>
      <c r="AC33" s="73"/>
      <c r="AD33" s="73"/>
      <c r="AE33" s="73"/>
      <c r="AF33" s="66"/>
      <c r="AG33" s="56"/>
      <c r="AH33" s="56"/>
      <c r="AI33" s="56"/>
      <c r="AJ33" s="56"/>
      <c r="AK33" s="57"/>
      <c r="AL33" s="58"/>
      <c r="AM33" s="58"/>
      <c r="AN33" s="58"/>
      <c r="AO33" s="138" t="s">
        <v>860</v>
      </c>
      <c r="AP33" s="60"/>
      <c r="AQ33" s="61"/>
      <c r="AR33" s="95" t="s">
        <v>861</v>
      </c>
      <c r="AS33" s="61"/>
      <c r="AT33" s="61"/>
      <c r="AU33" s="63"/>
      <c r="AV33" s="64"/>
      <c r="AW33" s="64"/>
      <c r="AX33" s="64"/>
      <c r="AY33" s="64"/>
      <c r="AZ33" s="72"/>
      <c r="BA33" s="73"/>
      <c r="BB33" s="73"/>
      <c r="BC33" s="73"/>
      <c r="BD33" s="73"/>
      <c r="BE33" s="66"/>
      <c r="BF33" s="56"/>
      <c r="BG33" s="56"/>
      <c r="BH33" s="56"/>
      <c r="BI33" s="56"/>
      <c r="BJ33" s="57"/>
      <c r="BK33" s="58"/>
      <c r="BL33" s="58"/>
      <c r="BM33" s="58"/>
      <c r="BN33" s="57"/>
      <c r="BO33" s="60"/>
      <c r="BP33" s="61"/>
      <c r="BQ33" s="61"/>
      <c r="BR33" s="61"/>
      <c r="BS33" s="61"/>
      <c r="BT33" s="74"/>
    </row>
    <row r="34" spans="2:72" ht="45">
      <c r="B34" s="47" t="s">
        <v>899</v>
      </c>
      <c r="C34" s="48" t="s">
        <v>1462</v>
      </c>
      <c r="D34" s="49" t="s">
        <v>1463</v>
      </c>
      <c r="E34" s="70" t="s">
        <v>1464</v>
      </c>
      <c r="F34" s="273">
        <v>45470</v>
      </c>
      <c r="G34" s="273">
        <v>45491</v>
      </c>
      <c r="H34" s="273">
        <v>45505</v>
      </c>
      <c r="I34" s="273" t="s">
        <v>1299</v>
      </c>
      <c r="J34" s="49" t="s">
        <v>463</v>
      </c>
      <c r="K34" s="49" t="s">
        <v>1441</v>
      </c>
      <c r="L34" s="64"/>
      <c r="M34" s="266"/>
      <c r="N34" s="64"/>
      <c r="O34" s="64"/>
      <c r="P34" s="57"/>
      <c r="Q34" s="60"/>
      <c r="R34" s="61"/>
      <c r="S34" s="61"/>
      <c r="T34" s="56"/>
      <c r="U34" s="61"/>
      <c r="V34" s="63"/>
      <c r="W34" s="64"/>
      <c r="X34" s="64"/>
      <c r="Y34" s="64"/>
      <c r="Z34" s="213"/>
      <c r="AA34" s="72"/>
      <c r="AB34" s="64"/>
      <c r="AC34" s="73"/>
      <c r="AD34" s="73"/>
      <c r="AE34" s="73"/>
      <c r="AF34" s="66"/>
      <c r="AG34" s="56"/>
      <c r="AH34" s="56"/>
      <c r="AI34" s="56"/>
      <c r="AJ34" s="56"/>
      <c r="AK34" s="57"/>
      <c r="AL34" s="58"/>
      <c r="AM34" s="58"/>
      <c r="AN34" s="58"/>
      <c r="AO34" s="138" t="s">
        <v>860</v>
      </c>
      <c r="AP34" s="60"/>
      <c r="AQ34" s="61"/>
      <c r="AR34" s="95" t="s">
        <v>861</v>
      </c>
      <c r="AS34" s="61"/>
      <c r="AT34" s="61"/>
      <c r="AU34" s="63"/>
      <c r="AV34" s="64"/>
      <c r="AW34" s="64"/>
      <c r="AX34" s="64"/>
      <c r="AY34" s="64"/>
      <c r="AZ34" s="72"/>
      <c r="BA34" s="73"/>
      <c r="BB34" s="73"/>
      <c r="BC34" s="73"/>
      <c r="BD34" s="73"/>
      <c r="BE34" s="66"/>
      <c r="BF34" s="56"/>
      <c r="BG34" s="56"/>
      <c r="BH34" s="56"/>
      <c r="BI34" s="56"/>
      <c r="BJ34" s="57"/>
      <c r="BK34" s="58"/>
      <c r="BL34" s="58"/>
      <c r="BM34" s="58"/>
      <c r="BN34" s="57"/>
      <c r="BO34" s="60"/>
      <c r="BP34" s="61"/>
      <c r="BQ34" s="61"/>
      <c r="BR34" s="61"/>
      <c r="BS34" s="61"/>
      <c r="BT34" s="74"/>
    </row>
    <row r="35" spans="2:72" ht="45">
      <c r="B35" s="47" t="s">
        <v>899</v>
      </c>
      <c r="C35" s="48" t="s">
        <v>1328</v>
      </c>
      <c r="D35" s="49" t="s">
        <v>901</v>
      </c>
      <c r="E35" s="70" t="s">
        <v>902</v>
      </c>
      <c r="F35" s="273">
        <v>45470</v>
      </c>
      <c r="G35" s="273">
        <v>45491</v>
      </c>
      <c r="H35" s="273">
        <v>45505</v>
      </c>
      <c r="I35" s="273" t="s">
        <v>1299</v>
      </c>
      <c r="J35" s="49" t="s">
        <v>463</v>
      </c>
      <c r="K35" s="49" t="s">
        <v>1441</v>
      </c>
      <c r="L35" s="64"/>
      <c r="M35" s="266"/>
      <c r="N35" s="64"/>
      <c r="O35" s="64"/>
      <c r="P35" s="57"/>
      <c r="Q35" s="60"/>
      <c r="R35" s="61"/>
      <c r="S35" s="61"/>
      <c r="T35" s="56"/>
      <c r="U35" s="61"/>
      <c r="V35" s="63"/>
      <c r="W35" s="64"/>
      <c r="X35" s="64"/>
      <c r="Y35" s="64"/>
      <c r="Z35" s="213"/>
      <c r="AA35" s="72"/>
      <c r="AB35" s="64"/>
      <c r="AC35" s="73"/>
      <c r="AD35" s="73"/>
      <c r="AE35" s="73"/>
      <c r="AF35" s="66"/>
      <c r="AG35" s="56"/>
      <c r="AH35" s="56"/>
      <c r="AI35" s="56"/>
      <c r="AJ35" s="56"/>
      <c r="AK35" s="57"/>
      <c r="AL35" s="58"/>
      <c r="AM35" s="58"/>
      <c r="AN35" s="58"/>
      <c r="AO35" s="138" t="s">
        <v>860</v>
      </c>
      <c r="AP35" s="60"/>
      <c r="AQ35" s="61"/>
      <c r="AR35" s="95" t="s">
        <v>861</v>
      </c>
      <c r="AS35" s="61"/>
      <c r="AT35" s="61"/>
      <c r="AU35" s="63"/>
      <c r="AV35" s="64"/>
      <c r="AW35" s="64"/>
      <c r="AX35" s="64"/>
      <c r="AY35" s="64"/>
      <c r="AZ35" s="72"/>
      <c r="BA35" s="73"/>
      <c r="BB35" s="73"/>
      <c r="BC35" s="73"/>
      <c r="BD35" s="73"/>
      <c r="BE35" s="66"/>
      <c r="BF35" s="56"/>
      <c r="BG35" s="56"/>
      <c r="BH35" s="56"/>
      <c r="BI35" s="56"/>
      <c r="BJ35" s="57"/>
      <c r="BK35" s="58"/>
      <c r="BL35" s="58"/>
      <c r="BM35" s="58"/>
      <c r="BN35" s="57"/>
      <c r="BO35" s="60"/>
      <c r="BP35" s="61"/>
      <c r="BQ35" s="61"/>
      <c r="BR35" s="61"/>
      <c r="BS35" s="61"/>
      <c r="BT35" s="74"/>
    </row>
    <row r="36" spans="2:72" ht="45">
      <c r="B36" s="47" t="s">
        <v>899</v>
      </c>
      <c r="C36" s="48" t="s">
        <v>1330</v>
      </c>
      <c r="D36" s="49" t="s">
        <v>1465</v>
      </c>
      <c r="E36" s="70" t="s">
        <v>1466</v>
      </c>
      <c r="F36" s="273">
        <v>45470</v>
      </c>
      <c r="G36" s="273">
        <v>45491</v>
      </c>
      <c r="H36" s="273">
        <v>45505</v>
      </c>
      <c r="I36" s="273" t="s">
        <v>1299</v>
      </c>
      <c r="J36" s="49" t="s">
        <v>463</v>
      </c>
      <c r="K36" s="49" t="s">
        <v>1441</v>
      </c>
      <c r="L36" s="64"/>
      <c r="M36" s="266"/>
      <c r="N36" s="64"/>
      <c r="O36" s="64"/>
      <c r="P36" s="57"/>
      <c r="Q36" s="60"/>
      <c r="R36" s="61"/>
      <c r="S36" s="61"/>
      <c r="T36" s="56"/>
      <c r="U36" s="61"/>
      <c r="V36" s="63"/>
      <c r="W36" s="64"/>
      <c r="X36" s="64"/>
      <c r="Y36" s="64"/>
      <c r="Z36" s="213"/>
      <c r="AA36" s="72"/>
      <c r="AB36" s="64"/>
      <c r="AC36" s="73"/>
      <c r="AD36" s="73"/>
      <c r="AE36" s="73"/>
      <c r="AF36" s="66"/>
      <c r="AG36" s="56"/>
      <c r="AH36" s="56"/>
      <c r="AI36" s="56"/>
      <c r="AJ36" s="56"/>
      <c r="AK36" s="57"/>
      <c r="AL36" s="58"/>
      <c r="AM36" s="58"/>
      <c r="AN36" s="58"/>
      <c r="AO36" s="138" t="s">
        <v>860</v>
      </c>
      <c r="AP36" s="60"/>
      <c r="AQ36" s="61"/>
      <c r="AR36" s="95" t="s">
        <v>861</v>
      </c>
      <c r="AS36" s="61"/>
      <c r="AT36" s="61"/>
      <c r="AU36" s="63"/>
      <c r="AV36" s="64"/>
      <c r="AW36" s="64"/>
      <c r="AX36" s="64"/>
      <c r="AY36" s="64"/>
      <c r="AZ36" s="72"/>
      <c r="BA36" s="73"/>
      <c r="BB36" s="73"/>
      <c r="BC36" s="73"/>
      <c r="BD36" s="73"/>
      <c r="BE36" s="66"/>
      <c r="BF36" s="56"/>
      <c r="BG36" s="56"/>
      <c r="BH36" s="56"/>
      <c r="BI36" s="56"/>
      <c r="BJ36" s="57"/>
      <c r="BK36" s="58"/>
      <c r="BL36" s="58"/>
      <c r="BM36" s="58"/>
      <c r="BN36" s="57"/>
      <c r="BO36" s="60"/>
      <c r="BP36" s="61"/>
      <c r="BQ36" s="61"/>
      <c r="BR36" s="61"/>
      <c r="BS36" s="61"/>
      <c r="BT36" s="74"/>
    </row>
    <row r="37" spans="2:72" ht="30" customHeight="1">
      <c r="B37" s="47" t="s">
        <v>899</v>
      </c>
      <c r="C37" s="48" t="s">
        <v>1332</v>
      </c>
      <c r="D37" s="49" t="s">
        <v>1333</v>
      </c>
      <c r="E37" s="70" t="s">
        <v>1467</v>
      </c>
      <c r="F37" s="273">
        <v>45470</v>
      </c>
      <c r="G37" s="273">
        <v>45491</v>
      </c>
      <c r="H37" s="273">
        <v>45505</v>
      </c>
      <c r="I37" s="273" t="s">
        <v>1299</v>
      </c>
      <c r="J37" s="49" t="s">
        <v>463</v>
      </c>
      <c r="K37" s="49" t="s">
        <v>1441</v>
      </c>
      <c r="L37" s="64"/>
      <c r="M37" s="266"/>
      <c r="N37" s="64"/>
      <c r="O37" s="64"/>
      <c r="P37" s="57"/>
      <c r="Q37" s="60"/>
      <c r="R37" s="61"/>
      <c r="S37" s="61"/>
      <c r="T37" s="56"/>
      <c r="U37" s="61"/>
      <c r="V37" s="63"/>
      <c r="W37" s="64"/>
      <c r="X37" s="64"/>
      <c r="Y37" s="64"/>
      <c r="Z37" s="213"/>
      <c r="AA37" s="72"/>
      <c r="AB37" s="64"/>
      <c r="AC37" s="73"/>
      <c r="AD37" s="73"/>
      <c r="AE37" s="73"/>
      <c r="AF37" s="66"/>
      <c r="AG37" s="56"/>
      <c r="AH37" s="56"/>
      <c r="AI37" s="56"/>
      <c r="AJ37" s="56"/>
      <c r="AK37" s="57"/>
      <c r="AL37" s="58"/>
      <c r="AM37" s="58"/>
      <c r="AN37" s="58"/>
      <c r="AO37" s="138" t="s">
        <v>860</v>
      </c>
      <c r="AP37" s="60"/>
      <c r="AQ37" s="61"/>
      <c r="AR37" s="95" t="s">
        <v>861</v>
      </c>
      <c r="AS37" s="61"/>
      <c r="AT37" s="61"/>
      <c r="AU37" s="63"/>
      <c r="AV37" s="64"/>
      <c r="AW37" s="64"/>
      <c r="AX37" s="64"/>
      <c r="AY37" s="64"/>
      <c r="AZ37" s="72"/>
      <c r="BA37" s="73"/>
      <c r="BB37" s="73"/>
      <c r="BC37" s="73"/>
      <c r="BD37" s="73"/>
      <c r="BE37" s="66"/>
      <c r="BF37" s="56"/>
      <c r="BG37" s="56"/>
      <c r="BH37" s="56"/>
      <c r="BI37" s="56"/>
      <c r="BJ37" s="57"/>
      <c r="BK37" s="58"/>
      <c r="BL37" s="58"/>
      <c r="BM37" s="58"/>
      <c r="BN37" s="57"/>
      <c r="BO37" s="60"/>
      <c r="BP37" s="61"/>
      <c r="BQ37" s="61"/>
      <c r="BR37" s="61"/>
      <c r="BS37" s="61"/>
      <c r="BT37" s="74"/>
    </row>
    <row r="38" spans="2:72" ht="30" customHeight="1">
      <c r="B38" s="47" t="s">
        <v>899</v>
      </c>
      <c r="C38" s="48" t="s">
        <v>1334</v>
      </c>
      <c r="D38" s="49" t="s">
        <v>951</v>
      </c>
      <c r="E38" s="70" t="s">
        <v>952</v>
      </c>
      <c r="F38" s="273">
        <v>45470</v>
      </c>
      <c r="G38" s="273">
        <v>45491</v>
      </c>
      <c r="H38" s="273">
        <v>45505</v>
      </c>
      <c r="I38" s="273" t="s">
        <v>1299</v>
      </c>
      <c r="J38" s="49" t="s">
        <v>463</v>
      </c>
      <c r="K38" s="49" t="s">
        <v>1441</v>
      </c>
      <c r="L38" s="64"/>
      <c r="M38" s="266"/>
      <c r="N38" s="64"/>
      <c r="O38" s="64"/>
      <c r="P38" s="57"/>
      <c r="Q38" s="60"/>
      <c r="R38" s="61"/>
      <c r="S38" s="61"/>
      <c r="T38" s="56"/>
      <c r="U38" s="61"/>
      <c r="V38" s="63"/>
      <c r="W38" s="64"/>
      <c r="X38" s="64"/>
      <c r="Y38" s="64"/>
      <c r="Z38" s="213"/>
      <c r="AA38" s="72"/>
      <c r="AB38" s="64"/>
      <c r="AC38" s="73"/>
      <c r="AD38" s="73"/>
      <c r="AE38" s="73"/>
      <c r="AF38" s="66"/>
      <c r="AG38" s="56"/>
      <c r="AH38" s="56"/>
      <c r="AI38" s="56"/>
      <c r="AJ38" s="56"/>
      <c r="AK38" s="57"/>
      <c r="AL38" s="58"/>
      <c r="AM38" s="58"/>
      <c r="AN38" s="58"/>
      <c r="AO38" s="138" t="s">
        <v>860</v>
      </c>
      <c r="AP38" s="60"/>
      <c r="AQ38" s="61"/>
      <c r="AR38" s="95" t="s">
        <v>861</v>
      </c>
      <c r="AS38" s="61"/>
      <c r="AT38" s="61"/>
      <c r="AU38" s="63"/>
      <c r="AV38" s="64"/>
      <c r="AW38" s="64"/>
      <c r="AX38" s="64"/>
      <c r="AY38" s="64"/>
      <c r="AZ38" s="72"/>
      <c r="BA38" s="73"/>
      <c r="BB38" s="73"/>
      <c r="BC38" s="73"/>
      <c r="BD38" s="73"/>
      <c r="BE38" s="66"/>
      <c r="BF38" s="56"/>
      <c r="BG38" s="56"/>
      <c r="BH38" s="56"/>
      <c r="BI38" s="56"/>
      <c r="BJ38" s="57"/>
      <c r="BK38" s="58"/>
      <c r="BL38" s="58"/>
      <c r="BM38" s="58"/>
      <c r="BN38" s="57"/>
      <c r="BO38" s="60"/>
      <c r="BP38" s="61"/>
      <c r="BQ38" s="61"/>
      <c r="BR38" s="61"/>
      <c r="BS38" s="61"/>
      <c r="BT38" s="74"/>
    </row>
    <row r="39" spans="2:72" ht="30" customHeight="1">
      <c r="B39" s="47" t="s">
        <v>899</v>
      </c>
      <c r="C39" s="48" t="s">
        <v>1334</v>
      </c>
      <c r="D39" s="49" t="s">
        <v>953</v>
      </c>
      <c r="E39" s="70" t="s">
        <v>954</v>
      </c>
      <c r="F39" s="273">
        <v>45470</v>
      </c>
      <c r="G39" s="273">
        <v>45491</v>
      </c>
      <c r="H39" s="273">
        <v>45505</v>
      </c>
      <c r="I39" s="273" t="s">
        <v>1299</v>
      </c>
      <c r="J39" s="49" t="s">
        <v>463</v>
      </c>
      <c r="K39" s="49" t="s">
        <v>1441</v>
      </c>
      <c r="L39" s="64"/>
      <c r="M39" s="266"/>
      <c r="N39" s="64"/>
      <c r="O39" s="64"/>
      <c r="P39" s="57"/>
      <c r="Q39" s="60"/>
      <c r="R39" s="61"/>
      <c r="S39" s="61"/>
      <c r="T39" s="56"/>
      <c r="U39" s="61"/>
      <c r="V39" s="63"/>
      <c r="W39" s="64"/>
      <c r="X39" s="64"/>
      <c r="Y39" s="64"/>
      <c r="Z39" s="213"/>
      <c r="AA39" s="72"/>
      <c r="AB39" s="64"/>
      <c r="AC39" s="73"/>
      <c r="AD39" s="73"/>
      <c r="AE39" s="73"/>
      <c r="AF39" s="66"/>
      <c r="AG39" s="56"/>
      <c r="AH39" s="56"/>
      <c r="AI39" s="56"/>
      <c r="AJ39" s="56"/>
      <c r="AK39" s="57"/>
      <c r="AL39" s="58"/>
      <c r="AM39" s="58"/>
      <c r="AN39" s="58"/>
      <c r="AO39" s="138" t="s">
        <v>860</v>
      </c>
      <c r="AP39" s="60"/>
      <c r="AQ39" s="61"/>
      <c r="AR39" s="95" t="s">
        <v>861</v>
      </c>
      <c r="AS39" s="61"/>
      <c r="AT39" s="61"/>
      <c r="AU39" s="63"/>
      <c r="AV39" s="64"/>
      <c r="AW39" s="64"/>
      <c r="AX39" s="64"/>
      <c r="AY39" s="64"/>
      <c r="AZ39" s="72"/>
      <c r="BA39" s="73"/>
      <c r="BB39" s="73"/>
      <c r="BC39" s="73"/>
      <c r="BD39" s="73"/>
      <c r="BE39" s="66"/>
      <c r="BF39" s="56"/>
      <c r="BG39" s="56"/>
      <c r="BH39" s="56"/>
      <c r="BI39" s="56"/>
      <c r="BJ39" s="57"/>
      <c r="BK39" s="58"/>
      <c r="BL39" s="58"/>
      <c r="BM39" s="58"/>
      <c r="BN39" s="57"/>
      <c r="BO39" s="60"/>
      <c r="BP39" s="61"/>
      <c r="BQ39" s="61"/>
      <c r="BR39" s="61"/>
      <c r="BS39" s="61"/>
      <c r="BT39" s="74"/>
    </row>
    <row r="40" spans="2:72" ht="45">
      <c r="B40" s="47" t="s">
        <v>899</v>
      </c>
      <c r="C40" s="48" t="s">
        <v>1468</v>
      </c>
      <c r="D40" s="49" t="s">
        <v>1031</v>
      </c>
      <c r="E40" s="70" t="s">
        <v>1032</v>
      </c>
      <c r="F40" s="273">
        <v>45470</v>
      </c>
      <c r="G40" s="273">
        <v>45491</v>
      </c>
      <c r="H40" s="273">
        <v>45505</v>
      </c>
      <c r="I40" s="273" t="s">
        <v>1299</v>
      </c>
      <c r="J40" s="49" t="s">
        <v>463</v>
      </c>
      <c r="K40" s="49" t="s">
        <v>1441</v>
      </c>
      <c r="L40" s="64"/>
      <c r="M40" s="266"/>
      <c r="N40" s="64"/>
      <c r="O40" s="64"/>
      <c r="P40" s="57"/>
      <c r="Q40" s="60"/>
      <c r="R40" s="61"/>
      <c r="S40" s="61"/>
      <c r="T40" s="56"/>
      <c r="U40" s="61"/>
      <c r="V40" s="63"/>
      <c r="W40" s="64"/>
      <c r="X40" s="64"/>
      <c r="Y40" s="64"/>
      <c r="Z40" s="213"/>
      <c r="AA40" s="72"/>
      <c r="AB40" s="64"/>
      <c r="AC40" s="73"/>
      <c r="AD40" s="73"/>
      <c r="AE40" s="73"/>
      <c r="AF40" s="66"/>
      <c r="AG40" s="56"/>
      <c r="AH40" s="56"/>
      <c r="AI40" s="56"/>
      <c r="AJ40" s="56"/>
      <c r="AK40" s="57"/>
      <c r="AL40" s="58"/>
      <c r="AM40" s="58"/>
      <c r="AN40" s="61"/>
      <c r="AO40" s="138" t="s">
        <v>860</v>
      </c>
      <c r="AP40" s="60"/>
      <c r="AQ40" s="64"/>
      <c r="AR40" s="95" t="s">
        <v>861</v>
      </c>
      <c r="AS40" s="61"/>
      <c r="AT40" s="61"/>
      <c r="AU40" s="63"/>
      <c r="AV40" s="64"/>
      <c r="AW40" s="64"/>
      <c r="AX40" s="64"/>
      <c r="AY40" s="64"/>
      <c r="AZ40" s="72"/>
      <c r="BA40" s="73"/>
      <c r="BB40" s="73"/>
      <c r="BC40" s="73"/>
      <c r="BD40" s="73"/>
      <c r="BE40" s="66"/>
      <c r="BF40" s="56"/>
      <c r="BG40" s="56"/>
      <c r="BH40" s="56"/>
      <c r="BI40" s="56"/>
      <c r="BJ40" s="57"/>
      <c r="BK40" s="58"/>
      <c r="BL40" s="58"/>
      <c r="BM40" s="58"/>
      <c r="BN40" s="57"/>
      <c r="BO40" s="60"/>
      <c r="BP40" s="61"/>
      <c r="BQ40" s="61"/>
      <c r="BR40" s="61"/>
      <c r="BS40" s="61"/>
      <c r="BT40" s="74"/>
    </row>
    <row r="41" spans="2:72" ht="45">
      <c r="B41" s="47" t="s">
        <v>864</v>
      </c>
      <c r="C41" s="48" t="s">
        <v>1330</v>
      </c>
      <c r="D41" s="49" t="s">
        <v>1430</v>
      </c>
      <c r="E41" s="70" t="s">
        <v>1431</v>
      </c>
      <c r="F41" s="273">
        <v>45474</v>
      </c>
      <c r="G41" s="273">
        <v>45495</v>
      </c>
      <c r="H41" s="273">
        <v>45509</v>
      </c>
      <c r="I41" s="47" t="s">
        <v>1299</v>
      </c>
      <c r="J41" s="49" t="s">
        <v>463</v>
      </c>
      <c r="K41" s="49" t="s">
        <v>1441</v>
      </c>
      <c r="AP41" s="138" t="s">
        <v>860</v>
      </c>
      <c r="AS41" s="95" t="s">
        <v>861</v>
      </c>
    </row>
    <row r="42" spans="2:72" ht="45">
      <c r="B42" s="47" t="s">
        <v>864</v>
      </c>
      <c r="C42" s="48" t="s">
        <v>1310</v>
      </c>
      <c r="D42" s="49" t="s">
        <v>1424</v>
      </c>
      <c r="E42" s="70" t="s">
        <v>1425</v>
      </c>
      <c r="F42" s="273">
        <v>45474</v>
      </c>
      <c r="G42" s="273">
        <v>45495</v>
      </c>
      <c r="H42" s="273">
        <v>45509</v>
      </c>
      <c r="I42" s="47" t="s">
        <v>1299</v>
      </c>
      <c r="J42" s="49" t="s">
        <v>463</v>
      </c>
      <c r="K42" s="49" t="s">
        <v>1441</v>
      </c>
      <c r="AP42" s="138" t="s">
        <v>860</v>
      </c>
      <c r="AS42" s="95" t="s">
        <v>861</v>
      </c>
    </row>
    <row r="43" spans="2:72" ht="45">
      <c r="B43" s="47" t="s">
        <v>864</v>
      </c>
      <c r="C43" s="48" t="s">
        <v>1310</v>
      </c>
      <c r="D43" s="49" t="s">
        <v>1311</v>
      </c>
      <c r="E43" s="70" t="s">
        <v>1312</v>
      </c>
      <c r="F43" s="273">
        <v>45474</v>
      </c>
      <c r="G43" s="273">
        <v>45495</v>
      </c>
      <c r="H43" s="273">
        <v>45509</v>
      </c>
      <c r="I43" s="47" t="s">
        <v>1299</v>
      </c>
      <c r="J43" s="49" t="s">
        <v>463</v>
      </c>
      <c r="K43" s="49" t="s">
        <v>1441</v>
      </c>
      <c r="AP43" s="138" t="s">
        <v>860</v>
      </c>
      <c r="AS43" s="95" t="s">
        <v>861</v>
      </c>
    </row>
    <row r="44" spans="2:72" ht="45">
      <c r="B44" s="47" t="s">
        <v>864</v>
      </c>
      <c r="C44" s="48" t="s">
        <v>1310</v>
      </c>
      <c r="D44" s="49" t="s">
        <v>1426</v>
      </c>
      <c r="E44" s="70" t="s">
        <v>1427</v>
      </c>
      <c r="F44" s="273">
        <v>45474</v>
      </c>
      <c r="G44" s="273">
        <v>45495</v>
      </c>
      <c r="H44" s="273">
        <v>45509</v>
      </c>
      <c r="I44" s="47" t="s">
        <v>1299</v>
      </c>
      <c r="J44" s="49" t="s">
        <v>463</v>
      </c>
      <c r="K44" s="49" t="s">
        <v>1441</v>
      </c>
      <c r="AP44" s="138" t="s">
        <v>860</v>
      </c>
      <c r="AS44" s="95" t="s">
        <v>861</v>
      </c>
    </row>
    <row r="45" spans="2:72" ht="45">
      <c r="B45" s="47" t="s">
        <v>864</v>
      </c>
      <c r="C45" s="48" t="s">
        <v>1320</v>
      </c>
      <c r="D45" s="49" t="s">
        <v>1469</v>
      </c>
      <c r="E45" s="70" t="s">
        <v>1470</v>
      </c>
      <c r="F45" s="273">
        <v>45474</v>
      </c>
      <c r="G45" s="273">
        <v>45495</v>
      </c>
      <c r="H45" s="273">
        <v>45509</v>
      </c>
      <c r="I45" s="47" t="s">
        <v>1299</v>
      </c>
      <c r="J45" s="49" t="s">
        <v>463</v>
      </c>
      <c r="K45" s="49" t="s">
        <v>1441</v>
      </c>
      <c r="AP45" s="138" t="s">
        <v>860</v>
      </c>
      <c r="AS45" s="95" t="s">
        <v>861</v>
      </c>
    </row>
    <row r="46" spans="2:72" ht="45">
      <c r="B46" s="47" t="s">
        <v>864</v>
      </c>
      <c r="C46" s="48" t="s">
        <v>1320</v>
      </c>
      <c r="D46" s="49" t="s">
        <v>1471</v>
      </c>
      <c r="E46" s="70" t="s">
        <v>1472</v>
      </c>
      <c r="F46" s="273">
        <v>45474</v>
      </c>
      <c r="G46" s="273">
        <v>45495</v>
      </c>
      <c r="H46" s="273">
        <v>45509</v>
      </c>
      <c r="I46" s="47" t="s">
        <v>1299</v>
      </c>
      <c r="J46" s="49" t="s">
        <v>463</v>
      </c>
      <c r="K46" s="49" t="s">
        <v>1441</v>
      </c>
      <c r="AP46" s="138" t="s">
        <v>860</v>
      </c>
      <c r="AS46" s="95" t="s">
        <v>861</v>
      </c>
    </row>
    <row r="47" spans="2:72" ht="45">
      <c r="B47" s="47" t="s">
        <v>864</v>
      </c>
      <c r="C47" s="48" t="s">
        <v>1414</v>
      </c>
      <c r="D47" s="49" t="s">
        <v>1473</v>
      </c>
      <c r="E47" s="70" t="s">
        <v>1474</v>
      </c>
      <c r="F47" s="273">
        <v>45474</v>
      </c>
      <c r="G47" s="273">
        <v>45495</v>
      </c>
      <c r="H47" s="273">
        <v>45509</v>
      </c>
      <c r="I47" s="47" t="s">
        <v>1299</v>
      </c>
      <c r="J47" s="49" t="s">
        <v>463</v>
      </c>
      <c r="K47" s="49" t="s">
        <v>1441</v>
      </c>
      <c r="AP47" s="138" t="s">
        <v>860</v>
      </c>
      <c r="AS47" s="95" t="s">
        <v>861</v>
      </c>
    </row>
    <row r="48" spans="2:72" ht="45">
      <c r="B48" s="47" t="s">
        <v>864</v>
      </c>
      <c r="C48" s="48" t="s">
        <v>1316</v>
      </c>
      <c r="D48" s="49" t="s">
        <v>1475</v>
      </c>
      <c r="E48" s="70" t="s">
        <v>1476</v>
      </c>
      <c r="F48" s="273">
        <v>45474</v>
      </c>
      <c r="G48" s="273">
        <v>45495</v>
      </c>
      <c r="H48" s="273">
        <v>45509</v>
      </c>
      <c r="I48" s="47" t="s">
        <v>1299</v>
      </c>
      <c r="J48" s="49" t="s">
        <v>463</v>
      </c>
      <c r="K48" s="49" t="s">
        <v>1441</v>
      </c>
      <c r="AP48" s="138" t="s">
        <v>860</v>
      </c>
      <c r="AS48" s="95" t="s">
        <v>861</v>
      </c>
    </row>
    <row r="49" spans="2:45" ht="45">
      <c r="B49" s="47" t="s">
        <v>864</v>
      </c>
      <c r="C49" s="48" t="s">
        <v>1432</v>
      </c>
      <c r="D49" s="49" t="s">
        <v>1433</v>
      </c>
      <c r="E49" s="70" t="s">
        <v>1434</v>
      </c>
      <c r="F49" s="273">
        <v>45474</v>
      </c>
      <c r="G49" s="273">
        <v>45495</v>
      </c>
      <c r="H49" s="273">
        <v>45509</v>
      </c>
      <c r="I49" s="47" t="s">
        <v>1299</v>
      </c>
      <c r="J49" s="49" t="s">
        <v>463</v>
      </c>
      <c r="K49" s="49" t="s">
        <v>1441</v>
      </c>
      <c r="AP49" s="138" t="s">
        <v>860</v>
      </c>
      <c r="AS49" s="95" t="s">
        <v>861</v>
      </c>
    </row>
    <row r="50" spans="2:45" ht="45">
      <c r="B50" s="47" t="s">
        <v>864</v>
      </c>
      <c r="C50" s="48" t="s">
        <v>1428</v>
      </c>
      <c r="D50" s="49" t="s">
        <v>973</v>
      </c>
      <c r="E50" s="70" t="s">
        <v>974</v>
      </c>
      <c r="F50" s="273">
        <v>45474</v>
      </c>
      <c r="G50" s="273">
        <v>45495</v>
      </c>
      <c r="H50" s="273">
        <v>45509</v>
      </c>
      <c r="I50" s="47" t="s">
        <v>1299</v>
      </c>
      <c r="J50" s="49" t="s">
        <v>463</v>
      </c>
      <c r="K50" s="49" t="s">
        <v>1441</v>
      </c>
      <c r="AP50" s="138" t="s">
        <v>860</v>
      </c>
      <c r="AS50" s="95" t="s">
        <v>861</v>
      </c>
    </row>
    <row r="51" spans="2:45" ht="45">
      <c r="B51" s="47" t="s">
        <v>864</v>
      </c>
      <c r="C51" s="48" t="s">
        <v>1428</v>
      </c>
      <c r="D51" s="49" t="s">
        <v>973</v>
      </c>
      <c r="E51" s="70" t="s">
        <v>974</v>
      </c>
      <c r="F51" s="273">
        <v>45474</v>
      </c>
      <c r="G51" s="273">
        <v>45495</v>
      </c>
      <c r="H51" s="273">
        <v>45509</v>
      </c>
      <c r="I51" s="47" t="s">
        <v>1299</v>
      </c>
      <c r="J51" s="49" t="s">
        <v>463</v>
      </c>
      <c r="K51" s="49" t="s">
        <v>1441</v>
      </c>
      <c r="AP51" s="138" t="s">
        <v>860</v>
      </c>
      <c r="AS51" s="95" t="s">
        <v>861</v>
      </c>
    </row>
    <row r="52" spans="2:45" ht="45">
      <c r="B52" s="47" t="s">
        <v>864</v>
      </c>
      <c r="C52" s="48" t="s">
        <v>1309</v>
      </c>
      <c r="D52" s="49" t="s">
        <v>959</v>
      </c>
      <c r="E52" s="70" t="s">
        <v>960</v>
      </c>
      <c r="F52" s="273">
        <v>45474</v>
      </c>
      <c r="G52" s="273">
        <v>45495</v>
      </c>
      <c r="H52" s="273">
        <v>45509</v>
      </c>
      <c r="I52" s="47" t="s">
        <v>1299</v>
      </c>
      <c r="J52" s="49" t="s">
        <v>463</v>
      </c>
      <c r="K52" s="49" t="s">
        <v>1441</v>
      </c>
      <c r="AP52" s="138" t="s">
        <v>860</v>
      </c>
      <c r="AS52" s="95" t="s">
        <v>861</v>
      </c>
    </row>
    <row r="53" spans="2:45" ht="45">
      <c r="B53" s="47" t="s">
        <v>864</v>
      </c>
      <c r="C53" s="48" t="s">
        <v>1309</v>
      </c>
      <c r="D53" s="49" t="s">
        <v>961</v>
      </c>
      <c r="E53" s="70" t="s">
        <v>962</v>
      </c>
      <c r="F53" s="273">
        <v>45474</v>
      </c>
      <c r="G53" s="273">
        <v>45495</v>
      </c>
      <c r="H53" s="273">
        <v>45509</v>
      </c>
      <c r="I53" s="47" t="s">
        <v>1299</v>
      </c>
      <c r="J53" s="49" t="s">
        <v>463</v>
      </c>
      <c r="K53" s="49" t="s">
        <v>1441</v>
      </c>
      <c r="AP53" s="138" t="s">
        <v>860</v>
      </c>
      <c r="AS53" s="95" t="s">
        <v>861</v>
      </c>
    </row>
    <row r="54" spans="2:45" ht="45">
      <c r="B54" s="47" t="s">
        <v>864</v>
      </c>
      <c r="C54" s="48" t="s">
        <v>1309</v>
      </c>
      <c r="D54" s="49" t="s">
        <v>967</v>
      </c>
      <c r="E54" s="70" t="s">
        <v>968</v>
      </c>
      <c r="F54" s="273">
        <v>45474</v>
      </c>
      <c r="G54" s="273">
        <v>45495</v>
      </c>
      <c r="H54" s="273">
        <v>45509</v>
      </c>
      <c r="I54" s="47" t="s">
        <v>1299</v>
      </c>
      <c r="J54" s="49" t="s">
        <v>463</v>
      </c>
      <c r="K54" s="49" t="s">
        <v>1441</v>
      </c>
      <c r="AP54" s="138" t="s">
        <v>860</v>
      </c>
      <c r="AS54" s="95" t="s">
        <v>861</v>
      </c>
    </row>
    <row r="55" spans="2:45" ht="45">
      <c r="B55" s="47" t="s">
        <v>864</v>
      </c>
      <c r="C55" s="48" t="s">
        <v>1309</v>
      </c>
      <c r="D55" s="49" t="s">
        <v>866</v>
      </c>
      <c r="E55" s="70" t="s">
        <v>867</v>
      </c>
      <c r="F55" s="273">
        <v>45474</v>
      </c>
      <c r="G55" s="273">
        <v>45495</v>
      </c>
      <c r="H55" s="273">
        <v>45509</v>
      </c>
      <c r="I55" s="47" t="s">
        <v>1299</v>
      </c>
      <c r="J55" s="49" t="s">
        <v>463</v>
      </c>
      <c r="K55" s="49" t="s">
        <v>1441</v>
      </c>
      <c r="AP55" s="138" t="s">
        <v>860</v>
      </c>
      <c r="AS55" s="95" t="s">
        <v>861</v>
      </c>
    </row>
    <row r="56" spans="2:45" ht="45">
      <c r="B56" s="47" t="s">
        <v>864</v>
      </c>
      <c r="C56" s="48" t="s">
        <v>1309</v>
      </c>
      <c r="D56" s="49" t="s">
        <v>871</v>
      </c>
      <c r="E56" s="70" t="s">
        <v>872</v>
      </c>
      <c r="F56" s="273">
        <v>45474</v>
      </c>
      <c r="G56" s="273">
        <v>45495</v>
      </c>
      <c r="H56" s="273">
        <v>45509</v>
      </c>
      <c r="I56" s="47" t="s">
        <v>1299</v>
      </c>
      <c r="J56" s="49" t="s">
        <v>463</v>
      </c>
      <c r="K56" s="49" t="s">
        <v>1441</v>
      </c>
      <c r="AP56" s="138" t="s">
        <v>860</v>
      </c>
      <c r="AS56" s="95" t="s">
        <v>861</v>
      </c>
    </row>
    <row r="57" spans="2:45" ht="45">
      <c r="B57" s="47" t="s">
        <v>864</v>
      </c>
      <c r="C57" s="48" t="s">
        <v>1308</v>
      </c>
      <c r="D57" s="49" t="s">
        <v>963</v>
      </c>
      <c r="E57" s="70" t="s">
        <v>964</v>
      </c>
      <c r="F57" s="273">
        <v>45474</v>
      </c>
      <c r="G57" s="273">
        <v>45495</v>
      </c>
      <c r="H57" s="273">
        <v>45509</v>
      </c>
      <c r="I57" s="47" t="s">
        <v>1299</v>
      </c>
      <c r="J57" s="49" t="s">
        <v>463</v>
      </c>
      <c r="K57" s="49" t="s">
        <v>1441</v>
      </c>
      <c r="AP57" s="138" t="s">
        <v>860</v>
      </c>
      <c r="AS57" s="95" t="s">
        <v>861</v>
      </c>
    </row>
    <row r="58" spans="2:45" ht="45">
      <c r="B58" s="47" t="s">
        <v>864</v>
      </c>
      <c r="C58" s="48" t="s">
        <v>1308</v>
      </c>
      <c r="D58" s="49" t="s">
        <v>965</v>
      </c>
      <c r="E58" s="70" t="s">
        <v>966</v>
      </c>
      <c r="F58" s="273">
        <v>45474</v>
      </c>
      <c r="G58" s="273">
        <v>45495</v>
      </c>
      <c r="H58" s="273">
        <v>45509</v>
      </c>
      <c r="I58" s="47" t="s">
        <v>1299</v>
      </c>
      <c r="J58" s="49" t="s">
        <v>463</v>
      </c>
      <c r="K58" s="49" t="s">
        <v>1441</v>
      </c>
      <c r="AP58" s="138" t="s">
        <v>860</v>
      </c>
      <c r="AS58" s="95" t="s">
        <v>861</v>
      </c>
    </row>
    <row r="59" spans="2:45" ht="45">
      <c r="B59" s="47" t="s">
        <v>864</v>
      </c>
      <c r="C59" s="48" t="s">
        <v>1308</v>
      </c>
      <c r="D59" s="49" t="s">
        <v>874</v>
      </c>
      <c r="E59" s="70" t="s">
        <v>875</v>
      </c>
      <c r="F59" s="273">
        <v>45474</v>
      </c>
      <c r="G59" s="273">
        <v>45495</v>
      </c>
      <c r="H59" s="273">
        <v>45509</v>
      </c>
      <c r="I59" s="47" t="s">
        <v>1299</v>
      </c>
      <c r="J59" s="49" t="s">
        <v>463</v>
      </c>
      <c r="K59" s="49" t="s">
        <v>1441</v>
      </c>
      <c r="AP59" s="138" t="s">
        <v>860</v>
      </c>
      <c r="AS59" s="95" t="s">
        <v>861</v>
      </c>
    </row>
    <row r="60" spans="2:45" ht="45">
      <c r="B60" s="47" t="s">
        <v>864</v>
      </c>
      <c r="C60" s="48" t="s">
        <v>1308</v>
      </c>
      <c r="D60" s="49" t="s">
        <v>876</v>
      </c>
      <c r="E60" s="70" t="s">
        <v>877</v>
      </c>
      <c r="F60" s="273">
        <v>45474</v>
      </c>
      <c r="G60" s="273">
        <v>45495</v>
      </c>
      <c r="H60" s="273">
        <v>45509</v>
      </c>
      <c r="I60" s="47" t="s">
        <v>1299</v>
      </c>
      <c r="J60" s="49" t="s">
        <v>463</v>
      </c>
      <c r="K60" s="49" t="s">
        <v>1441</v>
      </c>
      <c r="AP60" s="138" t="s">
        <v>860</v>
      </c>
      <c r="AS60" s="95" t="s">
        <v>861</v>
      </c>
    </row>
    <row r="61" spans="2:45" ht="45">
      <c r="B61" s="47" t="s">
        <v>864</v>
      </c>
      <c r="C61" s="48" t="s">
        <v>1308</v>
      </c>
      <c r="D61" s="49" t="s">
        <v>878</v>
      </c>
      <c r="E61" s="70" t="s">
        <v>879</v>
      </c>
      <c r="F61" s="273">
        <v>45474</v>
      </c>
      <c r="G61" s="273">
        <v>45495</v>
      </c>
      <c r="H61" s="273">
        <v>45509</v>
      </c>
      <c r="I61" s="47" t="s">
        <v>1299</v>
      </c>
      <c r="J61" s="49" t="s">
        <v>463</v>
      </c>
      <c r="K61" s="49" t="s">
        <v>1441</v>
      </c>
      <c r="AP61" s="138" t="s">
        <v>860</v>
      </c>
      <c r="AS61" s="95" t="s">
        <v>861</v>
      </c>
    </row>
    <row r="62" spans="2:45" ht="45">
      <c r="B62" s="47" t="s">
        <v>864</v>
      </c>
      <c r="C62" s="48" t="s">
        <v>1436</v>
      </c>
      <c r="D62" s="49" t="s">
        <v>907</v>
      </c>
      <c r="E62" s="70" t="s">
        <v>908</v>
      </c>
      <c r="F62" s="273">
        <v>45474</v>
      </c>
      <c r="G62" s="273">
        <v>45495</v>
      </c>
      <c r="H62" s="273">
        <v>45509</v>
      </c>
      <c r="I62" s="47" t="s">
        <v>1299</v>
      </c>
      <c r="J62" s="49" t="s">
        <v>463</v>
      </c>
      <c r="K62" s="49" t="s">
        <v>1441</v>
      </c>
      <c r="AP62" s="138" t="s">
        <v>860</v>
      </c>
      <c r="AS62" s="95" t="s">
        <v>861</v>
      </c>
    </row>
    <row r="63" spans="2:45" ht="45">
      <c r="B63" s="47" t="s">
        <v>864</v>
      </c>
      <c r="C63" s="48" t="s">
        <v>1436</v>
      </c>
      <c r="D63" s="49" t="s">
        <v>909</v>
      </c>
      <c r="E63" s="70" t="s">
        <v>910</v>
      </c>
      <c r="F63" s="273">
        <v>45474</v>
      </c>
      <c r="G63" s="273">
        <v>45495</v>
      </c>
      <c r="H63" s="273">
        <v>45509</v>
      </c>
      <c r="I63" s="47" t="s">
        <v>1299</v>
      </c>
      <c r="J63" s="49" t="s">
        <v>463</v>
      </c>
      <c r="K63" s="49" t="s">
        <v>1441</v>
      </c>
      <c r="AP63" s="138" t="s">
        <v>860</v>
      </c>
      <c r="AS63" s="95" t="s">
        <v>861</v>
      </c>
    </row>
    <row r="64" spans="2:45" ht="45">
      <c r="B64" s="47" t="s">
        <v>864</v>
      </c>
      <c r="C64" s="48" t="s">
        <v>1436</v>
      </c>
      <c r="D64" s="49" t="s">
        <v>911</v>
      </c>
      <c r="E64" s="70" t="s">
        <v>912</v>
      </c>
      <c r="F64" s="273">
        <v>45474</v>
      </c>
      <c r="G64" s="273">
        <v>45495</v>
      </c>
      <c r="H64" s="273">
        <v>45509</v>
      </c>
      <c r="I64" s="47" t="s">
        <v>1299</v>
      </c>
      <c r="J64" s="49" t="s">
        <v>463</v>
      </c>
      <c r="K64" s="49" t="s">
        <v>1441</v>
      </c>
      <c r="AP64" s="138" t="s">
        <v>860</v>
      </c>
      <c r="AS64" s="95" t="s">
        <v>861</v>
      </c>
    </row>
    <row r="65" spans="2:45" ht="45">
      <c r="B65" s="47" t="s">
        <v>864</v>
      </c>
      <c r="C65" s="48" t="s">
        <v>1436</v>
      </c>
      <c r="D65" s="49" t="s">
        <v>881</v>
      </c>
      <c r="E65" s="70" t="s">
        <v>882</v>
      </c>
      <c r="F65" s="273">
        <v>45474</v>
      </c>
      <c r="G65" s="273">
        <v>45495</v>
      </c>
      <c r="H65" s="273">
        <v>45509</v>
      </c>
      <c r="I65" s="47" t="s">
        <v>1299</v>
      </c>
      <c r="J65" s="49" t="s">
        <v>463</v>
      </c>
      <c r="K65" s="49" t="s">
        <v>1441</v>
      </c>
      <c r="AP65" s="138" t="s">
        <v>860</v>
      </c>
      <c r="AS65" s="95" t="s">
        <v>861</v>
      </c>
    </row>
    <row r="66" spans="2:45" ht="45">
      <c r="B66" s="47" t="s">
        <v>864</v>
      </c>
      <c r="C66" s="48" t="s">
        <v>1436</v>
      </c>
      <c r="D66" s="49" t="s">
        <v>884</v>
      </c>
      <c r="E66" s="70" t="s">
        <v>885</v>
      </c>
      <c r="F66" s="273">
        <v>45474</v>
      </c>
      <c r="G66" s="273">
        <v>45495</v>
      </c>
      <c r="H66" s="273">
        <v>45509</v>
      </c>
      <c r="I66" s="47" t="s">
        <v>1299</v>
      </c>
      <c r="J66" s="49" t="s">
        <v>463</v>
      </c>
      <c r="K66" s="49" t="s">
        <v>1441</v>
      </c>
      <c r="AP66" s="138" t="s">
        <v>860</v>
      </c>
      <c r="AS66" s="95" t="s">
        <v>861</v>
      </c>
    </row>
    <row r="67" spans="2:45" ht="45">
      <c r="B67" s="47" t="s">
        <v>864</v>
      </c>
      <c r="C67" s="48" t="s">
        <v>1437</v>
      </c>
      <c r="D67" s="49" t="s">
        <v>886</v>
      </c>
      <c r="E67" s="70" t="s">
        <v>887</v>
      </c>
      <c r="F67" s="273">
        <v>45474</v>
      </c>
      <c r="G67" s="273">
        <v>45495</v>
      </c>
      <c r="H67" s="273">
        <v>45509</v>
      </c>
      <c r="I67" s="47" t="s">
        <v>1299</v>
      </c>
      <c r="J67" s="49" t="s">
        <v>463</v>
      </c>
      <c r="K67" s="49" t="s">
        <v>1441</v>
      </c>
      <c r="AP67" s="138" t="s">
        <v>860</v>
      </c>
      <c r="AS67" s="95" t="s">
        <v>861</v>
      </c>
    </row>
    <row r="68" spans="2:45" ht="45">
      <c r="B68" s="47" t="s">
        <v>864</v>
      </c>
      <c r="C68" s="48" t="s">
        <v>1437</v>
      </c>
      <c r="D68" s="49" t="s">
        <v>888</v>
      </c>
      <c r="E68" s="70" t="s">
        <v>889</v>
      </c>
      <c r="F68" s="273">
        <v>45474</v>
      </c>
      <c r="G68" s="273">
        <v>45495</v>
      </c>
      <c r="H68" s="273">
        <v>45509</v>
      </c>
      <c r="I68" s="47" t="s">
        <v>1299</v>
      </c>
      <c r="J68" s="49" t="s">
        <v>463</v>
      </c>
      <c r="K68" s="49" t="s">
        <v>1441</v>
      </c>
      <c r="AP68" s="138" t="s">
        <v>860</v>
      </c>
      <c r="AS68" s="95" t="s">
        <v>861</v>
      </c>
    </row>
    <row r="69" spans="2:45" ht="45">
      <c r="B69" s="47" t="s">
        <v>864</v>
      </c>
      <c r="C69" s="48" t="s">
        <v>1436</v>
      </c>
      <c r="D69" s="49" t="s">
        <v>890</v>
      </c>
      <c r="E69" s="70" t="s">
        <v>891</v>
      </c>
      <c r="F69" s="273">
        <v>45474</v>
      </c>
      <c r="G69" s="273">
        <v>45495</v>
      </c>
      <c r="H69" s="273">
        <v>45509</v>
      </c>
      <c r="I69" s="47" t="s">
        <v>1299</v>
      </c>
      <c r="J69" s="49" t="s">
        <v>463</v>
      </c>
      <c r="K69" s="49" t="s">
        <v>1441</v>
      </c>
      <c r="AP69" s="138" t="s">
        <v>860</v>
      </c>
      <c r="AS69" s="95" t="s">
        <v>861</v>
      </c>
    </row>
    <row r="70" spans="2:45" ht="45">
      <c r="B70" s="47" t="s">
        <v>864</v>
      </c>
      <c r="C70" s="48" t="s">
        <v>1436</v>
      </c>
      <c r="D70" s="49" t="s">
        <v>892</v>
      </c>
      <c r="E70" s="70" t="s">
        <v>893</v>
      </c>
      <c r="F70" s="273">
        <v>45474</v>
      </c>
      <c r="G70" s="273">
        <v>45495</v>
      </c>
      <c r="H70" s="273">
        <v>45509</v>
      </c>
      <c r="I70" s="47" t="s">
        <v>1299</v>
      </c>
      <c r="J70" s="49" t="s">
        <v>463</v>
      </c>
      <c r="K70" s="49" t="s">
        <v>1441</v>
      </c>
      <c r="AP70" s="138" t="s">
        <v>860</v>
      </c>
      <c r="AS70" s="95" t="s">
        <v>861</v>
      </c>
    </row>
    <row r="71" spans="2:45" ht="45">
      <c r="B71" s="47" t="s">
        <v>864</v>
      </c>
      <c r="C71" s="48" t="s">
        <v>1435</v>
      </c>
      <c r="D71" s="49" t="s">
        <v>903</v>
      </c>
      <c r="E71" s="70" t="s">
        <v>904</v>
      </c>
      <c r="F71" s="273">
        <v>45474</v>
      </c>
      <c r="G71" s="273">
        <v>45495</v>
      </c>
      <c r="H71" s="273">
        <v>45509</v>
      </c>
      <c r="I71" s="47" t="s">
        <v>1299</v>
      </c>
      <c r="J71" s="49" t="s">
        <v>463</v>
      </c>
      <c r="K71" s="49" t="s">
        <v>1441</v>
      </c>
      <c r="AP71" s="138" t="s">
        <v>860</v>
      </c>
      <c r="AS71" s="95" t="s">
        <v>861</v>
      </c>
    </row>
    <row r="72" spans="2:45" ht="45">
      <c r="B72" s="47" t="s">
        <v>864</v>
      </c>
      <c r="C72" s="48" t="s">
        <v>1438</v>
      </c>
      <c r="D72" s="49" t="s">
        <v>895</v>
      </c>
      <c r="E72" s="70" t="s">
        <v>896</v>
      </c>
      <c r="F72" s="273">
        <v>45474</v>
      </c>
      <c r="G72" s="273">
        <v>45495</v>
      </c>
      <c r="H72" s="273">
        <v>45509</v>
      </c>
      <c r="I72" s="47" t="s">
        <v>1299</v>
      </c>
      <c r="J72" s="49" t="s">
        <v>463</v>
      </c>
      <c r="K72" s="49" t="s">
        <v>1441</v>
      </c>
      <c r="AP72" s="138" t="s">
        <v>860</v>
      </c>
      <c r="AS72" s="95" t="s">
        <v>861</v>
      </c>
    </row>
    <row r="73" spans="2:45" ht="45">
      <c r="B73" s="47" t="s">
        <v>864</v>
      </c>
      <c r="C73" s="48" t="s">
        <v>1438</v>
      </c>
      <c r="D73" s="49" t="s">
        <v>897</v>
      </c>
      <c r="E73" s="70" t="s">
        <v>898</v>
      </c>
      <c r="F73" s="273">
        <v>45474</v>
      </c>
      <c r="G73" s="273">
        <v>45495</v>
      </c>
      <c r="H73" s="273">
        <v>45509</v>
      </c>
      <c r="I73" s="47" t="s">
        <v>1299</v>
      </c>
      <c r="J73" s="49" t="s">
        <v>463</v>
      </c>
      <c r="K73" s="49" t="s">
        <v>1441</v>
      </c>
      <c r="AP73" s="138" t="s">
        <v>860</v>
      </c>
      <c r="AS73" s="95" t="s">
        <v>861</v>
      </c>
    </row>
    <row r="74" spans="2:45" ht="45">
      <c r="B74" s="47" t="s">
        <v>864</v>
      </c>
      <c r="C74" s="48" t="s">
        <v>1438</v>
      </c>
      <c r="D74" s="49" t="s">
        <v>913</v>
      </c>
      <c r="E74" s="70" t="s">
        <v>1477</v>
      </c>
      <c r="F74" s="273">
        <v>45474</v>
      </c>
      <c r="G74" s="273">
        <v>45495</v>
      </c>
      <c r="H74" s="273">
        <v>45509</v>
      </c>
      <c r="I74" s="47" t="s">
        <v>1299</v>
      </c>
      <c r="J74" s="49" t="s">
        <v>463</v>
      </c>
      <c r="K74" s="49" t="s">
        <v>1441</v>
      </c>
      <c r="AP74" s="138" t="s">
        <v>860</v>
      </c>
      <c r="AS74" s="95" t="s">
        <v>861</v>
      </c>
    </row>
    <row r="75" spans="2:45" ht="45">
      <c r="B75" s="47" t="s">
        <v>864</v>
      </c>
      <c r="C75" s="48" t="s">
        <v>1438</v>
      </c>
      <c r="D75" s="49" t="s">
        <v>948</v>
      </c>
      <c r="E75" s="70" t="s">
        <v>949</v>
      </c>
      <c r="F75" s="273">
        <v>45474</v>
      </c>
      <c r="G75" s="273">
        <v>45495</v>
      </c>
      <c r="H75" s="273">
        <v>45509</v>
      </c>
      <c r="I75" s="47" t="s">
        <v>1299</v>
      </c>
      <c r="J75" s="49" t="s">
        <v>463</v>
      </c>
      <c r="K75" s="49" t="s">
        <v>1441</v>
      </c>
      <c r="AP75" s="138" t="s">
        <v>860</v>
      </c>
      <c r="AS75" s="95" t="s">
        <v>861</v>
      </c>
    </row>
    <row r="76" spans="2:45" ht="45">
      <c r="B76" s="47" t="s">
        <v>864</v>
      </c>
      <c r="C76" s="48" t="s">
        <v>1438</v>
      </c>
      <c r="D76" s="49" t="s">
        <v>957</v>
      </c>
      <c r="E76" s="70" t="s">
        <v>958</v>
      </c>
      <c r="F76" s="273">
        <v>45474</v>
      </c>
      <c r="G76" s="273">
        <v>45495</v>
      </c>
      <c r="H76" s="273">
        <v>45509</v>
      </c>
      <c r="I76" s="47" t="s">
        <v>1299</v>
      </c>
      <c r="J76" s="49" t="s">
        <v>463</v>
      </c>
      <c r="K76" s="49" t="s">
        <v>1441</v>
      </c>
      <c r="AP76" s="138" t="s">
        <v>860</v>
      </c>
      <c r="AS76" s="95" t="s">
        <v>861</v>
      </c>
    </row>
    <row r="77" spans="2:45" ht="45">
      <c r="B77" s="47" t="s">
        <v>864</v>
      </c>
      <c r="C77" s="48" t="s">
        <v>1438</v>
      </c>
      <c r="D77" s="49" t="s">
        <v>946</v>
      </c>
      <c r="E77" s="70" t="s">
        <v>947</v>
      </c>
      <c r="F77" s="273">
        <v>45474</v>
      </c>
      <c r="G77" s="273">
        <v>45495</v>
      </c>
      <c r="H77" s="273">
        <v>45509</v>
      </c>
      <c r="I77" s="47" t="s">
        <v>1299</v>
      </c>
      <c r="J77" s="49" t="s">
        <v>463</v>
      </c>
      <c r="K77" s="49" t="s">
        <v>1441</v>
      </c>
      <c r="AP77" s="138" t="s">
        <v>860</v>
      </c>
      <c r="AS77" s="95" t="s">
        <v>861</v>
      </c>
    </row>
    <row r="78" spans="2:45" ht="45">
      <c r="B78" s="47" t="s">
        <v>864</v>
      </c>
      <c r="C78" s="48" t="s">
        <v>1438</v>
      </c>
      <c r="D78" s="49" t="s">
        <v>905</v>
      </c>
      <c r="E78" s="70" t="s">
        <v>906</v>
      </c>
      <c r="F78" s="273">
        <v>45474</v>
      </c>
      <c r="G78" s="273">
        <v>45495</v>
      </c>
      <c r="H78" s="273">
        <v>45509</v>
      </c>
      <c r="I78" s="47" t="s">
        <v>1299</v>
      </c>
      <c r="J78" s="49" t="s">
        <v>463</v>
      </c>
      <c r="K78" s="49" t="s">
        <v>1441</v>
      </c>
      <c r="AP78" s="138" t="s">
        <v>860</v>
      </c>
      <c r="AS78" s="95" t="s">
        <v>861</v>
      </c>
    </row>
    <row r="79" spans="2:45" ht="45">
      <c r="B79" s="47" t="s">
        <v>864</v>
      </c>
      <c r="C79" s="48" t="s">
        <v>1316</v>
      </c>
      <c r="D79" s="49" t="s">
        <v>1478</v>
      </c>
      <c r="E79" s="70" t="s">
        <v>1479</v>
      </c>
      <c r="F79" s="273">
        <v>45474</v>
      </c>
      <c r="G79" s="273">
        <v>45495</v>
      </c>
      <c r="H79" s="273">
        <v>45509</v>
      </c>
      <c r="I79" s="47" t="s">
        <v>1299</v>
      </c>
      <c r="J79" s="49" t="s">
        <v>463</v>
      </c>
      <c r="K79" s="49" t="s">
        <v>1441</v>
      </c>
      <c r="AP79" s="138" t="s">
        <v>860</v>
      </c>
      <c r="AS79" s="95" t="s">
        <v>861</v>
      </c>
    </row>
    <row r="80" spans="2:45" ht="45">
      <c r="B80" s="47" t="s">
        <v>864</v>
      </c>
      <c r="C80" s="48" t="s">
        <v>1316</v>
      </c>
      <c r="D80" s="49" t="s">
        <v>1480</v>
      </c>
      <c r="E80" s="70" t="s">
        <v>1481</v>
      </c>
      <c r="F80" s="273">
        <v>45474</v>
      </c>
      <c r="G80" s="273">
        <v>45495</v>
      </c>
      <c r="H80" s="273">
        <v>45509</v>
      </c>
      <c r="I80" s="47" t="s">
        <v>1299</v>
      </c>
      <c r="J80" s="49" t="s">
        <v>463</v>
      </c>
      <c r="K80" s="49" t="s">
        <v>1441</v>
      </c>
      <c r="AP80" s="138" t="s">
        <v>860</v>
      </c>
      <c r="AS80" s="95" t="s">
        <v>861</v>
      </c>
    </row>
    <row r="81" spans="2:45" ht="45">
      <c r="B81" s="47" t="s">
        <v>864</v>
      </c>
      <c r="C81" s="48" t="s">
        <v>1414</v>
      </c>
      <c r="D81" s="49" t="s">
        <v>1482</v>
      </c>
      <c r="E81" s="70" t="s">
        <v>1483</v>
      </c>
      <c r="F81" s="273">
        <v>45474</v>
      </c>
      <c r="G81" s="273">
        <v>45495</v>
      </c>
      <c r="H81" s="273">
        <v>45509</v>
      </c>
      <c r="I81" s="47" t="s">
        <v>1299</v>
      </c>
      <c r="J81" s="49" t="s">
        <v>463</v>
      </c>
      <c r="K81" s="49" t="s">
        <v>1441</v>
      </c>
      <c r="AP81" s="138" t="s">
        <v>860</v>
      </c>
      <c r="AS81" s="95" t="s">
        <v>861</v>
      </c>
    </row>
    <row r="82" spans="2:45" ht="45">
      <c r="B82" s="47" t="s">
        <v>864</v>
      </c>
      <c r="C82" s="48" t="s">
        <v>1414</v>
      </c>
      <c r="D82" s="49" t="s">
        <v>1484</v>
      </c>
      <c r="E82" s="70" t="s">
        <v>1485</v>
      </c>
      <c r="F82" s="273">
        <v>45474</v>
      </c>
      <c r="G82" s="273">
        <v>45495</v>
      </c>
      <c r="H82" s="273">
        <v>45509</v>
      </c>
      <c r="I82" s="47" t="s">
        <v>1299</v>
      </c>
      <c r="J82" s="49" t="s">
        <v>463</v>
      </c>
      <c r="K82" s="49" t="s">
        <v>1441</v>
      </c>
      <c r="AP82" s="138" t="s">
        <v>860</v>
      </c>
      <c r="AS82" s="95" t="s">
        <v>861</v>
      </c>
    </row>
    <row r="83" spans="2:45" ht="45">
      <c r="B83" s="47" t="s">
        <v>864</v>
      </c>
      <c r="C83" s="48" t="s">
        <v>1414</v>
      </c>
      <c r="D83" s="49" t="s">
        <v>1486</v>
      </c>
      <c r="E83" s="70" t="s">
        <v>1487</v>
      </c>
      <c r="F83" s="273">
        <v>45474</v>
      </c>
      <c r="G83" s="273">
        <v>45495</v>
      </c>
      <c r="H83" s="273">
        <v>45509</v>
      </c>
      <c r="I83" s="47" t="s">
        <v>1299</v>
      </c>
      <c r="J83" s="49" t="s">
        <v>463</v>
      </c>
      <c r="K83" s="49" t="s">
        <v>1441</v>
      </c>
      <c r="AP83" s="138" t="s">
        <v>860</v>
      </c>
      <c r="AS83" s="95" t="s">
        <v>861</v>
      </c>
    </row>
    <row r="84" spans="2:45" ht="45">
      <c r="B84" s="47" t="s">
        <v>864</v>
      </c>
      <c r="C84" s="48" t="s">
        <v>1320</v>
      </c>
      <c r="D84" s="49" t="s">
        <v>1488</v>
      </c>
      <c r="E84" s="70" t="s">
        <v>1489</v>
      </c>
      <c r="F84" s="273">
        <v>45474</v>
      </c>
      <c r="G84" s="273">
        <v>45495</v>
      </c>
      <c r="H84" s="273">
        <v>45509</v>
      </c>
      <c r="I84" s="47" t="s">
        <v>1299</v>
      </c>
      <c r="J84" s="49" t="s">
        <v>463</v>
      </c>
      <c r="K84" s="49" t="s">
        <v>1441</v>
      </c>
      <c r="AP84" s="138" t="s">
        <v>860</v>
      </c>
      <c r="AS84" s="95" t="s">
        <v>861</v>
      </c>
    </row>
    <row r="85" spans="2:45" ht="45">
      <c r="B85" s="47" t="s">
        <v>864</v>
      </c>
      <c r="C85" s="48" t="s">
        <v>1320</v>
      </c>
      <c r="D85" s="49" t="s">
        <v>1490</v>
      </c>
      <c r="E85" s="70" t="s">
        <v>1491</v>
      </c>
      <c r="F85" s="273">
        <v>45474</v>
      </c>
      <c r="G85" s="273">
        <v>45495</v>
      </c>
      <c r="H85" s="273">
        <v>45509</v>
      </c>
      <c r="I85" s="47" t="s">
        <v>1299</v>
      </c>
      <c r="J85" s="49" t="s">
        <v>463</v>
      </c>
      <c r="K85" s="49" t="s">
        <v>1441</v>
      </c>
      <c r="AP85" s="138" t="s">
        <v>860</v>
      </c>
      <c r="AS85" s="95" t="s">
        <v>861</v>
      </c>
    </row>
  </sheetData>
  <sheetProtection algorithmName="SHA-512" hashValue="zxaREAp5YV5VXHAve06gTRP44dcv8MPBsTOmL6e7uD8DUnys4pIYtAg6g66vmSPjUzvuXdjsJ3Ic4LydZPChZQ==" saltValue="J5gxiehVKaykQJPgHx3vqA==" spinCount="100000" sheet="1" sort="0" autoFilter="0"/>
  <autoFilter ref="B17:BS40" xr:uid="{99E5E6F7-8B21-4AE6-ACEF-3E1D0C8CF839}"/>
  <mergeCells count="23">
    <mergeCell ref="E8:K8"/>
    <mergeCell ref="E3:K3"/>
    <mergeCell ref="E4:K4"/>
    <mergeCell ref="E5:K5"/>
    <mergeCell ref="E6:K6"/>
    <mergeCell ref="E7:K7"/>
    <mergeCell ref="AU16:AY16"/>
    <mergeCell ref="E9:K9"/>
    <mergeCell ref="E10:K10"/>
    <mergeCell ref="E11:K11"/>
    <mergeCell ref="E12:K12"/>
    <mergeCell ref="L16:P16"/>
    <mergeCell ref="Q16:U16"/>
    <mergeCell ref="V16:Z16"/>
    <mergeCell ref="AA16:AE16"/>
    <mergeCell ref="AF16:AJ16"/>
    <mergeCell ref="AK16:AO16"/>
    <mergeCell ref="AP16:AT16"/>
    <mergeCell ref="AZ16:BD16"/>
    <mergeCell ref="BE16:BI16"/>
    <mergeCell ref="BJ16:BN16"/>
    <mergeCell ref="BO16:BS16"/>
    <mergeCell ref="BT16:BT17"/>
  </mergeCells>
  <phoneticPr fontId="29" type="noConversion"/>
  <conditionalFormatting sqref="L18:L40">
    <cfRule type="expression" dxfId="719" priority="7139">
      <formula>(TEXT(TODAY(),"aaaa"))="Wednesday"</formula>
    </cfRule>
    <cfRule type="iconSet" priority="7140">
      <iconSet iconSet="3Symbols2" showValue="0">
        <cfvo type="percent" val="0"/>
        <cfvo type="percent" val="33"/>
        <cfvo type="percent" val="67"/>
      </iconSet>
    </cfRule>
  </conditionalFormatting>
  <conditionalFormatting sqref="L18:M40 U18:Y40 P18:S40 AA18:AA40 AL29:AN30 AC29:AH35 AJ31:AM35 AK40:AM40 AC24:AI28 AK24:AN28 AC36:AJ40 AK39:AN39 AJ24:AJ30 AK28:AK31 AC19:AN23 AK36:AM38 AN31:AN38 AN24:AN29 AC18:BS18 AO19:BS40 AH18:AH25">
    <cfRule type="iconSet" priority="7149">
      <iconSet iconSet="3Symbols2" showValue="0">
        <cfvo type="percent" val="0"/>
        <cfvo type="percent" val="33"/>
        <cfvo type="percent" val="67"/>
      </iconSet>
    </cfRule>
  </conditionalFormatting>
  <conditionalFormatting sqref="L18:M40">
    <cfRule type="expression" dxfId="718" priority="94">
      <formula>(TEXT(TODAY(),"aaaa"))="Monday"</formula>
    </cfRule>
  </conditionalFormatting>
  <conditionalFormatting sqref="L18:BS40">
    <cfRule type="cellIs" dxfId="717" priority="69" operator="equal">
      <formula>"✔"</formula>
    </cfRule>
    <cfRule type="cellIs" dxfId="716" priority="70" operator="equal">
      <formula>"✖"</formula>
    </cfRule>
  </conditionalFormatting>
  <conditionalFormatting sqref="N18:O40">
    <cfRule type="expression" dxfId="715" priority="7141">
      <formula>(TEXT(TODAY(),"aaaa"))="Wednesday"</formula>
    </cfRule>
    <cfRule type="iconSet" priority="7142">
      <iconSet iconSet="3Symbols2" showValue="0">
        <cfvo type="percent" val="0"/>
        <cfvo type="percent" val="33"/>
        <cfvo type="percent" val="67"/>
      </iconSet>
    </cfRule>
  </conditionalFormatting>
  <conditionalFormatting sqref="P18:P40">
    <cfRule type="expression" dxfId="714" priority="97">
      <formula>(TEXT(TODAY(),"aaaa"))="Monday"</formula>
    </cfRule>
  </conditionalFormatting>
  <conditionalFormatting sqref="Q18:S40 U18:U40 BO18:BS40">
    <cfRule type="expression" dxfId="713" priority="101">
      <formula>(TEXT(TODAY(),"aaaa"))="Tuesday"</formula>
    </cfRule>
  </conditionalFormatting>
  <conditionalFormatting sqref="T18:T40">
    <cfRule type="iconSet" priority="7144">
      <iconSet iconSet="3Symbols2" showValue="0">
        <cfvo type="percent" val="0"/>
        <cfvo type="percent" val="33"/>
        <cfvo type="percent" val="67"/>
      </iconSet>
    </cfRule>
    <cfRule type="expression" dxfId="712" priority="7143">
      <formula>(TEXT(TODAY(),"aaaa"))="Friday"</formula>
    </cfRule>
  </conditionalFormatting>
  <conditionalFormatting sqref="V18:Z40">
    <cfRule type="expression" dxfId="711" priority="98">
      <formula>(TEXT(TODAY(),"aaaa"))="Wednesday"</formula>
    </cfRule>
  </conditionalFormatting>
  <conditionalFormatting sqref="Z18:Z23">
    <cfRule type="iconSet" priority="87">
      <iconSet iconSet="3Symbols2" showValue="0">
        <cfvo type="percent" val="0"/>
        <cfvo type="percent" val="33"/>
        <cfvo type="percent" val="67"/>
      </iconSet>
    </cfRule>
    <cfRule type="expression" dxfId="710" priority="86">
      <formula>(TEXT(TODAY(),"aaaa"))="Tuesday"</formula>
    </cfRule>
  </conditionalFormatting>
  <conditionalFormatting sqref="Z18:Z40">
    <cfRule type="iconSet" priority="7146">
      <iconSet iconSet="3Symbols2" showValue="0">
        <cfvo type="percent" val="0"/>
        <cfvo type="percent" val="33"/>
        <cfvo type="percent" val="67"/>
      </iconSet>
    </cfRule>
  </conditionalFormatting>
  <conditionalFormatting sqref="AA18:AA40 AC18:AE40">
    <cfRule type="expression" dxfId="709" priority="93">
      <formula>(TEXT(TODAY(),"aaaa"))="Thursday"</formula>
    </cfRule>
  </conditionalFormatting>
  <conditionalFormatting sqref="AB18:AB40">
    <cfRule type="expression" dxfId="708" priority="7148">
      <formula>(TEXT(TODAY(),"aaaa"))="Wednesday"</formula>
    </cfRule>
    <cfRule type="iconSet" priority="7147">
      <iconSet iconSet="3Symbols2" showValue="0">
        <cfvo type="percent" val="0"/>
        <cfvo type="percent" val="33"/>
        <cfvo type="percent" val="67"/>
      </iconSet>
    </cfRule>
  </conditionalFormatting>
  <conditionalFormatting sqref="AC18">
    <cfRule type="iconSet" priority="66">
      <iconSet iconSet="3Symbols2" showValue="0">
        <cfvo type="percent" val="0"/>
        <cfvo type="percent" val="33"/>
        <cfvo type="percent" val="67"/>
      </iconSet>
    </cfRule>
  </conditionalFormatting>
  <conditionalFormatting sqref="AC18:AC23">
    <cfRule type="iconSet" priority="64">
      <iconSet iconSet="3Symbols2" showValue="0">
        <cfvo type="percent" val="0"/>
        <cfvo type="percent" val="33"/>
        <cfvo type="percent" val="67"/>
      </iconSet>
    </cfRule>
    <cfRule type="expression" dxfId="707" priority="63">
      <formula>(TEXT(TODAY(),"aaaa"))="Tuesday"</formula>
    </cfRule>
    <cfRule type="iconSet" priority="85">
      <iconSet iconSet="3Symbols2" showValue="0">
        <cfvo type="percent" val="0"/>
        <cfvo type="percent" val="33"/>
        <cfvo type="percent" val="67"/>
      </iconSet>
    </cfRule>
    <cfRule type="expression" dxfId="706" priority="84">
      <formula>(TEXT(TODAY(),"aaaa"))="Wednesday"</formula>
    </cfRule>
  </conditionalFormatting>
  <conditionalFormatting sqref="AE24:AE28">
    <cfRule type="iconSet" priority="83">
      <iconSet iconSet="3Symbols2" showValue="0">
        <cfvo type="percent" val="0"/>
        <cfvo type="percent" val="33"/>
        <cfvo type="percent" val="67"/>
      </iconSet>
    </cfRule>
    <cfRule type="expression" dxfId="705" priority="82">
      <formula>(TEXT(TODAY(),"aaaa"))="Tuesday"</formula>
    </cfRule>
  </conditionalFormatting>
  <conditionalFormatting sqref="AF18:AJ40">
    <cfRule type="expression" dxfId="704" priority="47">
      <formula>(TEXT(TODAY(),"aaaa"))="Friday"</formula>
    </cfRule>
  </conditionalFormatting>
  <conditionalFormatting sqref="AH18:AH23">
    <cfRule type="expression" dxfId="703" priority="55">
      <formula>(TEXT(TODAY(),"aaaa"))="Wednesday"</formula>
    </cfRule>
    <cfRule type="iconSet" priority="62">
      <iconSet iconSet="3Symbols2" showValue="0">
        <cfvo type="percent" val="0"/>
        <cfvo type="percent" val="33"/>
        <cfvo type="percent" val="67"/>
      </iconSet>
    </cfRule>
  </conditionalFormatting>
  <conditionalFormatting sqref="AH21">
    <cfRule type="iconSet" priority="56">
      <iconSet iconSet="3Symbols2" showValue="0">
        <cfvo type="percent" val="0"/>
        <cfvo type="percent" val="33"/>
        <cfvo type="percent" val="67"/>
      </iconSet>
    </cfRule>
  </conditionalFormatting>
  <conditionalFormatting sqref="AI29:AI35">
    <cfRule type="iconSet" priority="79">
      <iconSet iconSet="3Symbols2" showValue="0">
        <cfvo type="percent" val="0"/>
        <cfvo type="percent" val="33"/>
        <cfvo type="percent" val="67"/>
      </iconSet>
    </cfRule>
    <cfRule type="iconSet" priority="48">
      <iconSet iconSet="3Symbols2" showValue="0">
        <cfvo type="percent" val="0"/>
        <cfvo type="percent" val="33"/>
        <cfvo type="percent" val="67"/>
      </iconSet>
    </cfRule>
    <cfRule type="expression" dxfId="702" priority="78">
      <formula>(TEXT(TODAY(),"aaaa"))="Tuesday"</formula>
    </cfRule>
  </conditionalFormatting>
  <conditionalFormatting sqref="AJ24:AJ28">
    <cfRule type="iconSet" priority="60">
      <iconSet iconSet="3Symbols2" showValue="0">
        <cfvo type="percent" val="0"/>
        <cfvo type="percent" val="33"/>
        <cfvo type="percent" val="67"/>
      </iconSet>
    </cfRule>
    <cfRule type="expression" dxfId="701" priority="80">
      <formula>(TEXT(TODAY(),"aaaa"))="Wednesday"</formula>
    </cfRule>
    <cfRule type="iconSet" priority="81">
      <iconSet iconSet="3Symbols2" showValue="0">
        <cfvo type="percent" val="0"/>
        <cfvo type="percent" val="33"/>
        <cfvo type="percent" val="67"/>
      </iconSet>
    </cfRule>
    <cfRule type="expression" dxfId="700" priority="59">
      <formula>(TEXT(TODAY(),"aaaa"))="Tuesday"</formula>
    </cfRule>
  </conditionalFormatting>
  <conditionalFormatting sqref="AJ36:AJ40">
    <cfRule type="expression" dxfId="699" priority="7165">
      <formula>(TEXT(TODAY(),"aaaa"))="Tuesday"</formula>
    </cfRule>
    <cfRule type="iconSet" priority="7166">
      <iconSet iconSet="3Symbols2" showValue="0">
        <cfvo type="percent" val="0"/>
        <cfvo type="percent" val="33"/>
        <cfvo type="percent" val="67"/>
      </iconSet>
    </cfRule>
  </conditionalFormatting>
  <conditionalFormatting sqref="AK29:AK30">
    <cfRule type="iconSet" priority="54">
      <iconSet iconSet="3Symbols2" showValue="0">
        <cfvo type="percent" val="0"/>
        <cfvo type="percent" val="33"/>
        <cfvo type="percent" val="67"/>
      </iconSet>
    </cfRule>
    <cfRule type="expression" dxfId="698" priority="53">
      <formula>(TEXT(TODAY(),"aaaa"))="Tuesday"</formula>
    </cfRule>
    <cfRule type="expression" dxfId="697" priority="76">
      <formula>(TEXT(TODAY(),"aaaa"))="Wednesday"</formula>
    </cfRule>
    <cfRule type="iconSet" priority="77">
      <iconSet iconSet="3Symbols2" showValue="0">
        <cfvo type="percent" val="0"/>
        <cfvo type="percent" val="33"/>
        <cfvo type="percent" val="67"/>
      </iconSet>
    </cfRule>
  </conditionalFormatting>
  <conditionalFormatting sqref="AK18:AO18 BJ18:BN40 AK19:AN28 AO19:AO40 AN24:AN29 AK28:AK31 AL29:AN30 AK31:AN39 AK40:AM40">
    <cfRule type="expression" dxfId="696" priority="99">
      <formula>(TEXT(TODAY(),"aaaa"))="Monday"</formula>
    </cfRule>
  </conditionalFormatting>
  <conditionalFormatting sqref="AN24:AN28">
    <cfRule type="iconSet" priority="58">
      <iconSet iconSet="3Symbols2" showValue="0">
        <cfvo type="percent" val="0"/>
        <cfvo type="percent" val="33"/>
        <cfvo type="percent" val="67"/>
      </iconSet>
    </cfRule>
    <cfRule type="expression" dxfId="695" priority="57">
      <formula>(TEXT(TODAY(),"aaaa"))="Wednesday"</formula>
    </cfRule>
  </conditionalFormatting>
  <conditionalFormatting sqref="AN40">
    <cfRule type="iconSet" priority="34">
      <iconSet iconSet="3Symbols2" showValue="0">
        <cfvo type="percent" val="0"/>
        <cfvo type="percent" val="33"/>
        <cfvo type="percent" val="67"/>
      </iconSet>
    </cfRule>
    <cfRule type="iconSet" priority="32">
      <iconSet iconSet="3Symbols2" showValue="0">
        <cfvo type="percent" val="0"/>
        <cfvo type="percent" val="33"/>
        <cfvo type="percent" val="67"/>
      </iconSet>
    </cfRule>
    <cfRule type="expression" dxfId="694" priority="33">
      <formula>(TEXT(TODAY(),"aaaa"))="Wednesday"</formula>
    </cfRule>
    <cfRule type="iconSet" priority="71">
      <iconSet iconSet="3Symbols2" showValue="0">
        <cfvo type="percent" val="0"/>
        <cfvo type="percent" val="33"/>
        <cfvo type="percent" val="67"/>
      </iconSet>
    </cfRule>
    <cfRule type="expression" dxfId="693" priority="31">
      <formula>(TEXT(TODAY(),"aaaa"))="Tuesday"</formula>
    </cfRule>
    <cfRule type="iconSet" priority="36">
      <iconSet iconSet="3Symbols2" showValue="0">
        <cfvo type="percent" val="0"/>
        <cfvo type="percent" val="33"/>
        <cfvo type="percent" val="67"/>
      </iconSet>
    </cfRule>
  </conditionalFormatting>
  <conditionalFormatting sqref="AO18:AO40">
    <cfRule type="iconSet" priority="22">
      <iconSet iconSet="3Symbols2" showValue="0">
        <cfvo type="percent" val="0"/>
        <cfvo type="percent" val="33"/>
        <cfvo type="percent" val="67"/>
      </iconSet>
    </cfRule>
    <cfRule type="iconSet" priority="20">
      <iconSet iconSet="3Symbols2" showValue="0">
        <cfvo type="percent" val="0"/>
        <cfvo type="percent" val="33"/>
        <cfvo type="percent" val="67"/>
      </iconSet>
    </cfRule>
    <cfRule type="expression" dxfId="692" priority="21">
      <formula>(TEXT(TODAY(),"aaaa"))="Wednesday"</formula>
    </cfRule>
    <cfRule type="iconSet" priority="24">
      <iconSet iconSet="3Symbols2" showValue="0">
        <cfvo type="percent" val="0"/>
        <cfvo type="percent" val="33"/>
        <cfvo type="percent" val="67"/>
      </iconSet>
    </cfRule>
  </conditionalFormatting>
  <conditionalFormatting sqref="AO18:AT40">
    <cfRule type="expression" dxfId="691" priority="19">
      <formula>(TEXT(TODAY(),"aaaa"))="Tuesday"</formula>
    </cfRule>
  </conditionalFormatting>
  <conditionalFormatting sqref="AP41:AP85">
    <cfRule type="cellIs" dxfId="690" priority="13" operator="equal">
      <formula>"✔"</formula>
    </cfRule>
    <cfRule type="expression" dxfId="689" priority="7">
      <formula>(TEXT(TODAY(),"aaaa"))="Tuesday"</formula>
    </cfRule>
    <cfRule type="iconSet" priority="12">
      <iconSet iconSet="3Symbols2" showValue="0">
        <cfvo type="percent" val="0"/>
        <cfvo type="percent" val="33"/>
        <cfvo type="percent" val="67"/>
      </iconSet>
    </cfRule>
    <cfRule type="iconSet" priority="16">
      <iconSet iconSet="3Symbols2" showValue="0">
        <cfvo type="percent" val="0"/>
        <cfvo type="percent" val="33"/>
        <cfvo type="percent" val="67"/>
      </iconSet>
    </cfRule>
    <cfRule type="expression" dxfId="688" priority="15">
      <formula>(TEXT(TODAY(),"aaaa"))="Monday"</formula>
    </cfRule>
    <cfRule type="cellIs" dxfId="687" priority="14" operator="equal">
      <formula>"✖"</formula>
    </cfRule>
    <cfRule type="iconSet" priority="10">
      <iconSet iconSet="3Symbols2" showValue="0">
        <cfvo type="percent" val="0"/>
        <cfvo type="percent" val="33"/>
        <cfvo type="percent" val="67"/>
      </iconSet>
    </cfRule>
    <cfRule type="expression" dxfId="686" priority="9">
      <formula>(TEXT(TODAY(),"aaaa"))="Wednesday"</formula>
    </cfRule>
    <cfRule type="iconSet" priority="8">
      <iconSet iconSet="3Symbols2" showValue="0">
        <cfvo type="percent" val="0"/>
        <cfvo type="percent" val="33"/>
        <cfvo type="percent" val="67"/>
      </iconSet>
    </cfRule>
  </conditionalFormatting>
  <conditionalFormatting sqref="AQ29">
    <cfRule type="iconSet" priority="52">
      <iconSet iconSet="3Symbols2" showValue="0">
        <cfvo type="percent" val="0"/>
        <cfvo type="percent" val="33"/>
        <cfvo type="percent" val="67"/>
      </iconSet>
    </cfRule>
  </conditionalFormatting>
  <conditionalFormatting sqref="AQ29:AQ35">
    <cfRule type="expression" dxfId="685" priority="49">
      <formula>(TEXT(TODAY(),"aaaa"))="Wednesday"</formula>
    </cfRule>
  </conditionalFormatting>
  <conditionalFormatting sqref="AQ30:AQ35">
    <cfRule type="iconSet" priority="50">
      <iconSet iconSet="3Symbols2" showValue="0">
        <cfvo type="percent" val="0"/>
        <cfvo type="percent" val="33"/>
        <cfvo type="percent" val="67"/>
      </iconSet>
    </cfRule>
  </conditionalFormatting>
  <conditionalFormatting sqref="AQ40">
    <cfRule type="expression" dxfId="684" priority="37">
      <formula>(TEXT(TODAY(),"aaaa"))="Wednesday"</formula>
    </cfRule>
    <cfRule type="iconSet" priority="38">
      <iconSet iconSet="3Symbols2" showValue="0">
        <cfvo type="percent" val="0"/>
        <cfvo type="percent" val="33"/>
        <cfvo type="percent" val="67"/>
      </iconSet>
    </cfRule>
  </conditionalFormatting>
  <conditionalFormatting sqref="AR18:AR40">
    <cfRule type="iconSet" priority="18">
      <iconSet iconSet="3Symbols2" showValue="0">
        <cfvo type="percent" val="0"/>
        <cfvo type="percent" val="33"/>
        <cfvo type="percent" val="67"/>
      </iconSet>
    </cfRule>
    <cfRule type="expression" dxfId="683" priority="17">
      <formula>(TEXT(TODAY(),"aaaa"))="Wednesday"</formula>
    </cfRule>
  </conditionalFormatting>
  <conditionalFormatting sqref="AS41:AS85">
    <cfRule type="iconSet" priority="2">
      <iconSet iconSet="3Symbols2" showValue="0">
        <cfvo type="percent" val="0"/>
        <cfvo type="percent" val="33"/>
        <cfvo type="percent" val="67"/>
      </iconSet>
    </cfRule>
    <cfRule type="expression" dxfId="682" priority="5">
      <formula>(TEXT(TODAY(),"aaaa"))="Tuesday"</formula>
    </cfRule>
    <cfRule type="cellIs" dxfId="681" priority="4" operator="equal">
      <formula>"✖"</formula>
    </cfRule>
    <cfRule type="expression" dxfId="680" priority="1">
      <formula>(TEXT(TODAY(),"aaaa"))="Wednesday"</formula>
    </cfRule>
    <cfRule type="iconSet" priority="6">
      <iconSet iconSet="3Symbols2" showValue="0">
        <cfvo type="percent" val="0"/>
        <cfvo type="percent" val="33"/>
        <cfvo type="percent" val="67"/>
      </iconSet>
    </cfRule>
    <cfRule type="cellIs" dxfId="679" priority="3" operator="equal">
      <formula>"✔"</formula>
    </cfRule>
  </conditionalFormatting>
  <conditionalFormatting sqref="AU18:AY40">
    <cfRule type="expression" dxfId="678" priority="102">
      <formula>(TEXT(TODAY(),"aaaa"))="Wednesday"</formula>
    </cfRule>
  </conditionalFormatting>
  <conditionalFormatting sqref="AZ18:BD40">
    <cfRule type="expression" dxfId="677" priority="103">
      <formula>(TEXT(TODAY(),"aaaa"))="Thursday"</formula>
    </cfRule>
  </conditionalFormatting>
  <conditionalFormatting sqref="BE18:BI40">
    <cfRule type="expression" dxfId="676" priority="100">
      <formula>(TEXT(TODAY(),"aaaa"))="Friday"</formula>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E6F7-8B21-4AE6-ACEF-3E1D0C8CF839}">
  <sheetPr codeName="Sheet5"/>
  <dimension ref="B1:EM56"/>
  <sheetViews>
    <sheetView zoomScale="55" zoomScaleNormal="55" workbookViewId="0">
      <pane xSplit="12" ySplit="17" topLeftCell="M19" activePane="bottomRight" state="frozen"/>
      <selection pane="bottomRight" activeCell="D51" sqref="D51"/>
      <selection pane="bottomLeft" activeCell="A15" sqref="A15"/>
      <selection pane="topRight" activeCell="J1" sqref="J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6.28515625" style="8" customWidth="1"/>
    <col min="10" max="11" width="15" style="8" customWidth="1"/>
    <col min="12" max="12" width="24" style="8" customWidth="1"/>
    <col min="13" max="13" width="19.85546875" style="7" customWidth="1"/>
    <col min="14" max="18" width="19.140625" style="7" bestFit="1" customWidth="1"/>
    <col min="19" max="21" width="22.42578125" style="7" bestFit="1" customWidth="1"/>
    <col min="22" max="22" width="17.85546875" style="7" customWidth="1"/>
    <col min="23" max="23" width="20.85546875" style="7" bestFit="1" customWidth="1"/>
    <col min="24" max="24" width="23.85546875" style="7" bestFit="1" customWidth="1"/>
    <col min="25" max="25" width="22.42578125" style="7" bestFit="1" customWidth="1"/>
    <col min="26" max="26" width="17.85546875" style="7" customWidth="1"/>
    <col min="27" max="27" width="21.7109375" style="7" bestFit="1" customWidth="1"/>
    <col min="28" max="28" width="17.85546875" style="7" customWidth="1"/>
    <col min="29" max="29" width="20.140625" style="7" customWidth="1"/>
    <col min="30" max="30" width="21.7109375" style="7" customWidth="1"/>
    <col min="31" max="32" width="22.42578125" style="7" bestFit="1" customWidth="1"/>
    <col min="33" max="33" width="18" style="7" bestFit="1" customWidth="1"/>
    <col min="34" max="34" width="22.42578125" style="7" bestFit="1" customWidth="1"/>
    <col min="35" max="35" width="19.85546875" style="7" bestFit="1" customWidth="1"/>
    <col min="36" max="36" width="22.42578125" style="7" bestFit="1" customWidth="1"/>
    <col min="37" max="37" width="23.85546875" style="7" bestFit="1" customWidth="1"/>
    <col min="38" max="38" width="19.85546875" style="7" customWidth="1"/>
    <col min="39" max="39" width="18" style="7" bestFit="1" customWidth="1"/>
    <col min="40" max="40" width="20.7109375" style="7" customWidth="1"/>
    <col min="41" max="41" width="20.140625" style="7" customWidth="1"/>
    <col min="42" max="42" width="21.7109375" style="7" bestFit="1" customWidth="1"/>
    <col min="43" max="50" width="17.85546875" style="7" customWidth="1"/>
    <col min="51" max="51" width="20.140625" style="7" bestFit="1" customWidth="1"/>
    <col min="52" max="52" width="19.42578125" style="7" customWidth="1"/>
    <col min="53" max="53" width="20.140625" style="7" bestFit="1" customWidth="1"/>
    <col min="54" max="54" width="17.85546875" style="7" customWidth="1"/>
    <col min="55" max="55" width="20.140625" style="7" bestFit="1" customWidth="1"/>
    <col min="56" max="57" width="20.140625" style="7" customWidth="1"/>
    <col min="58" max="58" width="20.7109375" style="7" bestFit="1" customWidth="1"/>
    <col min="59" max="61" width="17.85546875" style="7" customWidth="1"/>
    <col min="62" max="62" width="21.7109375" style="7" bestFit="1" customWidth="1"/>
    <col min="63" max="64" width="17.85546875" style="7" customWidth="1"/>
    <col min="65" max="65" width="23.85546875" style="7" bestFit="1" customWidth="1"/>
    <col min="66" max="66" width="17.85546875" style="7" customWidth="1"/>
    <col min="67" max="68" width="23.85546875" style="7" customWidth="1"/>
    <col min="69" max="69" width="22.42578125" style="7" bestFit="1" customWidth="1"/>
    <col min="70" max="70" width="21.7109375" style="7" customWidth="1"/>
    <col min="71" max="71" width="23.85546875" style="7" bestFit="1" customWidth="1"/>
    <col min="72" max="72" width="21.7109375" style="7" customWidth="1"/>
    <col min="73" max="74" width="17.85546875" style="7" customWidth="1"/>
    <col min="75" max="76" width="21.7109375" style="7" bestFit="1" customWidth="1"/>
    <col min="77" max="77" width="21.42578125" style="7" customWidth="1"/>
    <col min="78" max="78" width="17.85546875" style="7" customWidth="1"/>
    <col min="79" max="79" width="23.85546875" style="7" bestFit="1" customWidth="1"/>
    <col min="80" max="80" width="21.5703125" style="7" bestFit="1" customWidth="1"/>
    <col min="81" max="81" width="21.7109375" style="7" customWidth="1"/>
    <col min="82" max="82" width="23.140625" style="7" bestFit="1" customWidth="1"/>
    <col min="83" max="83" width="21.140625" style="9" bestFit="1" customWidth="1"/>
    <col min="84" max="84" width="22.42578125" style="7" bestFit="1" customWidth="1"/>
    <col min="85" max="85" width="23.85546875" style="7" bestFit="1" customWidth="1"/>
    <col min="86" max="87" width="20.85546875" style="7" bestFit="1" customWidth="1"/>
    <col min="88" max="88" width="20.140625" style="7" bestFit="1" customWidth="1"/>
    <col min="89" max="90" width="17.85546875" style="7" customWidth="1"/>
    <col min="91" max="91" width="20.140625" style="7" bestFit="1" customWidth="1"/>
    <col min="92" max="95" width="17.85546875" style="7" customWidth="1"/>
    <col min="96" max="96" width="20.7109375" style="7" bestFit="1" customWidth="1"/>
    <col min="97" max="97" width="21.7109375" style="7" bestFit="1" customWidth="1"/>
    <col min="98" max="98" width="23.85546875" style="7" bestFit="1" customWidth="1"/>
    <col min="99" max="99" width="19.42578125" style="7" bestFit="1" customWidth="1"/>
    <col min="100" max="100" width="23.85546875" style="7" bestFit="1" customWidth="1"/>
    <col min="101" max="142" width="17.85546875" style="7" customWidth="1"/>
    <col min="143" max="143" width="29.140625" style="7" customWidth="1"/>
    <col min="144" max="16384" width="10.42578125" style="7"/>
  </cols>
  <sheetData>
    <row r="1" spans="2:143" ht="39.75">
      <c r="B1" s="6" t="s">
        <v>1213</v>
      </c>
      <c r="CF1" s="10" t="s">
        <v>1336</v>
      </c>
    </row>
    <row r="2" spans="2:143" ht="39.75">
      <c r="B2" s="6"/>
      <c r="CF2" s="10"/>
    </row>
    <row r="3" spans="2:143" ht="18.75" customHeight="1">
      <c r="B3" s="6"/>
      <c r="E3" s="366" t="s">
        <v>0</v>
      </c>
      <c r="F3" s="366"/>
      <c r="G3" s="366"/>
      <c r="H3" s="366"/>
      <c r="I3" s="366"/>
      <c r="J3" s="366"/>
      <c r="K3" s="366"/>
      <c r="L3" s="366"/>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1"/>
      <c r="CF3" s="10"/>
    </row>
    <row r="4" spans="2:143" ht="18.75" customHeight="1">
      <c r="B4" s="6"/>
      <c r="E4" s="365" t="s">
        <v>1214</v>
      </c>
      <c r="F4" s="365"/>
      <c r="G4" s="365"/>
      <c r="H4" s="365"/>
      <c r="I4" s="365"/>
      <c r="J4" s="365"/>
      <c r="K4" s="365"/>
      <c r="L4" s="365"/>
      <c r="CF4" s="10"/>
    </row>
    <row r="5" spans="2:143" ht="18.75" customHeight="1">
      <c r="B5" s="6"/>
      <c r="E5" s="365" t="s">
        <v>1215</v>
      </c>
      <c r="F5" s="365"/>
      <c r="G5" s="365"/>
      <c r="H5" s="365"/>
      <c r="I5" s="365"/>
      <c r="J5" s="365"/>
      <c r="K5" s="365"/>
      <c r="L5" s="365"/>
      <c r="M5" s="11"/>
      <c r="N5" s="11"/>
      <c r="O5" s="11"/>
      <c r="P5" s="129" t="s">
        <v>1492</v>
      </c>
      <c r="Q5" s="11"/>
      <c r="R5" s="11"/>
      <c r="T5" s="136" t="s">
        <v>1493</v>
      </c>
      <c r="U5" s="136" t="s">
        <v>1494</v>
      </c>
      <c r="CF5" s="10"/>
    </row>
    <row r="6" spans="2:143" ht="18.75" customHeight="1">
      <c r="B6" s="6"/>
      <c r="E6" s="367" t="s">
        <v>1216</v>
      </c>
      <c r="F6" s="367"/>
      <c r="G6" s="367"/>
      <c r="H6" s="367"/>
      <c r="I6" s="367"/>
      <c r="J6" s="367"/>
      <c r="K6" s="367"/>
      <c r="L6" s="367"/>
      <c r="S6" s="129" t="s">
        <v>1495</v>
      </c>
      <c r="CF6" s="10"/>
    </row>
    <row r="7" spans="2:143" ht="18.75" customHeight="1">
      <c r="E7" s="366" t="s">
        <v>33</v>
      </c>
      <c r="F7" s="366"/>
      <c r="G7" s="366"/>
      <c r="H7" s="366"/>
      <c r="I7" s="366"/>
      <c r="J7" s="366"/>
      <c r="K7" s="366"/>
      <c r="L7" s="366"/>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0"/>
      <c r="CD7" s="120"/>
      <c r="CE7" s="121"/>
      <c r="CF7" s="10"/>
    </row>
    <row r="8" spans="2:143" ht="18.75" customHeight="1">
      <c r="E8" s="365" t="s">
        <v>1217</v>
      </c>
      <c r="F8" s="365"/>
      <c r="G8" s="365"/>
      <c r="H8" s="365"/>
      <c r="I8" s="365"/>
      <c r="J8" s="365"/>
      <c r="K8" s="365"/>
      <c r="L8" s="365"/>
      <c r="T8" s="129" t="s">
        <v>145</v>
      </c>
      <c r="U8" s="129" t="s">
        <v>150</v>
      </c>
      <c r="CF8" s="10"/>
    </row>
    <row r="9" spans="2:143" ht="21.75" customHeight="1">
      <c r="E9" s="365" t="s">
        <v>1218</v>
      </c>
      <c r="F9" s="365"/>
      <c r="G9" s="365"/>
      <c r="H9" s="365"/>
      <c r="I9" s="365"/>
      <c r="J9" s="365"/>
      <c r="K9" s="365"/>
      <c r="L9" s="365"/>
      <c r="W9" s="129" t="s">
        <v>155</v>
      </c>
      <c r="X9" s="129" t="s">
        <v>159</v>
      </c>
      <c r="Y9" s="129" t="s">
        <v>168</v>
      </c>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F9" s="10"/>
    </row>
    <row r="10" spans="2:143" ht="28.5">
      <c r="E10" s="365" t="s">
        <v>1219</v>
      </c>
      <c r="F10" s="365"/>
      <c r="G10" s="365"/>
      <c r="H10" s="365"/>
      <c r="I10" s="365"/>
      <c r="J10" s="365"/>
      <c r="K10" s="365"/>
      <c r="L10" s="365"/>
      <c r="M10" s="11"/>
      <c r="N10" s="11"/>
      <c r="O10" s="11"/>
      <c r="P10" s="11"/>
      <c r="Q10" s="11"/>
      <c r="R10" s="11"/>
      <c r="S10" s="11"/>
      <c r="T10" s="11"/>
      <c r="U10" s="11"/>
      <c r="V10" s="11"/>
      <c r="W10" s="11"/>
      <c r="X10" s="11"/>
      <c r="Y10" s="11"/>
      <c r="Z10" s="11"/>
      <c r="AA10" s="129" t="s">
        <v>177</v>
      </c>
      <c r="AB10" s="11"/>
      <c r="AC10" s="129" t="s">
        <v>180</v>
      </c>
      <c r="AD10" s="129" t="s">
        <v>186</v>
      </c>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29" t="s">
        <v>254</v>
      </c>
      <c r="BN10" s="11"/>
      <c r="BO10" s="129" t="s">
        <v>259</v>
      </c>
      <c r="BP10" s="258" t="s">
        <v>271</v>
      </c>
      <c r="BQ10" s="11"/>
      <c r="BR10" s="258" t="s">
        <v>275</v>
      </c>
      <c r="BS10" s="258" t="s">
        <v>280</v>
      </c>
      <c r="BT10" s="258" t="s">
        <v>284</v>
      </c>
      <c r="BU10" s="11"/>
      <c r="BV10" s="11"/>
      <c r="BW10" s="258" t="s">
        <v>288</v>
      </c>
      <c r="BX10" s="258" t="s">
        <v>291</v>
      </c>
      <c r="BY10" s="258" t="s">
        <v>294</v>
      </c>
      <c r="BZ10" s="11"/>
      <c r="CA10" s="258" t="s">
        <v>299</v>
      </c>
      <c r="CB10" s="11"/>
      <c r="CC10" s="258" t="s">
        <v>308</v>
      </c>
      <c r="CD10" s="258" t="s">
        <v>312</v>
      </c>
      <c r="CE10" s="258" t="s">
        <v>315</v>
      </c>
      <c r="CF10" s="258" t="s">
        <v>318</v>
      </c>
      <c r="CG10" s="258" t="s">
        <v>325</v>
      </c>
      <c r="CH10" s="258" t="s">
        <v>329</v>
      </c>
      <c r="CI10" s="258" t="s">
        <v>336</v>
      </c>
    </row>
    <row r="11" spans="2:143" ht="34.5" customHeight="1">
      <c r="E11" s="365" t="s">
        <v>1220</v>
      </c>
      <c r="F11" s="365"/>
      <c r="G11" s="365"/>
      <c r="H11" s="365"/>
      <c r="I11" s="365"/>
      <c r="J11" s="365"/>
      <c r="K11" s="365"/>
      <c r="L11" s="365"/>
      <c r="M11" s="11"/>
      <c r="N11" s="11"/>
      <c r="O11" s="11"/>
      <c r="P11" s="11"/>
      <c r="Q11" s="11"/>
      <c r="R11" s="11"/>
      <c r="S11" s="11"/>
      <c r="T11" s="11"/>
      <c r="U11" s="11"/>
      <c r="V11" s="11"/>
      <c r="W11" s="11"/>
      <c r="X11" s="11"/>
      <c r="Y11" s="11"/>
      <c r="Z11" s="11"/>
      <c r="AA11" s="11"/>
      <c r="AB11" s="11"/>
      <c r="AC11" s="11"/>
      <c r="AD11" s="11"/>
      <c r="AE11" s="129" t="s">
        <v>190</v>
      </c>
      <c r="AF11" s="129" t="s">
        <v>193</v>
      </c>
      <c r="AG11" s="11"/>
      <c r="AH11" s="129" t="s">
        <v>197</v>
      </c>
      <c r="AI11" s="129" t="s">
        <v>200</v>
      </c>
      <c r="AJ11" s="129" t="s">
        <v>203</v>
      </c>
      <c r="AK11" s="129" t="s">
        <v>210</v>
      </c>
      <c r="AL11" s="129" t="s">
        <v>1496</v>
      </c>
      <c r="AM11" s="11"/>
      <c r="AN11" s="129" t="s">
        <v>214</v>
      </c>
      <c r="AO11" s="129" t="s">
        <v>217</v>
      </c>
      <c r="AP11" s="129" t="s">
        <v>220</v>
      </c>
      <c r="AQ11" s="11"/>
      <c r="AR11" s="11"/>
      <c r="AS11" s="11"/>
      <c r="AT11" s="11"/>
      <c r="AU11" s="11"/>
      <c r="AV11" s="11"/>
      <c r="AW11" s="11"/>
      <c r="AX11" s="11"/>
      <c r="AY11" s="129" t="s">
        <v>224</v>
      </c>
      <c r="AZ11" s="129" t="s">
        <v>228</v>
      </c>
      <c r="BA11" s="129" t="s">
        <v>231</v>
      </c>
      <c r="BB11" s="11"/>
      <c r="BC11" s="129" t="s">
        <v>235</v>
      </c>
      <c r="BD11" s="129" t="s">
        <v>239</v>
      </c>
      <c r="BE11" s="129" t="s">
        <v>242</v>
      </c>
      <c r="BF11" s="129" t="s">
        <v>246</v>
      </c>
      <c r="BG11" s="11"/>
      <c r="BH11" s="11"/>
      <c r="BI11" s="11"/>
      <c r="BJ11" s="129" t="s">
        <v>249</v>
      </c>
      <c r="BK11" s="11"/>
      <c r="BL11" s="11"/>
      <c r="BM11" s="11"/>
      <c r="BN11" s="11"/>
      <c r="BO11" s="129" t="s">
        <v>263</v>
      </c>
      <c r="BP11" s="258" t="s">
        <v>268</v>
      </c>
      <c r="BQ11" s="258" t="s">
        <v>1497</v>
      </c>
      <c r="BR11" s="11"/>
      <c r="BS11" s="11"/>
      <c r="BT11" s="11"/>
      <c r="BU11" s="11"/>
      <c r="BV11" s="11"/>
      <c r="BW11" s="11"/>
      <c r="BX11" s="11"/>
      <c r="BY11" s="11"/>
      <c r="BZ11" s="11"/>
      <c r="CA11" s="11"/>
      <c r="CB11" s="258" t="s">
        <v>304</v>
      </c>
      <c r="CC11" s="11"/>
      <c r="CD11" s="11"/>
      <c r="CF11" s="10"/>
      <c r="CI11" s="258" t="s">
        <v>333</v>
      </c>
      <c r="CJ11" s="258" t="s">
        <v>340</v>
      </c>
      <c r="CM11" s="258" t="s">
        <v>344</v>
      </c>
      <c r="CR11" s="258" t="s">
        <v>349</v>
      </c>
      <c r="CS11" s="258" t="s">
        <v>353</v>
      </c>
      <c r="CT11" s="258" t="s">
        <v>363</v>
      </c>
      <c r="CV11" s="258" t="s">
        <v>370</v>
      </c>
    </row>
    <row r="12" spans="2:143" ht="28.5">
      <c r="E12" s="367" t="s">
        <v>1216</v>
      </c>
      <c r="F12" s="367"/>
      <c r="G12" s="367"/>
      <c r="H12" s="367"/>
      <c r="I12" s="367"/>
      <c r="J12" s="367"/>
      <c r="K12" s="367"/>
      <c r="L12" s="367"/>
      <c r="M12" s="122"/>
      <c r="N12" s="122"/>
      <c r="O12" s="122"/>
      <c r="P12" s="122"/>
      <c r="Q12" s="122"/>
      <c r="R12" s="122"/>
      <c r="S12" s="122"/>
      <c r="T12" s="122"/>
      <c r="U12" s="122"/>
      <c r="V12" s="122"/>
      <c r="W12" s="122"/>
      <c r="X12" s="122"/>
      <c r="Y12" s="122"/>
      <c r="Z12" s="122"/>
      <c r="AA12" s="122"/>
      <c r="AB12" s="122"/>
      <c r="AC12" s="122"/>
      <c r="AD12" s="129" t="s">
        <v>1498</v>
      </c>
      <c r="AE12" s="122"/>
      <c r="AF12" s="122"/>
      <c r="AG12" s="129" t="s">
        <v>1499</v>
      </c>
      <c r="AH12" s="122"/>
      <c r="AI12" s="122"/>
      <c r="AJ12" s="122"/>
      <c r="AK12" s="216" t="s">
        <v>1500</v>
      </c>
      <c r="AL12" s="122"/>
      <c r="AM12" s="216" t="s">
        <v>1501</v>
      </c>
      <c r="AN12" s="216" t="s">
        <v>1502</v>
      </c>
      <c r="AO12" s="216" t="s">
        <v>1503</v>
      </c>
      <c r="AP12" s="122"/>
      <c r="AQ12" s="122"/>
      <c r="AR12" s="216" t="s">
        <v>1504</v>
      </c>
      <c r="AS12" s="122"/>
      <c r="AT12" s="122"/>
      <c r="AU12" s="122"/>
      <c r="AV12" s="122"/>
      <c r="AW12" s="122"/>
      <c r="AX12" s="122"/>
      <c r="AY12" s="129" t="s">
        <v>1505</v>
      </c>
      <c r="AZ12" s="122"/>
      <c r="BA12" s="122"/>
      <c r="BB12" s="122"/>
      <c r="BC12" s="129" t="s">
        <v>1506</v>
      </c>
      <c r="BD12" s="122"/>
      <c r="BE12" s="129" t="s">
        <v>1507</v>
      </c>
      <c r="BF12" s="122"/>
      <c r="BG12" s="122"/>
      <c r="BH12" s="122"/>
      <c r="BI12" s="122"/>
      <c r="BJ12" s="122"/>
      <c r="BK12" s="122"/>
      <c r="BL12" s="122"/>
      <c r="BM12" s="122"/>
      <c r="BN12" s="122"/>
      <c r="BO12" s="216" t="s">
        <v>1508</v>
      </c>
      <c r="BP12" s="122"/>
      <c r="BQ12" s="258" t="s">
        <v>1509</v>
      </c>
      <c r="BR12" s="258" t="s">
        <v>1510</v>
      </c>
      <c r="BS12" s="122"/>
      <c r="BT12" s="258" t="s">
        <v>1511</v>
      </c>
      <c r="BU12" s="122"/>
      <c r="BV12" s="122"/>
      <c r="BW12" s="122"/>
      <c r="BX12" s="122"/>
      <c r="BY12" s="122"/>
      <c r="BZ12" s="122"/>
      <c r="CA12" s="258" t="s">
        <v>1512</v>
      </c>
      <c r="CB12" s="122"/>
      <c r="CC12" s="122"/>
      <c r="CD12" s="122"/>
      <c r="CE12" s="123"/>
      <c r="CF12" s="10"/>
      <c r="CH12" s="258" t="s">
        <v>1513</v>
      </c>
      <c r="CM12" s="258" t="s">
        <v>1514</v>
      </c>
      <c r="CS12" s="258" t="s">
        <v>1515</v>
      </c>
      <c r="CU12" s="258" t="s">
        <v>1442</v>
      </c>
    </row>
    <row r="13" spans="2:143">
      <c r="E13" s="12"/>
      <c r="CF13" s="10"/>
    </row>
    <row r="14" spans="2:143" s="13" customFormat="1" ht="39.75">
      <c r="E14" s="14"/>
      <c r="F14" s="15"/>
      <c r="G14" s="15"/>
      <c r="H14" s="15"/>
      <c r="I14" s="15"/>
      <c r="J14" s="15"/>
      <c r="K14" s="15"/>
      <c r="L14" s="15"/>
      <c r="M14" s="16"/>
      <c r="N14" s="16"/>
      <c r="O14" s="17"/>
      <c r="P14" s="17"/>
      <c r="Q14" s="17"/>
      <c r="R14" s="17"/>
      <c r="S14" s="17"/>
      <c r="T14" s="18"/>
      <c r="W14" s="16"/>
      <c r="X14" s="16"/>
      <c r="AB14" s="17"/>
      <c r="AC14" s="16"/>
      <c r="AG14" s="17"/>
      <c r="AI14" s="19"/>
      <c r="AJ14" s="19"/>
      <c r="AK14" s="19"/>
      <c r="AL14" s="16"/>
      <c r="AM14" s="16"/>
      <c r="AN14" s="17"/>
      <c r="AO14" s="17"/>
      <c r="AP14" s="17"/>
      <c r="AQ14" s="17"/>
      <c r="AR14" s="17"/>
      <c r="AV14" s="16"/>
      <c r="AW14" s="16"/>
      <c r="BA14" s="17"/>
      <c r="BB14" s="16"/>
      <c r="BF14" s="17"/>
      <c r="BH14" s="19"/>
      <c r="BI14" s="19"/>
      <c r="BJ14" s="19"/>
      <c r="BK14" s="16"/>
      <c r="BL14" s="16"/>
      <c r="BM14" s="17"/>
      <c r="BN14" s="17"/>
      <c r="BO14" s="17"/>
      <c r="BP14" s="17"/>
      <c r="BQ14" s="17"/>
      <c r="BU14" s="16"/>
      <c r="BV14" s="16"/>
      <c r="BZ14" s="17"/>
      <c r="CA14" s="16"/>
      <c r="CE14" s="20"/>
      <c r="CH14" s="21"/>
    </row>
    <row r="15" spans="2:143" ht="18">
      <c r="E15" s="22"/>
      <c r="F15" s="23"/>
      <c r="G15" s="23"/>
      <c r="H15" s="23"/>
      <c r="I15" s="23"/>
      <c r="J15" s="23"/>
      <c r="K15" s="23"/>
      <c r="L15" s="23"/>
      <c r="CE15" s="24"/>
      <c r="CH15" s="21"/>
    </row>
    <row r="16" spans="2:143" s="13" customFormat="1" ht="18">
      <c r="B16" s="25" t="s">
        <v>855</v>
      </c>
      <c r="C16" s="26" t="s">
        <v>856</v>
      </c>
      <c r="D16" s="27" t="s">
        <v>857</v>
      </c>
      <c r="E16" s="28" t="s">
        <v>859</v>
      </c>
      <c r="F16" s="28" t="s">
        <v>860</v>
      </c>
      <c r="G16" s="29" t="s">
        <v>861</v>
      </c>
      <c r="H16" s="29" t="s">
        <v>1230</v>
      </c>
      <c r="I16" s="29" t="s">
        <v>1231</v>
      </c>
      <c r="J16" s="29" t="s">
        <v>1516</v>
      </c>
      <c r="K16" s="29" t="s">
        <v>1232</v>
      </c>
      <c r="L16" s="29" t="s">
        <v>140</v>
      </c>
      <c r="M16" s="377" t="s">
        <v>1517</v>
      </c>
      <c r="N16" s="377"/>
      <c r="O16" s="377"/>
      <c r="P16" s="377"/>
      <c r="Q16" s="377"/>
      <c r="R16" s="368" t="s">
        <v>1518</v>
      </c>
      <c r="S16" s="368"/>
      <c r="T16" s="368"/>
      <c r="U16" s="368"/>
      <c r="V16" s="369"/>
      <c r="W16" s="362" t="s">
        <v>1519</v>
      </c>
      <c r="X16" s="363"/>
      <c r="Y16" s="363"/>
      <c r="Z16" s="363"/>
      <c r="AA16" s="364"/>
      <c r="AB16" s="359" t="s">
        <v>1520</v>
      </c>
      <c r="AC16" s="360"/>
      <c r="AD16" s="360"/>
      <c r="AE16" s="360"/>
      <c r="AF16" s="361"/>
      <c r="AG16" s="370" t="s">
        <v>1521</v>
      </c>
      <c r="AH16" s="371"/>
      <c r="AI16" s="371"/>
      <c r="AJ16" s="371"/>
      <c r="AK16" s="372"/>
      <c r="AL16" s="373" t="s">
        <v>1522</v>
      </c>
      <c r="AM16" s="374"/>
      <c r="AN16" s="374"/>
      <c r="AO16" s="374"/>
      <c r="AP16" s="374"/>
      <c r="AQ16" s="368" t="s">
        <v>1523</v>
      </c>
      <c r="AR16" s="368"/>
      <c r="AS16" s="368"/>
      <c r="AT16" s="368"/>
      <c r="AU16" s="369"/>
      <c r="AV16" s="362" t="s">
        <v>1524</v>
      </c>
      <c r="AW16" s="363"/>
      <c r="AX16" s="363"/>
      <c r="AY16" s="363"/>
      <c r="AZ16" s="364"/>
      <c r="BA16" s="359" t="s">
        <v>1525</v>
      </c>
      <c r="BB16" s="360"/>
      <c r="BC16" s="360"/>
      <c r="BD16" s="360"/>
      <c r="BE16" s="361"/>
      <c r="BF16" s="370" t="s">
        <v>1526</v>
      </c>
      <c r="BG16" s="371"/>
      <c r="BH16" s="371"/>
      <c r="BI16" s="371"/>
      <c r="BJ16" s="372"/>
      <c r="BK16" s="373" t="s">
        <v>1527</v>
      </c>
      <c r="BL16" s="374"/>
      <c r="BM16" s="374"/>
      <c r="BN16" s="374"/>
      <c r="BO16" s="374"/>
      <c r="BP16" s="368" t="s">
        <v>1528</v>
      </c>
      <c r="BQ16" s="368"/>
      <c r="BR16" s="368"/>
      <c r="BS16" s="368"/>
      <c r="BT16" s="369"/>
      <c r="BU16" s="362" t="s">
        <v>1529</v>
      </c>
      <c r="BV16" s="363"/>
      <c r="BW16" s="363"/>
      <c r="BX16" s="363"/>
      <c r="BY16" s="364"/>
      <c r="BZ16" s="359" t="s">
        <v>1530</v>
      </c>
      <c r="CA16" s="360"/>
      <c r="CB16" s="360"/>
      <c r="CC16" s="360"/>
      <c r="CD16" s="361"/>
      <c r="CE16" s="362" t="s">
        <v>1443</v>
      </c>
      <c r="CF16" s="363"/>
      <c r="CG16" s="363"/>
      <c r="CH16" s="363"/>
      <c r="CI16" s="364"/>
      <c r="CJ16" s="359" t="s">
        <v>1444</v>
      </c>
      <c r="CK16" s="360"/>
      <c r="CL16" s="360"/>
      <c r="CM16" s="360"/>
      <c r="CN16" s="361"/>
      <c r="CO16" s="370" t="s">
        <v>1445</v>
      </c>
      <c r="CP16" s="371"/>
      <c r="CQ16" s="371"/>
      <c r="CR16" s="371"/>
      <c r="CS16" s="372"/>
      <c r="CT16" s="373" t="s">
        <v>1446</v>
      </c>
      <c r="CU16" s="374"/>
      <c r="CV16" s="374"/>
      <c r="CW16" s="374"/>
      <c r="CX16" s="374"/>
      <c r="CY16" s="368" t="s">
        <v>1393</v>
      </c>
      <c r="CZ16" s="368"/>
      <c r="DA16" s="368"/>
      <c r="DB16" s="368"/>
      <c r="DC16" s="369"/>
      <c r="DD16" s="362" t="s">
        <v>1394</v>
      </c>
      <c r="DE16" s="363"/>
      <c r="DF16" s="363"/>
      <c r="DG16" s="363"/>
      <c r="DH16" s="364"/>
      <c r="DI16" s="359" t="s">
        <v>1395</v>
      </c>
      <c r="DJ16" s="360"/>
      <c r="DK16" s="360"/>
      <c r="DL16" s="360"/>
      <c r="DM16" s="361"/>
      <c r="DN16" s="370" t="s">
        <v>1396</v>
      </c>
      <c r="DO16" s="371"/>
      <c r="DP16" s="371"/>
      <c r="DQ16" s="371"/>
      <c r="DR16" s="372"/>
      <c r="DS16" s="373" t="s">
        <v>1397</v>
      </c>
      <c r="DT16" s="374"/>
      <c r="DU16" s="374"/>
      <c r="DV16" s="374"/>
      <c r="DW16" s="374"/>
      <c r="DX16" s="368" t="s">
        <v>1398</v>
      </c>
      <c r="DY16" s="368"/>
      <c r="DZ16" s="368"/>
      <c r="EA16" s="368"/>
      <c r="EB16" s="369"/>
      <c r="EC16" s="362" t="s">
        <v>1399</v>
      </c>
      <c r="ED16" s="363"/>
      <c r="EE16" s="363"/>
      <c r="EF16" s="363"/>
      <c r="EG16" s="364"/>
      <c r="EH16" s="359" t="s">
        <v>1354</v>
      </c>
      <c r="EI16" s="360"/>
      <c r="EJ16" s="360"/>
      <c r="EK16" s="360"/>
      <c r="EL16" s="361"/>
      <c r="EM16" s="375" t="s">
        <v>1440</v>
      </c>
    </row>
    <row r="17" spans="2:143" s="21" customFormat="1" ht="18">
      <c r="B17" s="30"/>
      <c r="C17" s="31"/>
      <c r="D17" s="32"/>
      <c r="E17" s="33"/>
      <c r="F17" s="33"/>
      <c r="G17" s="34"/>
      <c r="H17" s="34"/>
      <c r="I17" s="34"/>
      <c r="J17" s="29" t="s">
        <v>1531</v>
      </c>
      <c r="K17" s="29" t="s">
        <v>856</v>
      </c>
      <c r="L17" s="29" t="s">
        <v>1247</v>
      </c>
      <c r="M17" s="35" t="s">
        <v>1248</v>
      </c>
      <c r="N17" s="36" t="s">
        <v>1249</v>
      </c>
      <c r="O17" s="36" t="s">
        <v>1250</v>
      </c>
      <c r="P17" s="36" t="s">
        <v>1251</v>
      </c>
      <c r="Q17" s="36" t="s">
        <v>1252</v>
      </c>
      <c r="R17" s="37" t="s">
        <v>1248</v>
      </c>
      <c r="S17" s="38" t="s">
        <v>1249</v>
      </c>
      <c r="T17" s="38" t="s">
        <v>1250</v>
      </c>
      <c r="U17" s="38" t="s">
        <v>1251</v>
      </c>
      <c r="V17" s="38" t="s">
        <v>1252</v>
      </c>
      <c r="W17" s="39" t="s">
        <v>1248</v>
      </c>
      <c r="X17" s="40" t="s">
        <v>1249</v>
      </c>
      <c r="Y17" s="40" t="s">
        <v>1250</v>
      </c>
      <c r="Z17" s="40" t="s">
        <v>1251</v>
      </c>
      <c r="AA17" s="39" t="s">
        <v>1252</v>
      </c>
      <c r="AB17" s="41" t="s">
        <v>1248</v>
      </c>
      <c r="AC17" s="42" t="s">
        <v>1249</v>
      </c>
      <c r="AD17" s="42" t="s">
        <v>1250</v>
      </c>
      <c r="AE17" s="42" t="s">
        <v>1251</v>
      </c>
      <c r="AF17" s="42" t="s">
        <v>1252</v>
      </c>
      <c r="AG17" s="43" t="s">
        <v>1248</v>
      </c>
      <c r="AH17" s="44" t="s">
        <v>1249</v>
      </c>
      <c r="AI17" s="44" t="s">
        <v>1250</v>
      </c>
      <c r="AJ17" s="44" t="s">
        <v>1251</v>
      </c>
      <c r="AK17" s="44" t="s">
        <v>1252</v>
      </c>
      <c r="AL17" s="35" t="s">
        <v>1248</v>
      </c>
      <c r="AM17" s="36" t="s">
        <v>1249</v>
      </c>
      <c r="AN17" s="36" t="s">
        <v>1250</v>
      </c>
      <c r="AO17" s="36" t="s">
        <v>1251</v>
      </c>
      <c r="AP17" s="36" t="s">
        <v>1252</v>
      </c>
      <c r="AQ17" s="37" t="s">
        <v>1248</v>
      </c>
      <c r="AR17" s="38" t="s">
        <v>1249</v>
      </c>
      <c r="AS17" s="38" t="s">
        <v>1250</v>
      </c>
      <c r="AT17" s="38" t="s">
        <v>1251</v>
      </c>
      <c r="AU17" s="38" t="s">
        <v>1252</v>
      </c>
      <c r="AV17" s="39" t="s">
        <v>1248</v>
      </c>
      <c r="AW17" s="40" t="s">
        <v>1249</v>
      </c>
      <c r="AX17" s="40" t="s">
        <v>1250</v>
      </c>
      <c r="AY17" s="40" t="s">
        <v>1251</v>
      </c>
      <c r="AZ17" s="39" t="s">
        <v>1252</v>
      </c>
      <c r="BA17" s="41" t="s">
        <v>1248</v>
      </c>
      <c r="BB17" s="42" t="s">
        <v>1249</v>
      </c>
      <c r="BC17" s="42" t="s">
        <v>1250</v>
      </c>
      <c r="BD17" s="42" t="s">
        <v>1251</v>
      </c>
      <c r="BE17" s="42" t="s">
        <v>1252</v>
      </c>
      <c r="BF17" s="45" t="s">
        <v>1248</v>
      </c>
      <c r="BG17" s="46" t="s">
        <v>1249</v>
      </c>
      <c r="BH17" s="44" t="s">
        <v>1250</v>
      </c>
      <c r="BI17" s="44" t="s">
        <v>1251</v>
      </c>
      <c r="BJ17" s="44" t="s">
        <v>1252</v>
      </c>
      <c r="BK17" s="35" t="s">
        <v>1248</v>
      </c>
      <c r="BL17" s="36" t="s">
        <v>1249</v>
      </c>
      <c r="BM17" s="36" t="s">
        <v>1250</v>
      </c>
      <c r="BN17" s="36" t="s">
        <v>1251</v>
      </c>
      <c r="BO17" s="36" t="s">
        <v>1252</v>
      </c>
      <c r="BP17" s="37" t="s">
        <v>1248</v>
      </c>
      <c r="BQ17" s="38" t="s">
        <v>1249</v>
      </c>
      <c r="BR17" s="38" t="s">
        <v>1250</v>
      </c>
      <c r="BS17" s="38" t="s">
        <v>1251</v>
      </c>
      <c r="BT17" s="38" t="s">
        <v>1252</v>
      </c>
      <c r="BU17" s="39" t="s">
        <v>1248</v>
      </c>
      <c r="BV17" s="40" t="s">
        <v>1249</v>
      </c>
      <c r="BW17" s="40" t="s">
        <v>1250</v>
      </c>
      <c r="BX17" s="40" t="s">
        <v>1251</v>
      </c>
      <c r="BY17" s="39" t="s">
        <v>1252</v>
      </c>
      <c r="BZ17" s="41" t="s">
        <v>1248</v>
      </c>
      <c r="CA17" s="42" t="s">
        <v>1249</v>
      </c>
      <c r="CB17" s="42" t="s">
        <v>1250</v>
      </c>
      <c r="CC17" s="42" t="s">
        <v>1251</v>
      </c>
      <c r="CD17" s="42" t="s">
        <v>1252</v>
      </c>
      <c r="CE17" s="39" t="s">
        <v>1248</v>
      </c>
      <c r="CF17" s="40" t="s">
        <v>1249</v>
      </c>
      <c r="CG17" s="40" t="s">
        <v>1250</v>
      </c>
      <c r="CH17" s="40" t="s">
        <v>1251</v>
      </c>
      <c r="CI17" s="39" t="s">
        <v>1252</v>
      </c>
      <c r="CJ17" s="41" t="s">
        <v>1248</v>
      </c>
      <c r="CK17" s="42" t="s">
        <v>1249</v>
      </c>
      <c r="CL17" s="42" t="s">
        <v>1250</v>
      </c>
      <c r="CM17" s="42" t="s">
        <v>1251</v>
      </c>
      <c r="CN17" s="42" t="s">
        <v>1252</v>
      </c>
      <c r="CO17" s="43" t="s">
        <v>1248</v>
      </c>
      <c r="CP17" s="44" t="s">
        <v>1249</v>
      </c>
      <c r="CQ17" s="44" t="s">
        <v>1250</v>
      </c>
      <c r="CR17" s="44" t="s">
        <v>1251</v>
      </c>
      <c r="CS17" s="44" t="s">
        <v>1252</v>
      </c>
      <c r="CT17" s="35" t="s">
        <v>1248</v>
      </c>
      <c r="CU17" s="36" t="s">
        <v>1249</v>
      </c>
      <c r="CV17" s="36" t="s">
        <v>1250</v>
      </c>
      <c r="CW17" s="36" t="s">
        <v>1251</v>
      </c>
      <c r="CX17" s="36" t="s">
        <v>1252</v>
      </c>
      <c r="CY17" s="37" t="s">
        <v>1248</v>
      </c>
      <c r="CZ17" s="38" t="s">
        <v>1249</v>
      </c>
      <c r="DA17" s="38" t="s">
        <v>1250</v>
      </c>
      <c r="DB17" s="38" t="s">
        <v>1251</v>
      </c>
      <c r="DC17" s="38" t="s">
        <v>1252</v>
      </c>
      <c r="DD17" s="39" t="s">
        <v>1248</v>
      </c>
      <c r="DE17" s="40" t="s">
        <v>1249</v>
      </c>
      <c r="DF17" s="40" t="s">
        <v>1250</v>
      </c>
      <c r="DG17" s="40" t="s">
        <v>1251</v>
      </c>
      <c r="DH17" s="39" t="s">
        <v>1252</v>
      </c>
      <c r="DI17" s="41" t="s">
        <v>1248</v>
      </c>
      <c r="DJ17" s="42" t="s">
        <v>1249</v>
      </c>
      <c r="DK17" s="42" t="s">
        <v>1250</v>
      </c>
      <c r="DL17" s="42" t="s">
        <v>1251</v>
      </c>
      <c r="DM17" s="42" t="s">
        <v>1252</v>
      </c>
      <c r="DN17" s="45" t="s">
        <v>1248</v>
      </c>
      <c r="DO17" s="46" t="s">
        <v>1249</v>
      </c>
      <c r="DP17" s="44" t="s">
        <v>1250</v>
      </c>
      <c r="DQ17" s="44" t="s">
        <v>1251</v>
      </c>
      <c r="DR17" s="44" t="s">
        <v>1252</v>
      </c>
      <c r="DS17" s="35" t="s">
        <v>1248</v>
      </c>
      <c r="DT17" s="36" t="s">
        <v>1249</v>
      </c>
      <c r="DU17" s="36" t="s">
        <v>1250</v>
      </c>
      <c r="DV17" s="36" t="s">
        <v>1251</v>
      </c>
      <c r="DW17" s="36" t="s">
        <v>1252</v>
      </c>
      <c r="DX17" s="37" t="s">
        <v>1248</v>
      </c>
      <c r="DY17" s="38" t="s">
        <v>1249</v>
      </c>
      <c r="DZ17" s="38" t="s">
        <v>1250</v>
      </c>
      <c r="EA17" s="38" t="s">
        <v>1251</v>
      </c>
      <c r="EB17" s="38" t="s">
        <v>1252</v>
      </c>
      <c r="EC17" s="39" t="s">
        <v>1248</v>
      </c>
      <c r="ED17" s="40" t="s">
        <v>1249</v>
      </c>
      <c r="EE17" s="40" t="s">
        <v>1250</v>
      </c>
      <c r="EF17" s="40" t="s">
        <v>1251</v>
      </c>
      <c r="EG17" s="39" t="s">
        <v>1252</v>
      </c>
      <c r="EH17" s="41" t="s">
        <v>1248</v>
      </c>
      <c r="EI17" s="42" t="s">
        <v>1249</v>
      </c>
      <c r="EJ17" s="42" t="s">
        <v>1250</v>
      </c>
      <c r="EK17" s="42" t="s">
        <v>1251</v>
      </c>
      <c r="EL17" s="42" t="s">
        <v>1252</v>
      </c>
      <c r="EM17" s="376"/>
    </row>
    <row r="18" spans="2:143" ht="45">
      <c r="B18" s="47" t="s">
        <v>864</v>
      </c>
      <c r="C18" s="48" t="s">
        <v>969</v>
      </c>
      <c r="D18" s="49" t="s">
        <v>975</v>
      </c>
      <c r="E18" s="70" t="s">
        <v>974</v>
      </c>
      <c r="F18" s="271">
        <v>45183</v>
      </c>
      <c r="G18" s="272">
        <v>45211</v>
      </c>
      <c r="H18" s="272">
        <v>45244</v>
      </c>
      <c r="I18" s="272">
        <v>45275</v>
      </c>
      <c r="J18" s="49" t="s">
        <v>33</v>
      </c>
      <c r="K18" s="49" t="s">
        <v>1532</v>
      </c>
      <c r="L18" s="49" t="s">
        <v>1533</v>
      </c>
      <c r="M18" s="72"/>
      <c r="N18" s="73"/>
      <c r="O18" s="73"/>
      <c r="P18" s="73"/>
      <c r="Q18" s="73"/>
      <c r="R18" s="56"/>
      <c r="S18" s="56"/>
      <c r="T18" s="56"/>
      <c r="U18" s="56"/>
      <c r="V18" s="56"/>
      <c r="W18" s="57"/>
      <c r="X18" s="58"/>
      <c r="Y18" s="58"/>
      <c r="Z18" s="58"/>
      <c r="AA18" s="57"/>
      <c r="AB18" s="60"/>
      <c r="AC18" s="61"/>
      <c r="AD18" s="61"/>
      <c r="AE18" s="61"/>
      <c r="AF18" s="61"/>
      <c r="AG18" s="63"/>
      <c r="AH18" s="64"/>
      <c r="AI18" s="64"/>
      <c r="AJ18" s="64"/>
      <c r="AK18" s="64"/>
      <c r="AL18" s="72"/>
      <c r="AM18" s="64"/>
      <c r="AN18" s="73"/>
      <c r="AO18" s="73"/>
      <c r="AP18" s="73"/>
      <c r="AQ18" s="66"/>
      <c r="AR18" s="56"/>
      <c r="AS18" s="56"/>
      <c r="AT18" s="56"/>
      <c r="AU18" s="56"/>
      <c r="AV18" s="57"/>
      <c r="AW18" s="58"/>
      <c r="AX18" s="58"/>
      <c r="AY18" s="58"/>
      <c r="AZ18" s="57"/>
      <c r="BA18" s="60"/>
      <c r="BB18" s="61"/>
      <c r="BC18" s="61"/>
      <c r="BD18" s="61"/>
      <c r="BE18" s="61"/>
      <c r="BF18" s="63"/>
      <c r="BG18" s="64"/>
      <c r="BH18" s="64"/>
      <c r="BI18" s="64"/>
      <c r="BJ18" s="64"/>
      <c r="BK18" s="72"/>
      <c r="BL18" s="73"/>
      <c r="BM18" s="138" t="s">
        <v>860</v>
      </c>
      <c r="BN18" s="73"/>
      <c r="BO18" s="73"/>
      <c r="BP18" s="66"/>
      <c r="BQ18" s="79" t="s">
        <v>861</v>
      </c>
      <c r="BR18" s="56"/>
      <c r="BS18" s="56"/>
      <c r="BT18" s="56"/>
      <c r="BU18" s="57"/>
      <c r="BV18" s="58"/>
      <c r="BW18" s="58"/>
      <c r="BX18" s="58"/>
      <c r="BY18" s="57"/>
      <c r="BZ18" s="60"/>
      <c r="CA18" s="61"/>
      <c r="CB18" s="61"/>
      <c r="CC18" s="61"/>
      <c r="CD18" s="61"/>
      <c r="CE18" s="64"/>
      <c r="CF18" s="58"/>
      <c r="CG18" s="58"/>
      <c r="CH18" s="221"/>
      <c r="CI18" s="57"/>
      <c r="CJ18" s="60"/>
      <c r="CK18" s="61"/>
      <c r="CL18" s="61"/>
      <c r="CM18" s="61"/>
      <c r="CN18" s="61"/>
      <c r="CO18" s="63"/>
      <c r="CP18" s="64"/>
      <c r="CQ18" s="64"/>
      <c r="CR18" s="64"/>
      <c r="CS18" s="64"/>
      <c r="CT18" s="72"/>
      <c r="CU18" s="64"/>
      <c r="CV18" s="73"/>
      <c r="CW18" s="73"/>
      <c r="CX18" s="73"/>
      <c r="CY18" s="66"/>
      <c r="CZ18" s="56"/>
      <c r="DA18" s="56"/>
      <c r="DB18" s="56"/>
      <c r="DC18" s="56"/>
      <c r="DD18" s="57"/>
      <c r="DE18" s="58"/>
      <c r="DF18" s="58"/>
      <c r="DG18" s="58"/>
      <c r="DH18" s="57"/>
      <c r="DI18" s="60"/>
      <c r="DJ18" s="61"/>
      <c r="DK18" s="61"/>
      <c r="DL18" s="61"/>
      <c r="DM18" s="61"/>
      <c r="DN18" s="63"/>
      <c r="DO18" s="64"/>
      <c r="DP18" s="64"/>
      <c r="DQ18" s="64"/>
      <c r="DR18" s="64"/>
      <c r="DS18" s="72"/>
      <c r="DT18" s="73"/>
      <c r="DU18" s="73"/>
      <c r="DV18" s="73"/>
      <c r="DW18" s="73"/>
      <c r="DX18" s="66"/>
      <c r="DY18" s="56"/>
      <c r="DZ18" s="56"/>
      <c r="EA18" s="56"/>
      <c r="EB18" s="56"/>
      <c r="EC18" s="57"/>
      <c r="ED18" s="58"/>
      <c r="EE18" s="58"/>
      <c r="EF18" s="58"/>
      <c r="EG18" s="57"/>
      <c r="EH18" s="60"/>
      <c r="EI18" s="61"/>
      <c r="EJ18" s="61"/>
      <c r="EK18" s="61"/>
      <c r="EL18" s="61"/>
      <c r="EM18" s="74"/>
    </row>
    <row r="19" spans="2:143" ht="36.75" customHeight="1">
      <c r="B19" s="47" t="s">
        <v>864</v>
      </c>
      <c r="C19" s="48" t="s">
        <v>880</v>
      </c>
      <c r="D19" s="49" t="s">
        <v>979</v>
      </c>
      <c r="E19" s="70" t="s">
        <v>980</v>
      </c>
      <c r="F19" s="271">
        <v>45274</v>
      </c>
      <c r="G19" s="272">
        <v>45295</v>
      </c>
      <c r="H19" s="272">
        <v>45316</v>
      </c>
      <c r="I19" s="272">
        <v>45359</v>
      </c>
      <c r="J19" s="49" t="s">
        <v>33</v>
      </c>
      <c r="K19" s="49" t="s">
        <v>343</v>
      </c>
      <c r="L19" s="49" t="s">
        <v>1534</v>
      </c>
      <c r="M19" s="72"/>
      <c r="N19" s="73"/>
      <c r="O19" s="73"/>
      <c r="P19" s="73"/>
      <c r="Q19" s="73"/>
      <c r="R19" s="56"/>
      <c r="S19" s="56"/>
      <c r="T19" s="56"/>
      <c r="U19" s="56"/>
      <c r="V19" s="56"/>
      <c r="W19" s="57"/>
      <c r="X19" s="76"/>
      <c r="Y19" s="77"/>
      <c r="Z19" s="77"/>
      <c r="AA19" s="57"/>
      <c r="AB19" s="60"/>
      <c r="AC19" s="61"/>
      <c r="AD19" s="61"/>
      <c r="AE19" s="61"/>
      <c r="AF19" s="61"/>
      <c r="AG19" s="63"/>
      <c r="AH19" s="64"/>
      <c r="AI19" s="64"/>
      <c r="AJ19" s="64"/>
      <c r="AK19" s="64"/>
      <c r="AL19" s="72"/>
      <c r="AM19" s="73"/>
      <c r="AN19" s="73"/>
      <c r="AO19" s="64"/>
      <c r="AP19" s="73"/>
      <c r="AQ19" s="214"/>
      <c r="AR19" s="56"/>
      <c r="AS19" s="56"/>
      <c r="AT19" s="56"/>
      <c r="AU19" s="56"/>
      <c r="AV19" s="57"/>
      <c r="AW19" s="76"/>
      <c r="AX19" s="77"/>
      <c r="AY19" s="77"/>
      <c r="AZ19" s="57"/>
      <c r="BA19" s="60"/>
      <c r="BB19" s="61"/>
      <c r="BC19" s="61"/>
      <c r="BD19" s="61"/>
      <c r="BE19" s="61"/>
      <c r="BF19" s="63"/>
      <c r="BG19" s="64"/>
      <c r="BH19" s="64"/>
      <c r="BI19" s="64"/>
      <c r="BJ19" s="64"/>
      <c r="BK19" s="72"/>
      <c r="BL19" s="73"/>
      <c r="BM19" s="73"/>
      <c r="BN19" s="73"/>
      <c r="BO19" s="73"/>
      <c r="BP19" s="66"/>
      <c r="BQ19" s="56"/>
      <c r="BR19" s="56"/>
      <c r="BS19" s="56"/>
      <c r="BT19" s="56"/>
      <c r="BU19" s="57"/>
      <c r="BV19" s="76"/>
      <c r="BW19" s="77"/>
      <c r="BX19" s="77"/>
      <c r="BY19" s="57"/>
      <c r="BZ19" s="60"/>
      <c r="CA19" s="61"/>
      <c r="CB19" s="138" t="s">
        <v>860</v>
      </c>
      <c r="CC19" s="61"/>
      <c r="CD19" s="61"/>
      <c r="CE19" s="95" t="s">
        <v>861</v>
      </c>
      <c r="CF19" s="76"/>
      <c r="CG19" s="77"/>
      <c r="CH19" s="77"/>
      <c r="CI19" s="57"/>
      <c r="CJ19" s="60"/>
      <c r="CK19" s="61"/>
      <c r="CL19" s="61"/>
      <c r="CM19" s="61"/>
      <c r="CN19" s="61"/>
      <c r="CO19" s="63"/>
      <c r="CP19" s="64"/>
      <c r="CQ19" s="64"/>
      <c r="CR19" s="64"/>
      <c r="CS19" s="213"/>
      <c r="CT19" s="72"/>
      <c r="CU19" s="73"/>
      <c r="CV19" s="73"/>
      <c r="CW19" s="64"/>
      <c r="CX19" s="73"/>
      <c r="CY19" s="214"/>
      <c r="CZ19" s="56"/>
      <c r="DA19" s="56"/>
      <c r="DB19" s="56"/>
      <c r="DC19" s="56"/>
      <c r="DD19" s="57"/>
      <c r="DE19" s="76"/>
      <c r="DF19" s="77"/>
      <c r="DG19" s="77"/>
      <c r="DH19" s="57"/>
      <c r="DI19" s="60"/>
      <c r="DJ19" s="61"/>
      <c r="DK19" s="61"/>
      <c r="DL19" s="61"/>
      <c r="DM19" s="61"/>
      <c r="DN19" s="63"/>
      <c r="DO19" s="64"/>
      <c r="DP19" s="64"/>
      <c r="DQ19" s="64"/>
      <c r="DR19" s="64"/>
      <c r="DS19" s="72"/>
      <c r="DT19" s="73"/>
      <c r="DU19" s="73"/>
      <c r="DV19" s="73"/>
      <c r="DW19" s="73"/>
      <c r="DX19" s="66"/>
      <c r="DY19" s="56"/>
      <c r="DZ19" s="56"/>
      <c r="EA19" s="56"/>
      <c r="EB19" s="56"/>
      <c r="EC19" s="57"/>
      <c r="ED19" s="76"/>
      <c r="EE19" s="77"/>
      <c r="EF19" s="77"/>
      <c r="EG19" s="57"/>
      <c r="EH19" s="60"/>
      <c r="EI19" s="61"/>
      <c r="EJ19" s="61"/>
      <c r="EK19" s="61"/>
      <c r="EL19" s="61"/>
    </row>
    <row r="20" spans="2:143" ht="45">
      <c r="B20" s="47" t="s">
        <v>864</v>
      </c>
      <c r="C20" s="48" t="s">
        <v>880</v>
      </c>
      <c r="D20" s="49" t="s">
        <v>981</v>
      </c>
      <c r="E20" s="70" t="s">
        <v>982</v>
      </c>
      <c r="F20" s="271">
        <v>45274</v>
      </c>
      <c r="G20" s="272">
        <v>45295</v>
      </c>
      <c r="H20" s="272">
        <v>45316</v>
      </c>
      <c r="I20" s="272">
        <v>45359</v>
      </c>
      <c r="J20" s="49" t="s">
        <v>33</v>
      </c>
      <c r="K20" s="49" t="s">
        <v>343</v>
      </c>
      <c r="L20" s="49" t="s">
        <v>1534</v>
      </c>
      <c r="M20" s="72"/>
      <c r="N20" s="73"/>
      <c r="O20" s="73"/>
      <c r="P20" s="73"/>
      <c r="Q20" s="73"/>
      <c r="R20" s="56"/>
      <c r="S20" s="56"/>
      <c r="T20" s="56"/>
      <c r="U20" s="56"/>
      <c r="V20" s="56"/>
      <c r="W20" s="77"/>
      <c r="X20" s="77"/>
      <c r="Y20" s="77"/>
      <c r="Z20" s="77"/>
      <c r="AA20" s="57"/>
      <c r="AB20" s="60"/>
      <c r="AC20" s="61"/>
      <c r="AD20" s="61"/>
      <c r="AE20" s="61"/>
      <c r="AF20" s="61"/>
      <c r="AG20" s="63"/>
      <c r="AH20" s="64"/>
      <c r="AI20" s="64"/>
      <c r="AJ20" s="64"/>
      <c r="AK20" s="64"/>
      <c r="AL20" s="72"/>
      <c r="AM20" s="73"/>
      <c r="AN20" s="73"/>
      <c r="AO20" s="64"/>
      <c r="AP20" s="73"/>
      <c r="AQ20" s="214"/>
      <c r="AR20" s="56"/>
      <c r="AS20" s="56"/>
      <c r="AT20" s="56"/>
      <c r="AU20" s="56"/>
      <c r="AV20" s="77"/>
      <c r="AW20" s="77"/>
      <c r="AX20" s="77"/>
      <c r="AY20" s="77"/>
      <c r="AZ20" s="57"/>
      <c r="BA20" s="60"/>
      <c r="BB20" s="61"/>
      <c r="BC20" s="61"/>
      <c r="BD20" s="61"/>
      <c r="BE20" s="61"/>
      <c r="BF20" s="63"/>
      <c r="BG20" s="64"/>
      <c r="BH20" s="64"/>
      <c r="BI20" s="64"/>
      <c r="BJ20" s="64"/>
      <c r="BK20" s="72"/>
      <c r="BL20" s="73"/>
      <c r="BM20" s="73"/>
      <c r="BN20" s="73"/>
      <c r="BO20" s="73"/>
      <c r="BP20" s="66"/>
      <c r="BQ20" s="56"/>
      <c r="BR20" s="56"/>
      <c r="BS20" s="56"/>
      <c r="BT20" s="56"/>
      <c r="BU20" s="77"/>
      <c r="BV20" s="77"/>
      <c r="BW20" s="77"/>
      <c r="BX20" s="77"/>
      <c r="BY20" s="57"/>
      <c r="BZ20" s="60"/>
      <c r="CA20" s="61"/>
      <c r="CB20" s="138" t="s">
        <v>860</v>
      </c>
      <c r="CC20" s="61"/>
      <c r="CD20" s="61"/>
      <c r="CE20" s="95" t="s">
        <v>861</v>
      </c>
      <c r="CF20" s="77"/>
      <c r="CG20" s="77"/>
      <c r="CH20" s="77"/>
      <c r="CI20" s="57"/>
      <c r="CJ20" s="60"/>
      <c r="CK20" s="61"/>
      <c r="CL20" s="61"/>
      <c r="CM20" s="61"/>
      <c r="CN20" s="61"/>
      <c r="CO20" s="63"/>
      <c r="CP20" s="64"/>
      <c r="CQ20" s="64"/>
      <c r="CR20" s="64"/>
      <c r="CS20" s="213"/>
      <c r="CT20" s="72"/>
      <c r="CU20" s="73"/>
      <c r="CV20" s="73"/>
      <c r="CW20" s="64"/>
      <c r="CX20" s="73"/>
      <c r="CY20" s="214"/>
      <c r="CZ20" s="56"/>
      <c r="DA20" s="56"/>
      <c r="DB20" s="56"/>
      <c r="DC20" s="56"/>
      <c r="DD20" s="77"/>
      <c r="DE20" s="77"/>
      <c r="DF20" s="77"/>
      <c r="DG20" s="77"/>
      <c r="DH20" s="57"/>
      <c r="DI20" s="60"/>
      <c r="DJ20" s="61"/>
      <c r="DK20" s="61"/>
      <c r="DL20" s="61"/>
      <c r="DM20" s="61"/>
      <c r="DN20" s="63"/>
      <c r="DO20" s="64"/>
      <c r="DP20" s="64"/>
      <c r="DQ20" s="64"/>
      <c r="DR20" s="64"/>
      <c r="DS20" s="72"/>
      <c r="DT20" s="73"/>
      <c r="DU20" s="73"/>
      <c r="DV20" s="73"/>
      <c r="DW20" s="73"/>
      <c r="DX20" s="66"/>
      <c r="DY20" s="56"/>
      <c r="DZ20" s="56"/>
      <c r="EA20" s="56"/>
      <c r="EB20" s="56"/>
      <c r="EC20" s="77"/>
      <c r="ED20" s="77"/>
      <c r="EE20" s="77"/>
      <c r="EF20" s="77"/>
      <c r="EG20" s="57"/>
      <c r="EH20" s="60"/>
      <c r="EI20" s="61"/>
      <c r="EJ20" s="61"/>
      <c r="EK20" s="61"/>
      <c r="EL20" s="61"/>
    </row>
    <row r="21" spans="2:143" ht="45">
      <c r="B21" s="47" t="s">
        <v>864</v>
      </c>
      <c r="C21" s="48" t="s">
        <v>880</v>
      </c>
      <c r="D21" s="49" t="s">
        <v>983</v>
      </c>
      <c r="E21" s="70" t="s">
        <v>984</v>
      </c>
      <c r="F21" s="271">
        <v>45274</v>
      </c>
      <c r="G21" s="272">
        <v>45295</v>
      </c>
      <c r="H21" s="272">
        <v>45316</v>
      </c>
      <c r="I21" s="272">
        <v>45359</v>
      </c>
      <c r="J21" s="49" t="s">
        <v>33</v>
      </c>
      <c r="K21" s="49" t="s">
        <v>343</v>
      </c>
      <c r="L21" s="49" t="s">
        <v>1534</v>
      </c>
      <c r="M21" s="72"/>
      <c r="N21" s="73"/>
      <c r="O21" s="73"/>
      <c r="P21" s="73"/>
      <c r="Q21" s="73"/>
      <c r="R21" s="56"/>
      <c r="S21" s="56"/>
      <c r="T21" s="56"/>
      <c r="U21" s="56"/>
      <c r="V21" s="56"/>
      <c r="W21" s="77"/>
      <c r="X21" s="77"/>
      <c r="Y21" s="77"/>
      <c r="Z21" s="77"/>
      <c r="AA21" s="57"/>
      <c r="AB21" s="60"/>
      <c r="AC21" s="61"/>
      <c r="AD21" s="61"/>
      <c r="AE21" s="61"/>
      <c r="AF21" s="61"/>
      <c r="AG21" s="63"/>
      <c r="AH21" s="64"/>
      <c r="AI21" s="64"/>
      <c r="AJ21" s="64"/>
      <c r="AK21" s="64"/>
      <c r="AL21" s="72"/>
      <c r="AM21" s="73"/>
      <c r="AN21" s="73"/>
      <c r="AO21" s="64"/>
      <c r="AP21" s="73"/>
      <c r="AQ21" s="214"/>
      <c r="AR21" s="56"/>
      <c r="AS21" s="56"/>
      <c r="AT21" s="56"/>
      <c r="AU21" s="56"/>
      <c r="AV21" s="77"/>
      <c r="AW21" s="77"/>
      <c r="AX21" s="77"/>
      <c r="AY21" s="77"/>
      <c r="AZ21" s="57"/>
      <c r="BA21" s="60"/>
      <c r="BB21" s="61"/>
      <c r="BC21" s="61"/>
      <c r="BD21" s="61"/>
      <c r="BE21" s="61"/>
      <c r="BF21" s="63"/>
      <c r="BG21" s="64"/>
      <c r="BH21" s="64"/>
      <c r="BI21" s="64"/>
      <c r="BJ21" s="64"/>
      <c r="BK21" s="72"/>
      <c r="BL21" s="73"/>
      <c r="BM21" s="73"/>
      <c r="BN21" s="73"/>
      <c r="BO21" s="73"/>
      <c r="BP21" s="66"/>
      <c r="BQ21" s="56"/>
      <c r="BR21" s="56"/>
      <c r="BS21" s="56"/>
      <c r="BT21" s="56"/>
      <c r="BU21" s="77"/>
      <c r="BV21" s="77"/>
      <c r="BW21" s="77"/>
      <c r="BX21" s="77"/>
      <c r="BY21" s="57"/>
      <c r="BZ21" s="60"/>
      <c r="CA21" s="61"/>
      <c r="CB21" s="141" t="s">
        <v>860</v>
      </c>
      <c r="CC21" s="61"/>
      <c r="CD21" s="61"/>
      <c r="CE21" s="95" t="s">
        <v>861</v>
      </c>
      <c r="CF21" s="77"/>
      <c r="CG21" s="77"/>
      <c r="CH21" s="77"/>
      <c r="CI21" s="57"/>
      <c r="CJ21" s="60"/>
      <c r="CK21" s="61"/>
      <c r="CL21" s="61"/>
      <c r="CM21" s="61"/>
      <c r="CN21" s="61"/>
      <c r="CO21" s="63"/>
      <c r="CP21" s="64"/>
      <c r="CQ21" s="64"/>
      <c r="CR21" s="64"/>
      <c r="CS21" s="64"/>
      <c r="CT21" s="72"/>
      <c r="CU21" s="73"/>
      <c r="CV21" s="73"/>
      <c r="CW21" s="64"/>
      <c r="CX21" s="73"/>
      <c r="CY21" s="214"/>
      <c r="CZ21" s="56"/>
      <c r="DA21" s="56"/>
      <c r="DB21" s="56"/>
      <c r="DC21" s="56"/>
      <c r="DD21" s="77"/>
      <c r="DE21" s="77"/>
      <c r="DF21" s="77"/>
      <c r="DG21" s="77"/>
      <c r="DH21" s="57"/>
      <c r="DI21" s="60"/>
      <c r="DJ21" s="61"/>
      <c r="DK21" s="61"/>
      <c r="DL21" s="61"/>
      <c r="DM21" s="61"/>
      <c r="DN21" s="63"/>
      <c r="DO21" s="64"/>
      <c r="DP21" s="64"/>
      <c r="DQ21" s="64"/>
      <c r="DR21" s="64"/>
      <c r="DS21" s="72"/>
      <c r="DT21" s="73"/>
      <c r="DU21" s="73"/>
      <c r="DV21" s="73"/>
      <c r="DW21" s="73"/>
      <c r="DX21" s="66"/>
      <c r="DY21" s="56"/>
      <c r="DZ21" s="56"/>
      <c r="EA21" s="56"/>
      <c r="EB21" s="56"/>
      <c r="EC21" s="77"/>
      <c r="ED21" s="77"/>
      <c r="EE21" s="77"/>
      <c r="EF21" s="77"/>
      <c r="EG21" s="57"/>
      <c r="EH21" s="60"/>
      <c r="EI21" s="61"/>
      <c r="EJ21" s="61"/>
      <c r="EK21" s="61"/>
      <c r="EL21" s="61"/>
    </row>
    <row r="22" spans="2:143" ht="45">
      <c r="B22" s="47" t="s">
        <v>864</v>
      </c>
      <c r="C22" s="48" t="s">
        <v>880</v>
      </c>
      <c r="D22" s="49" t="s">
        <v>985</v>
      </c>
      <c r="E22" s="70" t="s">
        <v>986</v>
      </c>
      <c r="F22" s="271">
        <v>45274</v>
      </c>
      <c r="G22" s="272">
        <v>45295</v>
      </c>
      <c r="H22" s="272">
        <v>45316</v>
      </c>
      <c r="I22" s="272">
        <v>45359</v>
      </c>
      <c r="J22" s="49" t="s">
        <v>33</v>
      </c>
      <c r="K22" s="49" t="s">
        <v>343</v>
      </c>
      <c r="L22" s="49" t="s">
        <v>1534</v>
      </c>
      <c r="M22" s="72"/>
      <c r="N22" s="73"/>
      <c r="O22" s="73"/>
      <c r="P22" s="73"/>
      <c r="Q22" s="73"/>
      <c r="R22" s="56"/>
      <c r="S22" s="56"/>
      <c r="T22" s="56"/>
      <c r="U22" s="56"/>
      <c r="V22" s="56"/>
      <c r="W22" s="54"/>
      <c r="X22" s="77"/>
      <c r="Y22" s="77"/>
      <c r="Z22" s="77"/>
      <c r="AA22" s="80"/>
      <c r="AB22" s="60"/>
      <c r="AC22" s="61"/>
      <c r="AD22" s="61"/>
      <c r="AE22" s="61"/>
      <c r="AF22" s="61"/>
      <c r="AG22" s="63"/>
      <c r="AH22" s="64"/>
      <c r="AI22" s="64"/>
      <c r="AJ22" s="64"/>
      <c r="AK22" s="64"/>
      <c r="AL22" s="72"/>
      <c r="AM22" s="73"/>
      <c r="AN22" s="73"/>
      <c r="AO22" s="64"/>
      <c r="AP22" s="73"/>
      <c r="AQ22" s="214"/>
      <c r="AR22" s="56"/>
      <c r="AS22" s="56"/>
      <c r="AT22" s="56"/>
      <c r="AU22" s="56"/>
      <c r="AV22" s="77"/>
      <c r="AW22" s="77"/>
      <c r="AX22" s="77"/>
      <c r="AY22" s="77"/>
      <c r="AZ22" s="57"/>
      <c r="BA22" s="60"/>
      <c r="BB22" s="61"/>
      <c r="BC22" s="61"/>
      <c r="BD22" s="61"/>
      <c r="BE22" s="61"/>
      <c r="BF22" s="63"/>
      <c r="BG22" s="64"/>
      <c r="BH22" s="64"/>
      <c r="BI22" s="64"/>
      <c r="BJ22" s="64"/>
      <c r="BK22" s="72"/>
      <c r="BL22" s="73"/>
      <c r="BM22" s="73"/>
      <c r="BN22" s="73"/>
      <c r="BO22" s="73"/>
      <c r="BP22" s="66"/>
      <c r="BQ22" s="56"/>
      <c r="BR22" s="56"/>
      <c r="BS22" s="56"/>
      <c r="BT22" s="56"/>
      <c r="BU22" s="77"/>
      <c r="BV22" s="77"/>
      <c r="BW22" s="77"/>
      <c r="BX22" s="77"/>
      <c r="BY22" s="57"/>
      <c r="BZ22" s="60"/>
      <c r="CA22" s="61"/>
      <c r="CB22" s="141" t="s">
        <v>860</v>
      </c>
      <c r="CC22" s="61"/>
      <c r="CD22" s="61"/>
      <c r="CE22" s="95" t="s">
        <v>861</v>
      </c>
      <c r="CF22" s="77"/>
      <c r="CG22" s="77"/>
      <c r="CH22" s="77"/>
      <c r="CI22" s="80"/>
      <c r="CJ22" s="60"/>
      <c r="CK22" s="61"/>
      <c r="CL22" s="61"/>
      <c r="CM22" s="61"/>
      <c r="CN22" s="61"/>
      <c r="CO22" s="63"/>
      <c r="CP22" s="64"/>
      <c r="CQ22" s="64"/>
      <c r="CR22" s="64"/>
      <c r="CS22" s="64"/>
      <c r="CT22" s="72"/>
      <c r="CU22" s="73"/>
      <c r="CV22" s="73"/>
      <c r="CW22" s="64"/>
      <c r="CX22" s="73"/>
      <c r="CY22" s="214"/>
      <c r="CZ22" s="56"/>
      <c r="DA22" s="56"/>
      <c r="DB22" s="56"/>
      <c r="DC22" s="56"/>
      <c r="DD22" s="77"/>
      <c r="DE22" s="77"/>
      <c r="DF22" s="77"/>
      <c r="DG22" s="77"/>
      <c r="DH22" s="57"/>
      <c r="DI22" s="60"/>
      <c r="DJ22" s="61"/>
      <c r="DK22" s="61"/>
      <c r="DL22" s="61"/>
      <c r="DM22" s="61"/>
      <c r="DN22" s="63"/>
      <c r="DO22" s="64"/>
      <c r="DP22" s="64"/>
      <c r="DQ22" s="64"/>
      <c r="DR22" s="64"/>
      <c r="DS22" s="72"/>
      <c r="DT22" s="73"/>
      <c r="DU22" s="73"/>
      <c r="DV22" s="73"/>
      <c r="DW22" s="73"/>
      <c r="DX22" s="66"/>
      <c r="DY22" s="56"/>
      <c r="DZ22" s="56"/>
      <c r="EA22" s="56"/>
      <c r="EB22" s="56"/>
      <c r="EC22" s="77"/>
      <c r="ED22" s="77"/>
      <c r="EE22" s="77"/>
      <c r="EF22" s="77"/>
      <c r="EG22" s="57"/>
      <c r="EH22" s="60"/>
      <c r="EI22" s="61"/>
      <c r="EJ22" s="61"/>
      <c r="EK22" s="61"/>
      <c r="EL22" s="61"/>
    </row>
    <row r="23" spans="2:143" ht="45">
      <c r="B23" s="47" t="s">
        <v>864</v>
      </c>
      <c r="C23" s="48" t="s">
        <v>900</v>
      </c>
      <c r="D23" s="49" t="s">
        <v>987</v>
      </c>
      <c r="E23" s="70" t="s">
        <v>988</v>
      </c>
      <c r="F23" s="271">
        <v>45274</v>
      </c>
      <c r="G23" s="272">
        <v>45295</v>
      </c>
      <c r="H23" s="272">
        <v>45316</v>
      </c>
      <c r="I23" s="272">
        <v>45359</v>
      </c>
      <c r="J23" s="49" t="s">
        <v>33</v>
      </c>
      <c r="K23" s="49" t="s">
        <v>343</v>
      </c>
      <c r="L23" s="49" t="s">
        <v>1534</v>
      </c>
      <c r="M23" s="72"/>
      <c r="N23" s="73"/>
      <c r="O23" s="73"/>
      <c r="P23" s="73"/>
      <c r="Q23" s="73"/>
      <c r="R23" s="56"/>
      <c r="S23" s="56"/>
      <c r="T23" s="56"/>
      <c r="U23" s="56"/>
      <c r="V23" s="56"/>
      <c r="W23" s="54"/>
      <c r="X23" s="77"/>
      <c r="Y23" s="77"/>
      <c r="Z23" s="96"/>
      <c r="AA23" s="57"/>
      <c r="AB23" s="60"/>
      <c r="AC23" s="61"/>
      <c r="AD23" s="61"/>
      <c r="AE23" s="61"/>
      <c r="AF23" s="61"/>
      <c r="AG23" s="63"/>
      <c r="AH23" s="64"/>
      <c r="AI23" s="64"/>
      <c r="AJ23" s="64"/>
      <c r="AK23" s="64"/>
      <c r="AL23" s="72"/>
      <c r="AM23" s="73"/>
      <c r="AN23" s="73"/>
      <c r="AO23" s="64"/>
      <c r="AP23" s="73"/>
      <c r="AQ23" s="66"/>
      <c r="AR23" s="56"/>
      <c r="AS23" s="56"/>
      <c r="AT23" s="56"/>
      <c r="AU23" s="56"/>
      <c r="AV23" s="77"/>
      <c r="AW23" s="77"/>
      <c r="AX23" s="77"/>
      <c r="AY23" s="77"/>
      <c r="AZ23" s="57"/>
      <c r="BA23" s="60"/>
      <c r="BB23" s="61"/>
      <c r="BC23" s="61"/>
      <c r="BD23" s="61"/>
      <c r="BE23" s="61"/>
      <c r="BF23" s="63"/>
      <c r="BG23" s="64"/>
      <c r="BH23" s="64"/>
      <c r="BI23" s="64"/>
      <c r="BJ23" s="64"/>
      <c r="BK23" s="72"/>
      <c r="BL23" s="73"/>
      <c r="BM23" s="73"/>
      <c r="BN23" s="73"/>
      <c r="BO23" s="73"/>
      <c r="BP23" s="66"/>
      <c r="BQ23" s="56"/>
      <c r="BR23" s="56"/>
      <c r="BS23" s="56"/>
      <c r="BT23" s="56"/>
      <c r="BU23" s="77"/>
      <c r="BV23" s="77"/>
      <c r="BW23" s="77"/>
      <c r="BX23" s="77"/>
      <c r="BY23" s="57"/>
      <c r="BZ23" s="60"/>
      <c r="CA23" s="61"/>
      <c r="CB23" s="141" t="s">
        <v>860</v>
      </c>
      <c r="CC23" s="61"/>
      <c r="CD23" s="61"/>
      <c r="CE23" s="95" t="s">
        <v>861</v>
      </c>
      <c r="CF23" s="77"/>
      <c r="CG23" s="77"/>
      <c r="CH23" s="77"/>
      <c r="CI23" s="57"/>
      <c r="CJ23" s="60"/>
      <c r="CK23" s="61"/>
      <c r="CL23" s="61"/>
      <c r="CM23" s="61"/>
      <c r="CN23" s="61"/>
      <c r="CO23" s="63"/>
      <c r="CP23" s="64"/>
      <c r="CQ23" s="64"/>
      <c r="CR23" s="64"/>
      <c r="CS23" s="64"/>
      <c r="CT23" s="72"/>
      <c r="CU23" s="73"/>
      <c r="CV23" s="73"/>
      <c r="CW23" s="64"/>
      <c r="CX23" s="73"/>
      <c r="CY23" s="66"/>
      <c r="CZ23" s="56"/>
      <c r="DA23" s="56"/>
      <c r="DB23" s="56"/>
      <c r="DC23" s="56"/>
      <c r="DD23" s="77"/>
      <c r="DE23" s="77"/>
      <c r="DF23" s="77"/>
      <c r="DG23" s="77"/>
      <c r="DH23" s="57"/>
      <c r="DI23" s="60"/>
      <c r="DJ23" s="61"/>
      <c r="DK23" s="61"/>
      <c r="DL23" s="61"/>
      <c r="DM23" s="61"/>
      <c r="DN23" s="63"/>
      <c r="DO23" s="64"/>
      <c r="DP23" s="64"/>
      <c r="DQ23" s="64"/>
      <c r="DR23" s="64"/>
      <c r="DS23" s="72"/>
      <c r="DT23" s="73"/>
      <c r="DU23" s="73"/>
      <c r="DV23" s="73"/>
      <c r="DW23" s="73"/>
      <c r="DX23" s="66"/>
      <c r="DY23" s="56"/>
      <c r="DZ23" s="56"/>
      <c r="EA23" s="56"/>
      <c r="EB23" s="56"/>
      <c r="EC23" s="77"/>
      <c r="ED23" s="77"/>
      <c r="EE23" s="77"/>
      <c r="EF23" s="77"/>
      <c r="EG23" s="57"/>
      <c r="EH23" s="60"/>
      <c r="EI23" s="61"/>
      <c r="EJ23" s="61"/>
      <c r="EK23" s="61"/>
      <c r="EL23" s="61"/>
    </row>
    <row r="24" spans="2:143" ht="45">
      <c r="B24" s="47" t="s">
        <v>864</v>
      </c>
      <c r="C24" s="48" t="s">
        <v>900</v>
      </c>
      <c r="D24" s="49" t="s">
        <v>989</v>
      </c>
      <c r="E24" s="70" t="s">
        <v>990</v>
      </c>
      <c r="F24" s="271">
        <v>45274</v>
      </c>
      <c r="G24" s="272">
        <v>45295</v>
      </c>
      <c r="H24" s="272">
        <v>45316</v>
      </c>
      <c r="I24" s="272">
        <v>45359</v>
      </c>
      <c r="J24" s="49" t="s">
        <v>33</v>
      </c>
      <c r="K24" s="49" t="s">
        <v>343</v>
      </c>
      <c r="L24" s="49" t="s">
        <v>1534</v>
      </c>
      <c r="M24" s="72"/>
      <c r="N24" s="73"/>
      <c r="O24" s="73"/>
      <c r="P24" s="73"/>
      <c r="Q24" s="73"/>
      <c r="R24" s="54"/>
      <c r="S24" s="56"/>
      <c r="T24" s="56"/>
      <c r="U24" s="56"/>
      <c r="V24" s="80"/>
      <c r="W24" s="77"/>
      <c r="X24" s="77"/>
      <c r="Y24" s="77"/>
      <c r="Z24" s="96"/>
      <c r="AA24" s="57"/>
      <c r="AB24" s="60"/>
      <c r="AC24" s="61"/>
      <c r="AD24" s="61"/>
      <c r="AE24" s="61"/>
      <c r="AF24" s="61"/>
      <c r="AG24" s="63"/>
      <c r="AH24" s="64"/>
      <c r="AI24" s="64"/>
      <c r="AJ24" s="64"/>
      <c r="AK24" s="64"/>
      <c r="AL24" s="72"/>
      <c r="AM24" s="73"/>
      <c r="AN24" s="73"/>
      <c r="AO24" s="73"/>
      <c r="AP24" s="73"/>
      <c r="AQ24" s="64"/>
      <c r="AR24" s="56"/>
      <c r="AS24" s="56"/>
      <c r="AT24" s="56"/>
      <c r="AU24" s="56"/>
      <c r="AV24" s="77"/>
      <c r="AW24" s="77"/>
      <c r="AX24" s="77"/>
      <c r="AY24" s="77"/>
      <c r="AZ24" s="57"/>
      <c r="BA24" s="60"/>
      <c r="BB24" s="61"/>
      <c r="BC24" s="61"/>
      <c r="BD24" s="61"/>
      <c r="BE24" s="61"/>
      <c r="BF24" s="63"/>
      <c r="BG24" s="64"/>
      <c r="BH24" s="64"/>
      <c r="BI24" s="64"/>
      <c r="BJ24" s="64"/>
      <c r="BK24" s="72"/>
      <c r="BL24" s="73"/>
      <c r="BM24" s="73"/>
      <c r="BN24" s="73"/>
      <c r="BO24" s="73"/>
      <c r="BP24" s="66"/>
      <c r="BQ24" s="56"/>
      <c r="BR24" s="56"/>
      <c r="BS24" s="56"/>
      <c r="BT24" s="56"/>
      <c r="BU24" s="77"/>
      <c r="BV24" s="77"/>
      <c r="BW24" s="77"/>
      <c r="BX24" s="77"/>
      <c r="BY24" s="57"/>
      <c r="BZ24" s="60"/>
      <c r="CA24" s="61"/>
      <c r="CB24" s="141" t="s">
        <v>860</v>
      </c>
      <c r="CC24" s="61"/>
      <c r="CD24" s="61"/>
      <c r="CE24" s="146" t="s">
        <v>861</v>
      </c>
      <c r="CF24" s="64"/>
      <c r="CG24" s="77"/>
      <c r="CH24" s="77"/>
      <c r="CI24" s="57"/>
      <c r="CJ24" s="60"/>
      <c r="CK24" s="61"/>
      <c r="CL24" s="61"/>
      <c r="CM24" s="61"/>
      <c r="CN24" s="61"/>
      <c r="CO24" s="63"/>
      <c r="CP24" s="64"/>
      <c r="CQ24" s="64"/>
      <c r="CR24" s="64"/>
      <c r="CS24" s="64"/>
      <c r="CT24" s="72"/>
      <c r="CU24" s="73"/>
      <c r="CV24" s="73"/>
      <c r="CW24" s="73"/>
      <c r="CX24" s="73"/>
      <c r="CY24" s="64"/>
      <c r="CZ24" s="56"/>
      <c r="DA24" s="56"/>
      <c r="DB24" s="56"/>
      <c r="DC24" s="56"/>
      <c r="DD24" s="77"/>
      <c r="DE24" s="77"/>
      <c r="DF24" s="77"/>
      <c r="DG24" s="77"/>
      <c r="DH24" s="57"/>
      <c r="DI24" s="60"/>
      <c r="DJ24" s="61"/>
      <c r="DK24" s="61"/>
      <c r="DL24" s="61"/>
      <c r="DM24" s="61"/>
      <c r="DN24" s="63"/>
      <c r="DO24" s="64"/>
      <c r="DP24" s="64"/>
      <c r="DQ24" s="64"/>
      <c r="DR24" s="64"/>
      <c r="DS24" s="72"/>
      <c r="DT24" s="73"/>
      <c r="DU24" s="73"/>
      <c r="DV24" s="73"/>
      <c r="DW24" s="73"/>
      <c r="DX24" s="66"/>
      <c r="DY24" s="56"/>
      <c r="DZ24" s="56"/>
      <c r="EA24" s="56"/>
      <c r="EB24" s="56"/>
      <c r="EC24" s="77"/>
      <c r="ED24" s="77"/>
      <c r="EE24" s="77"/>
      <c r="EF24" s="77"/>
      <c r="EG24" s="57"/>
      <c r="EH24" s="60"/>
      <c r="EI24" s="61"/>
      <c r="EJ24" s="61"/>
      <c r="EK24" s="61"/>
      <c r="EL24" s="61"/>
    </row>
    <row r="25" spans="2:143" ht="45">
      <c r="B25" s="47" t="s">
        <v>899</v>
      </c>
      <c r="C25" s="48" t="s">
        <v>917</v>
      </c>
      <c r="D25" s="49" t="s">
        <v>915</v>
      </c>
      <c r="E25" s="70" t="s">
        <v>916</v>
      </c>
      <c r="F25" s="271">
        <v>45282</v>
      </c>
      <c r="G25" s="272">
        <v>45303</v>
      </c>
      <c r="H25" s="272">
        <v>45324</v>
      </c>
      <c r="I25" s="272">
        <v>45369</v>
      </c>
      <c r="J25" s="49" t="s">
        <v>33</v>
      </c>
      <c r="K25" s="49" t="s">
        <v>303</v>
      </c>
      <c r="L25" s="49" t="s">
        <v>1535</v>
      </c>
      <c r="M25" s="72"/>
      <c r="N25" s="73"/>
      <c r="O25" s="73"/>
      <c r="P25" s="73"/>
      <c r="Q25" s="73"/>
      <c r="R25" s="54"/>
      <c r="S25" s="56"/>
      <c r="T25" s="56"/>
      <c r="U25" s="56"/>
      <c r="V25" s="80"/>
      <c r="W25" s="77"/>
      <c r="X25" s="77"/>
      <c r="Y25" s="77"/>
      <c r="Z25" s="96"/>
      <c r="AA25" s="57"/>
      <c r="AB25" s="60"/>
      <c r="AC25" s="61"/>
      <c r="AD25" s="61"/>
      <c r="AE25" s="61"/>
      <c r="AF25" s="61"/>
      <c r="AG25" s="63"/>
      <c r="AH25" s="64"/>
      <c r="AI25" s="64"/>
      <c r="AJ25" s="64"/>
      <c r="AK25" s="64"/>
      <c r="AL25" s="72"/>
      <c r="AM25" s="73"/>
      <c r="AN25" s="73"/>
      <c r="AO25" s="73"/>
      <c r="AP25" s="73"/>
      <c r="AQ25" s="64"/>
      <c r="AR25" s="56"/>
      <c r="AS25" s="56"/>
      <c r="AT25" s="56"/>
      <c r="AU25" s="56"/>
      <c r="AV25" s="77"/>
      <c r="AW25" s="77"/>
      <c r="AX25" s="77"/>
      <c r="AY25" s="77"/>
      <c r="AZ25" s="57"/>
      <c r="BA25" s="60"/>
      <c r="BB25" s="61"/>
      <c r="BC25" s="61"/>
      <c r="BD25" s="61"/>
      <c r="BE25" s="61"/>
      <c r="BF25" s="63"/>
      <c r="BG25" s="64"/>
      <c r="BH25" s="64"/>
      <c r="BI25" s="64"/>
      <c r="BJ25" s="64"/>
      <c r="BK25" s="72"/>
      <c r="BL25" s="73"/>
      <c r="BM25" s="73"/>
      <c r="BN25" s="73"/>
      <c r="BO25" s="73"/>
      <c r="BP25" s="66"/>
      <c r="BQ25" s="56"/>
      <c r="BR25" s="56"/>
      <c r="BS25" s="56"/>
      <c r="BT25" s="56"/>
      <c r="BU25" s="77"/>
      <c r="BV25" s="77"/>
      <c r="BW25" s="77"/>
      <c r="BX25" s="77"/>
      <c r="BY25" s="57"/>
      <c r="BZ25" s="60"/>
      <c r="CA25" s="61"/>
      <c r="CB25" s="64"/>
      <c r="CC25" s="138" t="s">
        <v>860</v>
      </c>
      <c r="CD25" s="61"/>
      <c r="CE25" s="77"/>
      <c r="CF25" s="95" t="s">
        <v>861</v>
      </c>
      <c r="CG25" s="77"/>
      <c r="CH25" s="77"/>
      <c r="CI25" s="57"/>
      <c r="CJ25" s="60"/>
      <c r="CK25" s="61"/>
      <c r="CL25" s="61"/>
      <c r="CM25" s="61"/>
      <c r="CN25" s="61"/>
      <c r="CO25" s="63"/>
      <c r="CP25" s="64"/>
      <c r="CQ25" s="64"/>
      <c r="CR25" s="64"/>
      <c r="CS25" s="64"/>
      <c r="CT25" s="72"/>
      <c r="CU25" s="73"/>
      <c r="CV25" s="73"/>
      <c r="CW25" s="73"/>
      <c r="CX25" s="73"/>
      <c r="CY25" s="64"/>
      <c r="CZ25" s="56"/>
      <c r="DA25" s="56"/>
      <c r="DB25" s="56"/>
      <c r="DC25" s="56"/>
      <c r="DD25" s="77"/>
      <c r="DE25" s="77"/>
      <c r="DF25" s="77"/>
      <c r="DG25" s="77"/>
      <c r="DH25" s="57"/>
      <c r="DI25" s="60"/>
      <c r="DJ25" s="61"/>
      <c r="DK25" s="61"/>
      <c r="DL25" s="61"/>
      <c r="DM25" s="61"/>
      <c r="DN25" s="63"/>
      <c r="DO25" s="64"/>
      <c r="DP25" s="64"/>
      <c r="DQ25" s="64"/>
      <c r="DR25" s="64"/>
      <c r="DS25" s="72"/>
      <c r="DT25" s="73"/>
      <c r="DU25" s="73"/>
      <c r="DV25" s="73"/>
      <c r="DW25" s="73"/>
      <c r="DX25" s="66"/>
      <c r="DY25" s="56"/>
      <c r="DZ25" s="56"/>
      <c r="EA25" s="56"/>
      <c r="EB25" s="56"/>
      <c r="EC25" s="77"/>
      <c r="ED25" s="77"/>
      <c r="EE25" s="77"/>
      <c r="EF25" s="77"/>
      <c r="EG25" s="57"/>
      <c r="EH25" s="60"/>
      <c r="EI25" s="61"/>
      <c r="EJ25" s="61"/>
      <c r="EK25" s="61"/>
      <c r="EL25" s="61"/>
    </row>
    <row r="26" spans="2:143" ht="45">
      <c r="B26" s="47" t="s">
        <v>899</v>
      </c>
      <c r="C26" s="48" t="s">
        <v>917</v>
      </c>
      <c r="D26" s="49" t="s">
        <v>918</v>
      </c>
      <c r="E26" s="70" t="s">
        <v>919</v>
      </c>
      <c r="F26" s="271">
        <v>45282</v>
      </c>
      <c r="G26" s="272">
        <v>45303</v>
      </c>
      <c r="H26" s="272">
        <v>45324</v>
      </c>
      <c r="I26" s="272">
        <v>45369</v>
      </c>
      <c r="J26" s="49" t="s">
        <v>33</v>
      </c>
      <c r="K26" s="49" t="s">
        <v>303</v>
      </c>
      <c r="L26" s="49" t="s">
        <v>1535</v>
      </c>
      <c r="M26" s="72"/>
      <c r="N26" s="73"/>
      <c r="O26" s="73"/>
      <c r="P26" s="73"/>
      <c r="Q26" s="73"/>
      <c r="R26" s="56"/>
      <c r="S26" s="56"/>
      <c r="T26" s="56"/>
      <c r="U26" s="56"/>
      <c r="V26" s="56"/>
      <c r="W26" s="77"/>
      <c r="X26" s="77"/>
      <c r="Y26" s="77"/>
      <c r="Z26" s="96"/>
      <c r="AA26" s="57"/>
      <c r="AB26" s="60"/>
      <c r="AC26" s="61"/>
      <c r="AD26" s="61"/>
      <c r="AE26" s="61"/>
      <c r="AF26" s="61"/>
      <c r="AG26" s="63"/>
      <c r="AH26" s="64"/>
      <c r="AI26" s="64"/>
      <c r="AJ26" s="64"/>
      <c r="AK26" s="64"/>
      <c r="AL26" s="72"/>
      <c r="AM26" s="73"/>
      <c r="AN26" s="73"/>
      <c r="AO26" s="73"/>
      <c r="AP26" s="73"/>
      <c r="AQ26" s="64"/>
      <c r="AR26" s="56"/>
      <c r="AS26" s="56"/>
      <c r="AT26" s="56"/>
      <c r="AU26" s="56"/>
      <c r="AV26" s="77"/>
      <c r="AW26" s="77"/>
      <c r="AX26" s="77"/>
      <c r="AY26" s="77"/>
      <c r="AZ26" s="57"/>
      <c r="BA26" s="60"/>
      <c r="BB26" s="61"/>
      <c r="BC26" s="61"/>
      <c r="BD26" s="61"/>
      <c r="BE26" s="61"/>
      <c r="BF26" s="63"/>
      <c r="BG26" s="64"/>
      <c r="BH26" s="64"/>
      <c r="BI26" s="64"/>
      <c r="BJ26" s="64"/>
      <c r="BK26" s="72"/>
      <c r="BL26" s="73"/>
      <c r="BM26" s="73"/>
      <c r="BN26" s="73"/>
      <c r="BO26" s="73"/>
      <c r="BP26" s="66"/>
      <c r="BQ26" s="56"/>
      <c r="BR26" s="56"/>
      <c r="BS26" s="56"/>
      <c r="BT26" s="56"/>
      <c r="BU26" s="77"/>
      <c r="BV26" s="77"/>
      <c r="BW26" s="77"/>
      <c r="BX26" s="77"/>
      <c r="BY26" s="57"/>
      <c r="BZ26" s="60"/>
      <c r="CA26" s="61"/>
      <c r="CB26" s="61"/>
      <c r="CC26" s="138" t="s">
        <v>860</v>
      </c>
      <c r="CD26" s="61"/>
      <c r="CE26" s="77"/>
      <c r="CF26" s="95" t="s">
        <v>861</v>
      </c>
      <c r="CG26" s="77"/>
      <c r="CH26" s="77"/>
      <c r="CI26" s="57"/>
      <c r="CJ26" s="60"/>
      <c r="CK26" s="61"/>
      <c r="CL26" s="61"/>
      <c r="CM26" s="61"/>
      <c r="CN26" s="61"/>
      <c r="CO26" s="63"/>
      <c r="CP26" s="64"/>
      <c r="CQ26" s="64"/>
      <c r="CR26" s="64"/>
      <c r="CS26" s="64"/>
      <c r="CT26" s="72"/>
      <c r="CU26" s="73"/>
      <c r="CV26" s="73"/>
      <c r="CW26" s="73"/>
      <c r="CX26" s="73"/>
      <c r="CY26" s="64"/>
      <c r="CZ26" s="56"/>
      <c r="DA26" s="56"/>
      <c r="DB26" s="56"/>
      <c r="DC26" s="56"/>
      <c r="DD26" s="77"/>
      <c r="DE26" s="77"/>
      <c r="DF26" s="77"/>
      <c r="DG26" s="77"/>
      <c r="DH26" s="57"/>
      <c r="DI26" s="60"/>
      <c r="DJ26" s="61"/>
      <c r="DK26" s="61"/>
      <c r="DL26" s="61"/>
      <c r="DM26" s="61"/>
      <c r="DN26" s="63"/>
      <c r="DO26" s="64"/>
      <c r="DP26" s="64"/>
      <c r="DQ26" s="64"/>
      <c r="DR26" s="64"/>
      <c r="DS26" s="72"/>
      <c r="DT26" s="73"/>
      <c r="DU26" s="73"/>
      <c r="DV26" s="73"/>
      <c r="DW26" s="73"/>
      <c r="DX26" s="66"/>
      <c r="DY26" s="56"/>
      <c r="DZ26" s="56"/>
      <c r="EA26" s="56"/>
      <c r="EB26" s="56"/>
      <c r="EC26" s="77"/>
      <c r="ED26" s="77"/>
      <c r="EE26" s="77"/>
      <c r="EF26" s="77"/>
      <c r="EG26" s="57"/>
      <c r="EH26" s="60"/>
      <c r="EI26" s="61"/>
      <c r="EJ26" s="61"/>
      <c r="EK26" s="61"/>
      <c r="EL26" s="61"/>
    </row>
    <row r="27" spans="2:143" ht="45">
      <c r="B27" s="47" t="s">
        <v>899</v>
      </c>
      <c r="C27" s="48" t="s">
        <v>922</v>
      </c>
      <c r="D27" s="49" t="s">
        <v>923</v>
      </c>
      <c r="E27" s="70" t="s">
        <v>924</v>
      </c>
      <c r="F27" s="271">
        <v>45282</v>
      </c>
      <c r="G27" s="272">
        <v>45303</v>
      </c>
      <c r="H27" s="272">
        <v>45324</v>
      </c>
      <c r="I27" s="272">
        <v>45369</v>
      </c>
      <c r="J27" s="49" t="s">
        <v>33</v>
      </c>
      <c r="K27" s="49" t="s">
        <v>303</v>
      </c>
      <c r="L27" s="49" t="s">
        <v>1535</v>
      </c>
      <c r="M27" s="72"/>
      <c r="N27" s="73"/>
      <c r="O27" s="73"/>
      <c r="P27" s="73"/>
      <c r="Q27" s="73"/>
      <c r="R27" s="56"/>
      <c r="S27" s="56"/>
      <c r="T27" s="56"/>
      <c r="U27" s="56"/>
      <c r="V27" s="56"/>
      <c r="W27" s="77"/>
      <c r="X27" s="77"/>
      <c r="Y27" s="77"/>
      <c r="Z27" s="96"/>
      <c r="AA27" s="57"/>
      <c r="AB27" s="60"/>
      <c r="AC27" s="61"/>
      <c r="AD27" s="54"/>
      <c r="AE27" s="61"/>
      <c r="AF27" s="61"/>
      <c r="AG27" s="63"/>
      <c r="AH27" s="80"/>
      <c r="AI27" s="64"/>
      <c r="AJ27" s="64"/>
      <c r="AK27" s="64"/>
      <c r="AL27" s="72"/>
      <c r="AM27" s="73"/>
      <c r="AN27" s="73"/>
      <c r="AO27" s="73"/>
      <c r="AP27" s="73"/>
      <c r="AQ27" s="64"/>
      <c r="AR27" s="56"/>
      <c r="AS27" s="56"/>
      <c r="AT27" s="56"/>
      <c r="AU27" s="56"/>
      <c r="AV27" s="77"/>
      <c r="AW27" s="77"/>
      <c r="AX27" s="77"/>
      <c r="AY27" s="77"/>
      <c r="AZ27" s="57"/>
      <c r="BA27" s="60"/>
      <c r="BB27" s="61"/>
      <c r="BC27" s="61"/>
      <c r="BD27" s="61"/>
      <c r="BE27" s="61"/>
      <c r="BF27" s="63"/>
      <c r="BG27" s="64"/>
      <c r="BH27" s="64"/>
      <c r="BI27" s="64"/>
      <c r="BJ27" s="64"/>
      <c r="BK27" s="72"/>
      <c r="BL27" s="73"/>
      <c r="BM27" s="73"/>
      <c r="BN27" s="73"/>
      <c r="BO27" s="73"/>
      <c r="BP27" s="66"/>
      <c r="BQ27" s="56"/>
      <c r="BR27" s="56"/>
      <c r="BS27" s="56"/>
      <c r="BT27" s="56"/>
      <c r="BU27" s="77"/>
      <c r="BV27" s="77"/>
      <c r="BW27" s="77"/>
      <c r="BX27" s="77"/>
      <c r="BY27" s="57"/>
      <c r="BZ27" s="60"/>
      <c r="CA27" s="61"/>
      <c r="CB27" s="61"/>
      <c r="CC27" s="138" t="s">
        <v>860</v>
      </c>
      <c r="CD27" s="61"/>
      <c r="CE27" s="77"/>
      <c r="CF27" s="95" t="s">
        <v>861</v>
      </c>
      <c r="CG27" s="77"/>
      <c r="CH27" s="77"/>
      <c r="CI27" s="57"/>
      <c r="CJ27" s="60"/>
      <c r="CK27" s="61"/>
      <c r="CL27" s="61"/>
      <c r="CM27" s="61"/>
      <c r="CN27" s="61"/>
      <c r="CO27" s="63"/>
      <c r="CP27" s="80"/>
      <c r="CQ27" s="64"/>
      <c r="CR27" s="64"/>
      <c r="CS27" s="64"/>
      <c r="CT27" s="72"/>
      <c r="CU27" s="73"/>
      <c r="CV27" s="73"/>
      <c r="CW27" s="73"/>
      <c r="CX27" s="73"/>
      <c r="CY27" s="64"/>
      <c r="CZ27" s="56"/>
      <c r="DA27" s="56"/>
      <c r="DB27" s="56"/>
      <c r="DC27" s="56"/>
      <c r="DD27" s="77"/>
      <c r="DE27" s="77"/>
      <c r="DF27" s="77"/>
      <c r="DG27" s="77"/>
      <c r="DH27" s="57"/>
      <c r="DI27" s="60"/>
      <c r="DJ27" s="61"/>
      <c r="DK27" s="61"/>
      <c r="DL27" s="61"/>
      <c r="DM27" s="61"/>
      <c r="DN27" s="63"/>
      <c r="DO27" s="64"/>
      <c r="DP27" s="64"/>
      <c r="DQ27" s="64"/>
      <c r="DR27" s="64"/>
      <c r="DS27" s="72"/>
      <c r="DT27" s="73"/>
      <c r="DU27" s="73"/>
      <c r="DV27" s="73"/>
      <c r="DW27" s="73"/>
      <c r="DX27" s="66"/>
      <c r="DY27" s="56"/>
      <c r="DZ27" s="56"/>
      <c r="EA27" s="56"/>
      <c r="EB27" s="56"/>
      <c r="EC27" s="77"/>
      <c r="ED27" s="77"/>
      <c r="EE27" s="77"/>
      <c r="EF27" s="77"/>
      <c r="EG27" s="57"/>
      <c r="EH27" s="60"/>
      <c r="EI27" s="61"/>
      <c r="EJ27" s="61"/>
      <c r="EK27" s="61"/>
      <c r="EL27" s="61"/>
    </row>
    <row r="28" spans="2:143" ht="45">
      <c r="B28" s="47" t="s">
        <v>899</v>
      </c>
      <c r="C28" s="48" t="s">
        <v>922</v>
      </c>
      <c r="D28" s="49" t="s">
        <v>925</v>
      </c>
      <c r="E28" s="70" t="s">
        <v>926</v>
      </c>
      <c r="F28" s="271">
        <v>45282</v>
      </c>
      <c r="G28" s="272">
        <v>45303</v>
      </c>
      <c r="H28" s="272">
        <v>45324</v>
      </c>
      <c r="I28" s="272">
        <v>45369</v>
      </c>
      <c r="J28" s="49" t="s">
        <v>33</v>
      </c>
      <c r="K28" s="49" t="s">
        <v>303</v>
      </c>
      <c r="L28" s="49" t="s">
        <v>1535</v>
      </c>
      <c r="M28" s="72"/>
      <c r="N28" s="73"/>
      <c r="O28" s="73"/>
      <c r="P28" s="73"/>
      <c r="Q28" s="73"/>
      <c r="R28" s="56"/>
      <c r="S28" s="56"/>
      <c r="T28" s="56"/>
      <c r="U28" s="56"/>
      <c r="V28" s="56"/>
      <c r="W28" s="77"/>
      <c r="X28" s="77"/>
      <c r="Y28" s="77"/>
      <c r="Z28" s="96"/>
      <c r="AA28" s="57"/>
      <c r="AB28" s="60"/>
      <c r="AC28" s="61"/>
      <c r="AD28" s="54"/>
      <c r="AE28" s="61"/>
      <c r="AF28" s="61"/>
      <c r="AG28" s="63"/>
      <c r="AH28" s="80"/>
      <c r="AI28" s="64"/>
      <c r="AJ28" s="64"/>
      <c r="AK28" s="64"/>
      <c r="AL28" s="72"/>
      <c r="AM28" s="73"/>
      <c r="AN28" s="73"/>
      <c r="AO28" s="73"/>
      <c r="AP28" s="73"/>
      <c r="AQ28" s="64"/>
      <c r="AR28" s="56"/>
      <c r="AS28" s="56"/>
      <c r="AT28" s="56"/>
      <c r="AU28" s="56"/>
      <c r="AV28" s="77"/>
      <c r="AW28" s="77"/>
      <c r="AX28" s="77"/>
      <c r="AY28" s="77"/>
      <c r="AZ28" s="57"/>
      <c r="BA28" s="60"/>
      <c r="BB28" s="61"/>
      <c r="BC28" s="61"/>
      <c r="BD28" s="61"/>
      <c r="BE28" s="61"/>
      <c r="BF28" s="63"/>
      <c r="BG28" s="64"/>
      <c r="BH28" s="64"/>
      <c r="BI28" s="64"/>
      <c r="BJ28" s="64"/>
      <c r="BK28" s="72"/>
      <c r="BL28" s="73"/>
      <c r="BM28" s="73"/>
      <c r="BN28" s="73"/>
      <c r="BO28" s="73"/>
      <c r="BP28" s="66"/>
      <c r="BQ28" s="56"/>
      <c r="BR28" s="56"/>
      <c r="BS28" s="56"/>
      <c r="BT28" s="56"/>
      <c r="BU28" s="77"/>
      <c r="BV28" s="77"/>
      <c r="BW28" s="77"/>
      <c r="BX28" s="77"/>
      <c r="BY28" s="57"/>
      <c r="BZ28" s="60"/>
      <c r="CA28" s="61"/>
      <c r="CB28" s="61"/>
      <c r="CC28" s="138" t="s">
        <v>860</v>
      </c>
      <c r="CD28" s="61"/>
      <c r="CE28" s="77"/>
      <c r="CF28" s="95" t="s">
        <v>861</v>
      </c>
      <c r="CG28" s="77"/>
      <c r="CH28" s="77"/>
      <c r="CI28" s="57"/>
      <c r="CJ28" s="60"/>
      <c r="CK28" s="61"/>
      <c r="CL28" s="61"/>
      <c r="CM28" s="61"/>
      <c r="CN28" s="61"/>
      <c r="CO28" s="63"/>
      <c r="CP28" s="80"/>
      <c r="CQ28" s="64"/>
      <c r="CR28" s="64"/>
      <c r="CS28" s="64"/>
      <c r="CT28" s="72"/>
      <c r="CU28" s="73"/>
      <c r="CV28" s="73"/>
      <c r="CW28" s="73"/>
      <c r="CX28" s="73"/>
      <c r="CY28" s="64"/>
      <c r="CZ28" s="56"/>
      <c r="DA28" s="56"/>
      <c r="DB28" s="56"/>
      <c r="DC28" s="56"/>
      <c r="DD28" s="77"/>
      <c r="DE28" s="77"/>
      <c r="DF28" s="77"/>
      <c r="DG28" s="77"/>
      <c r="DH28" s="57"/>
      <c r="DI28" s="60"/>
      <c r="DJ28" s="61"/>
      <c r="DK28" s="61"/>
      <c r="DL28" s="61"/>
      <c r="DM28" s="61"/>
      <c r="DN28" s="63"/>
      <c r="DO28" s="64"/>
      <c r="DP28" s="64"/>
      <c r="DQ28" s="64"/>
      <c r="DR28" s="64"/>
      <c r="DS28" s="72"/>
      <c r="DT28" s="73"/>
      <c r="DU28" s="73"/>
      <c r="DV28" s="73"/>
      <c r="DW28" s="73"/>
      <c r="DX28" s="66"/>
      <c r="DY28" s="56"/>
      <c r="DZ28" s="56"/>
      <c r="EA28" s="56"/>
      <c r="EB28" s="56"/>
      <c r="EC28" s="77"/>
      <c r="ED28" s="77"/>
      <c r="EE28" s="77"/>
      <c r="EF28" s="77"/>
      <c r="EG28" s="57"/>
      <c r="EH28" s="60"/>
      <c r="EI28" s="61"/>
      <c r="EJ28" s="61"/>
      <c r="EK28" s="61"/>
      <c r="EL28" s="61"/>
    </row>
    <row r="29" spans="2:143" ht="60">
      <c r="B29" s="47" t="s">
        <v>899</v>
      </c>
      <c r="C29" s="48" t="s">
        <v>922</v>
      </c>
      <c r="D29" s="49" t="s">
        <v>991</v>
      </c>
      <c r="E29" s="70" t="s">
        <v>992</v>
      </c>
      <c r="F29" s="271">
        <v>45282</v>
      </c>
      <c r="G29" s="272">
        <v>45303</v>
      </c>
      <c r="H29" s="272">
        <v>45324</v>
      </c>
      <c r="I29" s="272">
        <v>45369</v>
      </c>
      <c r="J29" s="49" t="s">
        <v>33</v>
      </c>
      <c r="K29" s="49" t="s">
        <v>303</v>
      </c>
      <c r="L29" s="49" t="s">
        <v>1535</v>
      </c>
      <c r="M29" s="72"/>
      <c r="N29" s="73"/>
      <c r="O29" s="73"/>
      <c r="P29" s="73"/>
      <c r="Q29" s="73"/>
      <c r="R29" s="56"/>
      <c r="S29" s="56"/>
      <c r="T29" s="56"/>
      <c r="U29" s="56"/>
      <c r="V29" s="56"/>
      <c r="W29" s="77"/>
      <c r="X29" s="77"/>
      <c r="Y29" s="77"/>
      <c r="Z29" s="96"/>
      <c r="AA29" s="57"/>
      <c r="AB29" s="60"/>
      <c r="AC29" s="61"/>
      <c r="AD29" s="54"/>
      <c r="AE29" s="61"/>
      <c r="AF29" s="61"/>
      <c r="AG29" s="63"/>
      <c r="AH29" s="80"/>
      <c r="AI29" s="64"/>
      <c r="AJ29" s="64"/>
      <c r="AK29" s="64"/>
      <c r="AL29" s="72"/>
      <c r="AM29" s="73"/>
      <c r="AN29" s="73"/>
      <c r="AO29" s="73"/>
      <c r="AP29" s="73"/>
      <c r="AQ29" s="64"/>
      <c r="AR29" s="56"/>
      <c r="AS29" s="56"/>
      <c r="AT29" s="56"/>
      <c r="AU29" s="56"/>
      <c r="AV29" s="77"/>
      <c r="AW29" s="77"/>
      <c r="AX29" s="77"/>
      <c r="AY29" s="77"/>
      <c r="AZ29" s="57"/>
      <c r="BA29" s="60"/>
      <c r="BB29" s="61"/>
      <c r="BC29" s="61"/>
      <c r="BD29" s="61"/>
      <c r="BE29" s="61"/>
      <c r="BF29" s="63"/>
      <c r="BG29" s="64"/>
      <c r="BH29" s="64"/>
      <c r="BI29" s="64"/>
      <c r="BJ29" s="64"/>
      <c r="BK29" s="72"/>
      <c r="BL29" s="73"/>
      <c r="BM29" s="73"/>
      <c r="BN29" s="73"/>
      <c r="BO29" s="73"/>
      <c r="BP29" s="66"/>
      <c r="BQ29" s="56"/>
      <c r="BR29" s="56"/>
      <c r="BS29" s="56"/>
      <c r="BT29" s="56"/>
      <c r="BU29" s="77"/>
      <c r="BV29" s="77"/>
      <c r="BW29" s="77"/>
      <c r="BX29" s="77"/>
      <c r="BY29" s="57"/>
      <c r="BZ29" s="60"/>
      <c r="CA29" s="61"/>
      <c r="CB29" s="61"/>
      <c r="CC29" s="138" t="s">
        <v>860</v>
      </c>
      <c r="CD29" s="61"/>
      <c r="CE29" s="77"/>
      <c r="CF29" s="95" t="s">
        <v>861</v>
      </c>
      <c r="CG29" s="77"/>
      <c r="CH29" s="77"/>
      <c r="CI29" s="57"/>
      <c r="CJ29" s="60"/>
      <c r="CK29" s="61"/>
      <c r="CL29" s="61"/>
      <c r="CM29" s="61"/>
      <c r="CN29" s="61"/>
      <c r="CO29" s="63"/>
      <c r="CP29" s="80"/>
      <c r="CQ29" s="64"/>
      <c r="CR29" s="64"/>
      <c r="CS29" s="64"/>
      <c r="CT29" s="72"/>
      <c r="CU29" s="73"/>
      <c r="CV29" s="73"/>
      <c r="CW29" s="73"/>
      <c r="CX29" s="73"/>
      <c r="CY29" s="64"/>
      <c r="CZ29" s="56"/>
      <c r="DA29" s="56"/>
      <c r="DB29" s="56"/>
      <c r="DC29" s="56"/>
      <c r="DD29" s="77"/>
      <c r="DE29" s="77"/>
      <c r="DF29" s="77"/>
      <c r="DG29" s="77"/>
      <c r="DH29" s="57"/>
      <c r="DI29" s="60"/>
      <c r="DJ29" s="61"/>
      <c r="DK29" s="61"/>
      <c r="DL29" s="61"/>
      <c r="DM29" s="61"/>
      <c r="DN29" s="63"/>
      <c r="DO29" s="64"/>
      <c r="DP29" s="64"/>
      <c r="DQ29" s="64"/>
      <c r="DR29" s="64"/>
      <c r="DS29" s="72"/>
      <c r="DT29" s="73"/>
      <c r="DU29" s="73"/>
      <c r="DV29" s="73"/>
      <c r="DW29" s="73"/>
      <c r="DX29" s="66"/>
      <c r="DY29" s="56"/>
      <c r="DZ29" s="56"/>
      <c r="EA29" s="56"/>
      <c r="EB29" s="56"/>
      <c r="EC29" s="77"/>
      <c r="ED29" s="77"/>
      <c r="EE29" s="77"/>
      <c r="EF29" s="77"/>
      <c r="EG29" s="57"/>
      <c r="EH29" s="60"/>
      <c r="EI29" s="61"/>
      <c r="EJ29" s="61"/>
      <c r="EK29" s="61"/>
      <c r="EL29" s="61"/>
    </row>
    <row r="30" spans="2:143" ht="45">
      <c r="B30" s="47" t="s">
        <v>899</v>
      </c>
      <c r="C30" s="48" t="s">
        <v>922</v>
      </c>
      <c r="D30" s="49" t="s">
        <v>929</v>
      </c>
      <c r="E30" s="70" t="s">
        <v>930</v>
      </c>
      <c r="F30" s="271">
        <v>45282</v>
      </c>
      <c r="G30" s="272">
        <v>45303</v>
      </c>
      <c r="H30" s="272">
        <v>45324</v>
      </c>
      <c r="I30" s="272">
        <v>45369</v>
      </c>
      <c r="J30" s="49" t="s">
        <v>33</v>
      </c>
      <c r="K30" s="49" t="s">
        <v>303</v>
      </c>
      <c r="L30" s="49" t="s">
        <v>1535</v>
      </c>
      <c r="M30" s="72"/>
      <c r="N30" s="73"/>
      <c r="O30" s="73"/>
      <c r="P30" s="73"/>
      <c r="Q30" s="73"/>
      <c r="R30" s="56"/>
      <c r="S30" s="56"/>
      <c r="T30" s="56"/>
      <c r="U30" s="56"/>
      <c r="V30" s="56"/>
      <c r="W30" s="77"/>
      <c r="X30" s="77"/>
      <c r="Y30" s="77"/>
      <c r="Z30" s="96"/>
      <c r="AA30" s="93"/>
      <c r="AB30" s="60"/>
      <c r="AC30" s="61"/>
      <c r="AD30" s="54"/>
      <c r="AE30" s="61"/>
      <c r="AF30" s="61"/>
      <c r="AG30" s="63"/>
      <c r="AH30" s="64"/>
      <c r="AI30" s="64"/>
      <c r="AJ30" s="64"/>
      <c r="AK30" s="64"/>
      <c r="AL30" s="72"/>
      <c r="AM30" s="73"/>
      <c r="AN30" s="73"/>
      <c r="AO30" s="73"/>
      <c r="AP30" s="73"/>
      <c r="AQ30" s="64"/>
      <c r="AR30" s="56"/>
      <c r="AS30" s="56"/>
      <c r="AT30" s="56"/>
      <c r="AU30" s="56"/>
      <c r="AV30" s="77"/>
      <c r="AW30" s="77"/>
      <c r="AX30" s="77"/>
      <c r="AY30" s="77"/>
      <c r="AZ30" s="57"/>
      <c r="BA30" s="60"/>
      <c r="BB30" s="61"/>
      <c r="BC30" s="61"/>
      <c r="BD30" s="61"/>
      <c r="BE30" s="61"/>
      <c r="BF30" s="63"/>
      <c r="BG30" s="64"/>
      <c r="BH30" s="64"/>
      <c r="BI30" s="64"/>
      <c r="BJ30" s="64"/>
      <c r="BK30" s="72"/>
      <c r="BL30" s="73"/>
      <c r="BM30" s="73"/>
      <c r="BN30" s="73"/>
      <c r="BO30" s="73"/>
      <c r="BP30" s="66"/>
      <c r="BQ30" s="56"/>
      <c r="BR30" s="56"/>
      <c r="BS30" s="56"/>
      <c r="BT30" s="56"/>
      <c r="BU30" s="77"/>
      <c r="BV30" s="77"/>
      <c r="BW30" s="77"/>
      <c r="BX30" s="77"/>
      <c r="BY30" s="57"/>
      <c r="BZ30" s="60"/>
      <c r="CA30" s="61"/>
      <c r="CB30" s="61"/>
      <c r="CC30" s="138" t="s">
        <v>860</v>
      </c>
      <c r="CD30" s="61"/>
      <c r="CE30" s="77"/>
      <c r="CF30" s="95" t="s">
        <v>861</v>
      </c>
      <c r="CG30" s="77"/>
      <c r="CH30" s="77"/>
      <c r="CI30" s="57"/>
      <c r="CJ30" s="60"/>
      <c r="CK30" s="61"/>
      <c r="CL30" s="61"/>
      <c r="CM30" s="61"/>
      <c r="CN30" s="61"/>
      <c r="CO30" s="63"/>
      <c r="CP30" s="80"/>
      <c r="CQ30" s="64"/>
      <c r="CR30" s="64"/>
      <c r="CS30" s="64"/>
      <c r="CT30" s="72"/>
      <c r="CU30" s="73"/>
      <c r="CV30" s="73"/>
      <c r="CW30" s="73"/>
      <c r="CX30" s="73"/>
      <c r="CY30" s="64"/>
      <c r="CZ30" s="56"/>
      <c r="DA30" s="56"/>
      <c r="DB30" s="56"/>
      <c r="DC30" s="56"/>
      <c r="DD30" s="77"/>
      <c r="DE30" s="77"/>
      <c r="DF30" s="77"/>
      <c r="DG30" s="77"/>
      <c r="DH30" s="57"/>
      <c r="DI30" s="60"/>
      <c r="DJ30" s="61"/>
      <c r="DK30" s="61"/>
      <c r="DL30" s="61"/>
      <c r="DM30" s="61"/>
      <c r="DN30" s="63"/>
      <c r="DO30" s="64"/>
      <c r="DP30" s="64"/>
      <c r="DQ30" s="64"/>
      <c r="DR30" s="64"/>
      <c r="DS30" s="72"/>
      <c r="DT30" s="73"/>
      <c r="DU30" s="73"/>
      <c r="DV30" s="73"/>
      <c r="DW30" s="73"/>
      <c r="DX30" s="66"/>
      <c r="DY30" s="56"/>
      <c r="DZ30" s="56"/>
      <c r="EA30" s="56"/>
      <c r="EB30" s="56"/>
      <c r="EC30" s="77"/>
      <c r="ED30" s="77"/>
      <c r="EE30" s="77"/>
      <c r="EF30" s="77"/>
      <c r="EG30" s="57"/>
      <c r="EH30" s="60"/>
      <c r="EI30" s="61"/>
      <c r="EJ30" s="61"/>
      <c r="EK30" s="61"/>
      <c r="EL30" s="61"/>
    </row>
    <row r="31" spans="2:143" ht="45">
      <c r="B31" s="47" t="s">
        <v>899</v>
      </c>
      <c r="C31" s="48" t="s">
        <v>931</v>
      </c>
      <c r="D31" s="49" t="s">
        <v>936</v>
      </c>
      <c r="E31" s="70" t="s">
        <v>937</v>
      </c>
      <c r="F31" s="271">
        <v>45282</v>
      </c>
      <c r="G31" s="272">
        <v>45303</v>
      </c>
      <c r="H31" s="272">
        <v>45324</v>
      </c>
      <c r="I31" s="272">
        <v>45369</v>
      </c>
      <c r="J31" s="49" t="s">
        <v>33</v>
      </c>
      <c r="K31" s="49" t="s">
        <v>303</v>
      </c>
      <c r="L31" s="49" t="s">
        <v>1535</v>
      </c>
      <c r="M31" s="72"/>
      <c r="N31" s="73"/>
      <c r="O31" s="73"/>
      <c r="P31" s="73"/>
      <c r="Q31" s="73"/>
      <c r="R31" s="56"/>
      <c r="S31" s="56"/>
      <c r="T31" s="56"/>
      <c r="U31" s="56"/>
      <c r="V31" s="56"/>
      <c r="W31" s="87"/>
      <c r="X31" s="77"/>
      <c r="Y31" s="77"/>
      <c r="Z31" s="96"/>
      <c r="AA31" s="57"/>
      <c r="AB31" s="60"/>
      <c r="AC31" s="61"/>
      <c r="AD31" s="54"/>
      <c r="AE31" s="61"/>
      <c r="AF31" s="61"/>
      <c r="AG31" s="63"/>
      <c r="AH31" s="64"/>
      <c r="AI31" s="64"/>
      <c r="AJ31" s="64"/>
      <c r="AK31" s="64"/>
      <c r="AL31" s="72"/>
      <c r="AM31" s="73"/>
      <c r="AN31" s="73"/>
      <c r="AO31" s="73"/>
      <c r="AP31" s="73"/>
      <c r="AQ31" s="64"/>
      <c r="AR31" s="56"/>
      <c r="AS31" s="56"/>
      <c r="AT31" s="56"/>
      <c r="AU31" s="56"/>
      <c r="AV31" s="77"/>
      <c r="AW31" s="77"/>
      <c r="AX31" s="77"/>
      <c r="AY31" s="77"/>
      <c r="AZ31" s="57"/>
      <c r="BA31" s="60"/>
      <c r="BB31" s="61"/>
      <c r="BC31" s="61"/>
      <c r="BD31" s="61"/>
      <c r="BE31" s="61"/>
      <c r="BF31" s="63"/>
      <c r="BG31" s="64"/>
      <c r="BH31" s="64"/>
      <c r="BI31" s="64"/>
      <c r="BJ31" s="64"/>
      <c r="BK31" s="72"/>
      <c r="BL31" s="73"/>
      <c r="BM31" s="73"/>
      <c r="BN31" s="73"/>
      <c r="BO31" s="73"/>
      <c r="BP31" s="66"/>
      <c r="BQ31" s="56"/>
      <c r="BR31" s="56"/>
      <c r="BS31" s="56"/>
      <c r="BT31" s="56"/>
      <c r="BU31" s="77"/>
      <c r="BV31" s="77"/>
      <c r="BW31" s="77"/>
      <c r="BX31" s="77"/>
      <c r="BY31" s="57"/>
      <c r="BZ31" s="60"/>
      <c r="CA31" s="61"/>
      <c r="CB31" s="61"/>
      <c r="CC31" s="138" t="s">
        <v>860</v>
      </c>
      <c r="CD31" s="61"/>
      <c r="CE31" s="87"/>
      <c r="CF31" s="95" t="s">
        <v>861</v>
      </c>
      <c r="CG31" s="77"/>
      <c r="CH31" s="77"/>
      <c r="CI31" s="57"/>
      <c r="CJ31" s="60"/>
      <c r="CK31" s="61"/>
      <c r="CL31" s="54"/>
      <c r="CM31" s="61"/>
      <c r="CN31" s="61"/>
      <c r="CO31" s="63"/>
      <c r="CP31" s="64"/>
      <c r="CQ31" s="64"/>
      <c r="CR31" s="64"/>
      <c r="CS31" s="213"/>
      <c r="CT31" s="72"/>
      <c r="CU31" s="73"/>
      <c r="CV31" s="73"/>
      <c r="CW31" s="73"/>
      <c r="CX31" s="73"/>
      <c r="CY31" s="64"/>
      <c r="CZ31" s="56"/>
      <c r="DA31" s="56"/>
      <c r="DB31" s="56"/>
      <c r="DC31" s="56"/>
      <c r="DD31" s="77"/>
      <c r="DE31" s="77"/>
      <c r="DF31" s="77"/>
      <c r="DG31" s="77"/>
      <c r="DH31" s="57"/>
      <c r="DI31" s="60"/>
      <c r="DJ31" s="61"/>
      <c r="DK31" s="61"/>
      <c r="DL31" s="61"/>
      <c r="DM31" s="61"/>
      <c r="DN31" s="63"/>
      <c r="DO31" s="64"/>
      <c r="DP31" s="64"/>
      <c r="DQ31" s="64"/>
      <c r="DR31" s="64"/>
      <c r="DS31" s="72"/>
      <c r="DT31" s="73"/>
      <c r="DU31" s="73"/>
      <c r="DV31" s="73"/>
      <c r="DW31" s="73"/>
      <c r="DX31" s="66"/>
      <c r="DY31" s="56"/>
      <c r="DZ31" s="56"/>
      <c r="EA31" s="56"/>
      <c r="EB31" s="56"/>
      <c r="EC31" s="77"/>
      <c r="ED31" s="77"/>
      <c r="EE31" s="77"/>
      <c r="EF31" s="77"/>
      <c r="EG31" s="57"/>
      <c r="EH31" s="60"/>
      <c r="EI31" s="61"/>
      <c r="EJ31" s="61"/>
      <c r="EK31" s="61"/>
      <c r="EL31" s="61"/>
    </row>
    <row r="32" spans="2:143" ht="45">
      <c r="B32" s="47" t="s">
        <v>899</v>
      </c>
      <c r="C32" s="48" t="s">
        <v>931</v>
      </c>
      <c r="D32" s="49" t="s">
        <v>938</v>
      </c>
      <c r="E32" s="70" t="s">
        <v>939</v>
      </c>
      <c r="F32" s="271">
        <v>45282</v>
      </c>
      <c r="G32" s="272">
        <v>45303</v>
      </c>
      <c r="H32" s="272">
        <v>45324</v>
      </c>
      <c r="I32" s="272">
        <v>45369</v>
      </c>
      <c r="J32" s="49" t="s">
        <v>33</v>
      </c>
      <c r="K32" s="49" t="s">
        <v>303</v>
      </c>
      <c r="L32" s="49" t="s">
        <v>1535</v>
      </c>
      <c r="M32" s="72"/>
      <c r="N32" s="73"/>
      <c r="O32" s="73"/>
      <c r="P32" s="73"/>
      <c r="Q32" s="73"/>
      <c r="R32" s="56"/>
      <c r="S32" s="56"/>
      <c r="T32" s="56"/>
      <c r="U32" s="56"/>
      <c r="V32" s="56"/>
      <c r="W32" s="77"/>
      <c r="X32" s="77"/>
      <c r="Y32" s="77"/>
      <c r="Z32" s="96"/>
      <c r="AA32" s="103"/>
      <c r="AB32" s="60"/>
      <c r="AC32" s="54"/>
      <c r="AD32" s="54"/>
      <c r="AE32" s="61"/>
      <c r="AF32" s="61"/>
      <c r="AG32" s="63"/>
      <c r="AH32" s="64"/>
      <c r="AI32" s="64"/>
      <c r="AJ32" s="64"/>
      <c r="AK32" s="64"/>
      <c r="AL32" s="72"/>
      <c r="AM32" s="73"/>
      <c r="AN32" s="73"/>
      <c r="AO32" s="73"/>
      <c r="AP32" s="73"/>
      <c r="AQ32" s="64"/>
      <c r="AR32" s="56"/>
      <c r="AS32" s="56"/>
      <c r="AT32" s="56"/>
      <c r="AU32" s="56"/>
      <c r="AV32" s="77"/>
      <c r="AW32" s="77"/>
      <c r="AX32" s="77"/>
      <c r="AY32" s="77"/>
      <c r="AZ32" s="57"/>
      <c r="BA32" s="60"/>
      <c r="BB32" s="61"/>
      <c r="BC32" s="61"/>
      <c r="BD32" s="61"/>
      <c r="BE32" s="61"/>
      <c r="BF32" s="63"/>
      <c r="BG32" s="64"/>
      <c r="BH32" s="64"/>
      <c r="BI32" s="64"/>
      <c r="BJ32" s="64"/>
      <c r="BK32" s="72"/>
      <c r="BL32" s="73"/>
      <c r="BM32" s="73"/>
      <c r="BN32" s="73"/>
      <c r="BO32" s="73"/>
      <c r="BP32" s="66"/>
      <c r="BQ32" s="56"/>
      <c r="BR32" s="56"/>
      <c r="BS32" s="56"/>
      <c r="BT32" s="56"/>
      <c r="BU32" s="77"/>
      <c r="BV32" s="77"/>
      <c r="BW32" s="77"/>
      <c r="BX32" s="77"/>
      <c r="BY32" s="57"/>
      <c r="BZ32" s="60"/>
      <c r="CA32" s="61"/>
      <c r="CB32" s="61"/>
      <c r="CC32" s="138" t="s">
        <v>860</v>
      </c>
      <c r="CD32" s="61"/>
      <c r="CE32" s="77"/>
      <c r="CF32" s="95" t="s">
        <v>861</v>
      </c>
      <c r="CG32" s="77"/>
      <c r="CH32" s="77"/>
      <c r="CI32" s="103"/>
      <c r="CJ32" s="60"/>
      <c r="CK32" s="54"/>
      <c r="CL32" s="54"/>
      <c r="CM32" s="61"/>
      <c r="CN32" s="61"/>
      <c r="CO32" s="63"/>
      <c r="CP32" s="64"/>
      <c r="CQ32" s="64"/>
      <c r="CR32" s="64"/>
      <c r="CS32" s="213"/>
      <c r="CT32" s="72"/>
      <c r="CU32" s="73"/>
      <c r="CV32" s="73"/>
      <c r="CW32" s="73"/>
      <c r="CX32" s="73"/>
      <c r="CY32" s="64"/>
      <c r="CZ32" s="56"/>
      <c r="DA32" s="56"/>
      <c r="DB32" s="56"/>
      <c r="DC32" s="56"/>
      <c r="DD32" s="77"/>
      <c r="DE32" s="77"/>
      <c r="DF32" s="77"/>
      <c r="DG32" s="77"/>
      <c r="DH32" s="57"/>
      <c r="DI32" s="60"/>
      <c r="DJ32" s="61"/>
      <c r="DK32" s="61"/>
      <c r="DL32" s="61"/>
      <c r="DM32" s="61"/>
      <c r="DN32" s="63"/>
      <c r="DO32" s="64"/>
      <c r="DP32" s="64"/>
      <c r="DQ32" s="64"/>
      <c r="DR32" s="64"/>
      <c r="DS32" s="72"/>
      <c r="DT32" s="73"/>
      <c r="DU32" s="73"/>
      <c r="DV32" s="73"/>
      <c r="DW32" s="73"/>
      <c r="DX32" s="66"/>
      <c r="DY32" s="56"/>
      <c r="DZ32" s="56"/>
      <c r="EA32" s="56"/>
      <c r="EB32" s="56"/>
      <c r="EC32" s="77"/>
      <c r="ED32" s="77"/>
      <c r="EE32" s="77"/>
      <c r="EF32" s="77"/>
      <c r="EG32" s="57"/>
      <c r="EH32" s="60"/>
      <c r="EI32" s="61"/>
      <c r="EJ32" s="61"/>
      <c r="EK32" s="61"/>
      <c r="EL32" s="61"/>
    </row>
    <row r="33" spans="2:142" ht="45">
      <c r="B33" s="47" t="s">
        <v>899</v>
      </c>
      <c r="C33" s="48" t="s">
        <v>931</v>
      </c>
      <c r="D33" s="49" t="s">
        <v>940</v>
      </c>
      <c r="E33" s="70" t="s">
        <v>941</v>
      </c>
      <c r="F33" s="271">
        <v>45282</v>
      </c>
      <c r="G33" s="272">
        <v>45303</v>
      </c>
      <c r="H33" s="272">
        <v>45324</v>
      </c>
      <c r="I33" s="272">
        <v>45369</v>
      </c>
      <c r="J33" s="49" t="s">
        <v>33</v>
      </c>
      <c r="K33" s="49" t="s">
        <v>303</v>
      </c>
      <c r="L33" s="49" t="s">
        <v>1535</v>
      </c>
      <c r="M33" s="72"/>
      <c r="N33" s="73"/>
      <c r="O33" s="73"/>
      <c r="P33" s="73"/>
      <c r="Q33" s="73"/>
      <c r="R33" s="56"/>
      <c r="S33" s="56"/>
      <c r="T33" s="56"/>
      <c r="U33" s="56"/>
      <c r="V33" s="56"/>
      <c r="W33" s="77"/>
      <c r="X33" s="77"/>
      <c r="Y33" s="77"/>
      <c r="Z33" s="96"/>
      <c r="AA33" s="77"/>
      <c r="AB33" s="60"/>
      <c r="AC33" s="61"/>
      <c r="AD33" s="54"/>
      <c r="AE33" s="54"/>
      <c r="AF33" s="61"/>
      <c r="AG33" s="54"/>
      <c r="AH33" s="64"/>
      <c r="AI33" s="64"/>
      <c r="AJ33" s="64"/>
      <c r="AK33" s="64"/>
      <c r="AL33" s="72"/>
      <c r="AM33" s="73"/>
      <c r="AN33" s="73"/>
      <c r="AO33" s="73"/>
      <c r="AP33" s="73"/>
      <c r="AQ33" s="66"/>
      <c r="AR33" s="56"/>
      <c r="AS33" s="64"/>
      <c r="AT33" s="56"/>
      <c r="AU33" s="56"/>
      <c r="AV33" s="77"/>
      <c r="AW33" s="77"/>
      <c r="AX33" s="77"/>
      <c r="AY33" s="77"/>
      <c r="AZ33" s="57"/>
      <c r="BA33" s="60"/>
      <c r="BB33" s="61"/>
      <c r="BC33" s="61"/>
      <c r="BD33" s="61"/>
      <c r="BE33" s="61"/>
      <c r="BF33" s="63"/>
      <c r="BG33" s="64"/>
      <c r="BH33" s="64"/>
      <c r="BI33" s="64"/>
      <c r="BJ33" s="64"/>
      <c r="BK33" s="72"/>
      <c r="BL33" s="73"/>
      <c r="BM33" s="73"/>
      <c r="BN33" s="73"/>
      <c r="BO33" s="73"/>
      <c r="BP33" s="66"/>
      <c r="BQ33" s="56"/>
      <c r="BR33" s="56"/>
      <c r="BS33" s="56"/>
      <c r="BT33" s="56"/>
      <c r="BU33" s="77"/>
      <c r="BV33" s="77"/>
      <c r="BW33" s="77"/>
      <c r="BX33" s="77"/>
      <c r="BY33" s="57"/>
      <c r="BZ33" s="60"/>
      <c r="CA33" s="61"/>
      <c r="CB33" s="61"/>
      <c r="CC33" s="138" t="s">
        <v>860</v>
      </c>
      <c r="CD33" s="61"/>
      <c r="CE33" s="77"/>
      <c r="CF33" s="95" t="s">
        <v>861</v>
      </c>
      <c r="CG33" s="77"/>
      <c r="CH33" s="77"/>
      <c r="CI33" s="77"/>
      <c r="CJ33" s="60"/>
      <c r="CK33" s="61"/>
      <c r="CL33" s="54"/>
      <c r="CM33" s="54"/>
      <c r="CN33" s="61"/>
      <c r="CO33" s="54"/>
      <c r="CP33" s="64"/>
      <c r="CQ33" s="64"/>
      <c r="CR33" s="64"/>
      <c r="CS33" s="213"/>
      <c r="CT33" s="72"/>
      <c r="CU33" s="73"/>
      <c r="CV33" s="73"/>
      <c r="CW33" s="73"/>
      <c r="CX33" s="73"/>
      <c r="CY33" s="66"/>
      <c r="CZ33" s="56"/>
      <c r="DA33" s="64"/>
      <c r="DB33" s="56"/>
      <c r="DC33" s="56"/>
      <c r="DD33" s="77"/>
      <c r="DE33" s="77"/>
      <c r="DF33" s="77"/>
      <c r="DG33" s="77"/>
      <c r="DH33" s="57"/>
      <c r="DI33" s="60"/>
      <c r="DJ33" s="61"/>
      <c r="DK33" s="61"/>
      <c r="DL33" s="61"/>
      <c r="DM33" s="61"/>
      <c r="DN33" s="63"/>
      <c r="DO33" s="64"/>
      <c r="DP33" s="64"/>
      <c r="DQ33" s="64"/>
      <c r="DR33" s="64"/>
      <c r="DS33" s="72"/>
      <c r="DT33" s="73"/>
      <c r="DU33" s="73"/>
      <c r="DV33" s="73"/>
      <c r="DW33" s="73"/>
      <c r="DX33" s="66"/>
      <c r="DY33" s="56"/>
      <c r="DZ33" s="56"/>
      <c r="EA33" s="56"/>
      <c r="EB33" s="56"/>
      <c r="EC33" s="77"/>
      <c r="ED33" s="77"/>
      <c r="EE33" s="77"/>
      <c r="EF33" s="77"/>
      <c r="EG33" s="57"/>
      <c r="EH33" s="60"/>
      <c r="EI33" s="61"/>
      <c r="EJ33" s="61"/>
      <c r="EK33" s="61"/>
      <c r="EL33" s="61"/>
    </row>
    <row r="34" spans="2:142" ht="45">
      <c r="B34" s="47" t="s">
        <v>899</v>
      </c>
      <c r="C34" s="48" t="s">
        <v>931</v>
      </c>
      <c r="D34" s="49" t="s">
        <v>942</v>
      </c>
      <c r="E34" s="70" t="s">
        <v>943</v>
      </c>
      <c r="F34" s="271">
        <v>45282</v>
      </c>
      <c r="G34" s="272">
        <v>45303</v>
      </c>
      <c r="H34" s="272">
        <v>45324</v>
      </c>
      <c r="I34" s="272">
        <v>45369</v>
      </c>
      <c r="J34" s="49" t="s">
        <v>33</v>
      </c>
      <c r="K34" s="49" t="s">
        <v>303</v>
      </c>
      <c r="L34" s="49" t="s">
        <v>1535</v>
      </c>
      <c r="M34" s="72"/>
      <c r="N34" s="73"/>
      <c r="O34" s="73"/>
      <c r="P34" s="73"/>
      <c r="Q34" s="73"/>
      <c r="R34" s="56"/>
      <c r="S34" s="56"/>
      <c r="T34" s="56"/>
      <c r="U34" s="56"/>
      <c r="V34" s="56"/>
      <c r="W34" s="77"/>
      <c r="X34" s="77"/>
      <c r="Y34" s="77"/>
      <c r="Z34" s="96"/>
      <c r="AA34" s="54"/>
      <c r="AB34" s="60"/>
      <c r="AC34" s="54"/>
      <c r="AD34" s="54"/>
      <c r="AE34" s="80"/>
      <c r="AF34" s="61"/>
      <c r="AG34" s="64"/>
      <c r="AH34" s="64"/>
      <c r="AI34" s="64"/>
      <c r="AJ34" s="64"/>
      <c r="AK34" s="64"/>
      <c r="AL34" s="72"/>
      <c r="AM34" s="73"/>
      <c r="AN34" s="73"/>
      <c r="AO34" s="73"/>
      <c r="AP34" s="73"/>
      <c r="AQ34" s="66"/>
      <c r="AR34" s="56"/>
      <c r="AS34" s="56"/>
      <c r="AT34" s="56"/>
      <c r="AU34" s="56"/>
      <c r="AV34" s="77"/>
      <c r="AW34" s="77"/>
      <c r="AX34" s="77"/>
      <c r="AY34" s="77"/>
      <c r="AZ34" s="57"/>
      <c r="BA34" s="60"/>
      <c r="BB34" s="61"/>
      <c r="BC34" s="61"/>
      <c r="BD34" s="61"/>
      <c r="BE34" s="64"/>
      <c r="BF34" s="63"/>
      <c r="BG34" s="64"/>
      <c r="BH34" s="64"/>
      <c r="BI34" s="64"/>
      <c r="BJ34" s="64"/>
      <c r="BK34" s="72"/>
      <c r="BL34" s="73"/>
      <c r="BM34" s="73"/>
      <c r="BN34" s="73"/>
      <c r="BO34" s="73"/>
      <c r="BP34" s="66"/>
      <c r="BQ34" s="56"/>
      <c r="BR34" s="56"/>
      <c r="BS34" s="56"/>
      <c r="BT34" s="56"/>
      <c r="BU34" s="77"/>
      <c r="BV34" s="77"/>
      <c r="BW34" s="77"/>
      <c r="BX34" s="77"/>
      <c r="BY34" s="57"/>
      <c r="BZ34" s="60"/>
      <c r="CA34" s="61"/>
      <c r="CB34" s="61"/>
      <c r="CC34" s="138" t="s">
        <v>860</v>
      </c>
      <c r="CD34" s="61"/>
      <c r="CE34" s="77"/>
      <c r="CF34" s="95" t="s">
        <v>861</v>
      </c>
      <c r="CG34" s="77"/>
      <c r="CH34" s="77"/>
      <c r="CI34" s="54"/>
      <c r="CJ34" s="60"/>
      <c r="CK34" s="54"/>
      <c r="CL34" s="54"/>
      <c r="CM34" s="80"/>
      <c r="CN34" s="61"/>
      <c r="CO34" s="64"/>
      <c r="CP34" s="64"/>
      <c r="CQ34" s="64"/>
      <c r="CR34" s="64"/>
      <c r="CS34" s="213"/>
      <c r="CT34" s="72"/>
      <c r="CU34" s="73"/>
      <c r="CV34" s="73"/>
      <c r="CW34" s="73"/>
      <c r="CX34" s="73"/>
      <c r="CY34" s="66"/>
      <c r="CZ34" s="56"/>
      <c r="DA34" s="56"/>
      <c r="DB34" s="56"/>
      <c r="DC34" s="56"/>
      <c r="DD34" s="77"/>
      <c r="DE34" s="77"/>
      <c r="DF34" s="77"/>
      <c r="DG34" s="77"/>
      <c r="DH34" s="57"/>
      <c r="DI34" s="60"/>
      <c r="DJ34" s="61"/>
      <c r="DK34" s="61"/>
      <c r="DL34" s="61"/>
      <c r="DM34" s="64"/>
      <c r="DN34" s="63"/>
      <c r="DO34" s="64"/>
      <c r="DP34" s="64"/>
      <c r="DQ34" s="64"/>
      <c r="DR34" s="64"/>
      <c r="DS34" s="72"/>
      <c r="DT34" s="73"/>
      <c r="DU34" s="73"/>
      <c r="DV34" s="73"/>
      <c r="DW34" s="73"/>
      <c r="DX34" s="66"/>
      <c r="DY34" s="56"/>
      <c r="DZ34" s="56"/>
      <c r="EA34" s="56"/>
      <c r="EB34" s="56"/>
      <c r="EC34" s="77"/>
      <c r="ED34" s="77"/>
      <c r="EE34" s="77"/>
      <c r="EF34" s="77"/>
      <c r="EG34" s="57"/>
      <c r="EH34" s="60"/>
      <c r="EI34" s="61"/>
      <c r="EJ34" s="61"/>
      <c r="EK34" s="61"/>
      <c r="EL34" s="61"/>
    </row>
    <row r="35" spans="2:142" ht="45">
      <c r="B35" s="47" t="s">
        <v>899</v>
      </c>
      <c r="C35" s="48" t="s">
        <v>931</v>
      </c>
      <c r="D35" s="49" t="s">
        <v>944</v>
      </c>
      <c r="E35" s="70" t="s">
        <v>945</v>
      </c>
      <c r="F35" s="271">
        <v>45282</v>
      </c>
      <c r="G35" s="272">
        <v>45303</v>
      </c>
      <c r="H35" s="272">
        <v>45324</v>
      </c>
      <c r="I35" s="272">
        <v>45369</v>
      </c>
      <c r="J35" s="49" t="s">
        <v>33</v>
      </c>
      <c r="K35" s="49" t="s">
        <v>303</v>
      </c>
      <c r="L35" s="49" t="s">
        <v>1535</v>
      </c>
      <c r="M35" s="72"/>
      <c r="N35" s="73"/>
      <c r="O35" s="73"/>
      <c r="P35" s="73"/>
      <c r="Q35" s="73"/>
      <c r="R35" s="56"/>
      <c r="S35" s="56"/>
      <c r="T35" s="56"/>
      <c r="U35" s="56"/>
      <c r="V35" s="56"/>
      <c r="W35" s="77"/>
      <c r="X35" s="77"/>
      <c r="Y35" s="77"/>
      <c r="Z35" s="96"/>
      <c r="AA35" s="54"/>
      <c r="AB35" s="60"/>
      <c r="AC35" s="54"/>
      <c r="AD35" s="61"/>
      <c r="AE35" s="54"/>
      <c r="AF35" s="61"/>
      <c r="AG35" s="64"/>
      <c r="AH35" s="64"/>
      <c r="AI35" s="64"/>
      <c r="AJ35" s="64"/>
      <c r="AK35" s="64"/>
      <c r="AL35" s="72"/>
      <c r="AM35" s="73"/>
      <c r="AN35" s="73"/>
      <c r="AO35" s="73"/>
      <c r="AP35" s="73"/>
      <c r="AQ35" s="66"/>
      <c r="AR35" s="56"/>
      <c r="AS35" s="56"/>
      <c r="AT35" s="56"/>
      <c r="AU35" s="56"/>
      <c r="AV35" s="77"/>
      <c r="AW35" s="77"/>
      <c r="AX35" s="77"/>
      <c r="AY35" s="77"/>
      <c r="AZ35" s="57"/>
      <c r="BA35" s="60"/>
      <c r="BB35" s="61"/>
      <c r="BC35" s="61"/>
      <c r="BD35" s="61"/>
      <c r="BE35" s="61"/>
      <c r="BF35" s="63"/>
      <c r="BG35" s="64"/>
      <c r="BH35" s="64"/>
      <c r="BI35" s="64"/>
      <c r="BJ35" s="64"/>
      <c r="BK35" s="72"/>
      <c r="BL35" s="73"/>
      <c r="BM35" s="73"/>
      <c r="BN35" s="73"/>
      <c r="BO35" s="73"/>
      <c r="BP35" s="66"/>
      <c r="BQ35" s="56"/>
      <c r="BR35" s="56"/>
      <c r="BS35" s="56"/>
      <c r="BT35" s="56"/>
      <c r="BU35" s="77"/>
      <c r="BV35" s="77"/>
      <c r="BW35" s="77"/>
      <c r="BX35" s="77"/>
      <c r="BY35" s="57"/>
      <c r="BZ35" s="60"/>
      <c r="CA35" s="61"/>
      <c r="CB35" s="61"/>
      <c r="CC35" s="138" t="s">
        <v>860</v>
      </c>
      <c r="CD35" s="61"/>
      <c r="CE35" s="77"/>
      <c r="CF35" s="95" t="s">
        <v>861</v>
      </c>
      <c r="CG35" s="77"/>
      <c r="CH35" s="77"/>
      <c r="CI35" s="54"/>
      <c r="CJ35" s="60"/>
      <c r="CK35" s="54"/>
      <c r="CL35" s="61"/>
      <c r="CM35" s="54"/>
      <c r="CN35" s="61"/>
      <c r="CO35" s="64"/>
      <c r="CP35" s="64"/>
      <c r="CQ35" s="64"/>
      <c r="CR35" s="64"/>
      <c r="CS35" s="64"/>
      <c r="CT35" s="72"/>
      <c r="CU35" s="73"/>
      <c r="CV35" s="73"/>
      <c r="CW35" s="73"/>
      <c r="CX35" s="73"/>
      <c r="CY35" s="66"/>
      <c r="CZ35" s="56"/>
      <c r="DA35" s="56"/>
      <c r="DB35" s="56"/>
      <c r="DC35" s="56"/>
      <c r="DD35" s="77"/>
      <c r="DE35" s="77"/>
      <c r="DF35" s="77"/>
      <c r="DG35" s="77"/>
      <c r="DH35" s="57"/>
      <c r="DI35" s="60"/>
      <c r="DJ35" s="61"/>
      <c r="DK35" s="61"/>
      <c r="DL35" s="61"/>
      <c r="DM35" s="61"/>
      <c r="DN35" s="63"/>
      <c r="DO35" s="64"/>
      <c r="DP35" s="64"/>
      <c r="DQ35" s="64"/>
      <c r="DR35" s="64"/>
      <c r="DS35" s="72"/>
      <c r="DT35" s="73"/>
      <c r="DU35" s="73"/>
      <c r="DV35" s="73"/>
      <c r="DW35" s="73"/>
      <c r="DX35" s="66"/>
      <c r="DY35" s="56"/>
      <c r="DZ35" s="56"/>
      <c r="EA35" s="56"/>
      <c r="EB35" s="56"/>
      <c r="EC35" s="77"/>
      <c r="ED35" s="77"/>
      <c r="EE35" s="77"/>
      <c r="EF35" s="77"/>
      <c r="EG35" s="57"/>
      <c r="EH35" s="60"/>
      <c r="EI35" s="61"/>
      <c r="EJ35" s="61"/>
      <c r="EK35" s="61"/>
      <c r="EL35" s="61"/>
    </row>
    <row r="36" spans="2:142" ht="45">
      <c r="B36" s="47" t="s">
        <v>864</v>
      </c>
      <c r="C36" s="48" t="s">
        <v>900</v>
      </c>
      <c r="D36" s="49" t="s">
        <v>993</v>
      </c>
      <c r="E36" s="70" t="s">
        <v>994</v>
      </c>
      <c r="F36" s="271">
        <v>45308</v>
      </c>
      <c r="G36" s="272">
        <v>45329</v>
      </c>
      <c r="H36" s="272">
        <v>45362</v>
      </c>
      <c r="I36" s="272">
        <v>45397</v>
      </c>
      <c r="J36" s="49" t="s">
        <v>33</v>
      </c>
      <c r="K36" s="49" t="s">
        <v>343</v>
      </c>
      <c r="L36" s="49" t="s">
        <v>1534</v>
      </c>
      <c r="M36" s="72"/>
      <c r="N36" s="73"/>
      <c r="O36" s="73"/>
      <c r="P36" s="73"/>
      <c r="Q36" s="73"/>
      <c r="R36" s="66"/>
      <c r="S36" s="56"/>
      <c r="T36" s="56"/>
      <c r="U36" s="56"/>
      <c r="V36" s="56"/>
      <c r="W36" s="54"/>
      <c r="X36" s="77"/>
      <c r="Y36" s="77"/>
      <c r="Z36" s="77"/>
      <c r="AA36" s="80"/>
      <c r="AB36" s="60"/>
      <c r="AC36" s="61"/>
      <c r="AD36" s="54"/>
      <c r="AE36" s="61"/>
      <c r="AF36" s="61"/>
      <c r="AG36" s="63"/>
      <c r="AH36" s="64"/>
      <c r="AI36" s="64"/>
      <c r="AJ36" s="64"/>
      <c r="AK36" s="64"/>
      <c r="AL36" s="72"/>
      <c r="AM36" s="73"/>
      <c r="AN36" s="73"/>
      <c r="AO36" s="73"/>
      <c r="AP36" s="73"/>
      <c r="AQ36" s="66"/>
      <c r="AR36" s="56"/>
      <c r="AS36" s="56"/>
      <c r="AT36" s="56"/>
      <c r="AU36" s="56"/>
      <c r="AV36" s="77"/>
      <c r="AW36" s="77"/>
      <c r="AX36" s="77"/>
      <c r="AY36" s="77"/>
      <c r="AZ36" s="57"/>
      <c r="BA36" s="60"/>
      <c r="BB36" s="61"/>
      <c r="BC36" s="61"/>
      <c r="BD36" s="61"/>
      <c r="BE36" s="215"/>
      <c r="BF36" s="63"/>
      <c r="BG36" s="64"/>
      <c r="BH36" s="64"/>
      <c r="BI36" s="64"/>
      <c r="BJ36" s="64"/>
      <c r="BK36" s="72"/>
      <c r="BL36" s="73"/>
      <c r="BM36" s="73"/>
      <c r="BN36" s="73"/>
      <c r="BO36" s="73"/>
      <c r="BP36" s="66"/>
      <c r="BQ36" s="56"/>
      <c r="BR36" s="56"/>
      <c r="BS36" s="56"/>
      <c r="BT36" s="56"/>
      <c r="BU36" s="77"/>
      <c r="BV36" s="77"/>
      <c r="BW36" s="77"/>
      <c r="BX36" s="77"/>
      <c r="BY36" s="57"/>
      <c r="BZ36" s="60"/>
      <c r="CA36" s="61"/>
      <c r="CB36" s="61"/>
      <c r="CC36" s="61"/>
      <c r="CD36" s="61"/>
      <c r="CE36" s="77"/>
      <c r="CF36" s="61"/>
      <c r="CG36" s="145" t="s">
        <v>860</v>
      </c>
      <c r="CH36" s="61"/>
      <c r="CI36" s="80"/>
      <c r="CJ36" s="60"/>
      <c r="CK36" s="278" t="s">
        <v>861</v>
      </c>
      <c r="CL36" s="61"/>
      <c r="CM36" s="64"/>
      <c r="CN36" s="61"/>
      <c r="CO36" s="63"/>
      <c r="CP36" s="64"/>
      <c r="CQ36" s="64"/>
      <c r="CR36" s="64"/>
      <c r="CS36" s="64"/>
      <c r="CT36" s="72"/>
      <c r="CU36" s="73"/>
      <c r="CV36" s="73"/>
      <c r="CW36" s="73"/>
      <c r="CX36" s="73"/>
      <c r="CY36" s="66"/>
      <c r="CZ36" s="56"/>
      <c r="DA36" s="56"/>
      <c r="DB36" s="56"/>
      <c r="DC36" s="56"/>
      <c r="DD36" s="77"/>
      <c r="DE36" s="77"/>
      <c r="DF36" s="77"/>
      <c r="DG36" s="77"/>
      <c r="DH36" s="57"/>
      <c r="DI36" s="60"/>
      <c r="DJ36" s="61"/>
      <c r="DK36" s="61"/>
      <c r="DL36" s="61"/>
      <c r="DM36" s="215"/>
      <c r="DN36" s="63"/>
      <c r="DO36" s="64"/>
      <c r="DP36" s="64"/>
      <c r="DQ36" s="64"/>
      <c r="DR36" s="64"/>
      <c r="DS36" s="72"/>
      <c r="DT36" s="73"/>
      <c r="DU36" s="73"/>
      <c r="DV36" s="73"/>
      <c r="DW36" s="73"/>
      <c r="DX36" s="66"/>
      <c r="DY36" s="56"/>
      <c r="DZ36" s="56"/>
      <c r="EA36" s="56"/>
      <c r="EB36" s="56"/>
      <c r="EC36" s="77"/>
      <c r="ED36" s="77"/>
      <c r="EE36" s="77"/>
      <c r="EF36" s="77"/>
      <c r="EG36" s="57"/>
      <c r="EH36" s="60"/>
      <c r="EI36" s="61"/>
      <c r="EJ36" s="61"/>
      <c r="EK36" s="61"/>
      <c r="EL36" s="61"/>
    </row>
    <row r="37" spans="2:142" ht="45">
      <c r="B37" s="47" t="s">
        <v>864</v>
      </c>
      <c r="C37" s="48" t="s">
        <v>880</v>
      </c>
      <c r="D37" s="49" t="s">
        <v>995</v>
      </c>
      <c r="E37" s="70" t="s">
        <v>996</v>
      </c>
      <c r="F37" s="271">
        <v>45316</v>
      </c>
      <c r="G37" s="272">
        <v>45344</v>
      </c>
      <c r="H37" s="272">
        <v>45365</v>
      </c>
      <c r="I37" s="272">
        <v>45401</v>
      </c>
      <c r="J37" s="49" t="s">
        <v>33</v>
      </c>
      <c r="K37" s="49" t="s">
        <v>343</v>
      </c>
      <c r="L37" s="49" t="s">
        <v>1534</v>
      </c>
      <c r="M37" s="72"/>
      <c r="N37" s="73"/>
      <c r="O37" s="73"/>
      <c r="P37" s="73"/>
      <c r="Q37" s="73"/>
      <c r="R37" s="66"/>
      <c r="S37" s="56"/>
      <c r="T37" s="56"/>
      <c r="U37" s="56"/>
      <c r="V37" s="56"/>
      <c r="W37" s="54"/>
      <c r="X37" s="77"/>
      <c r="Y37" s="77"/>
      <c r="Z37" s="77"/>
      <c r="AA37" s="80"/>
      <c r="AB37" s="60"/>
      <c r="AC37" s="61"/>
      <c r="AD37" s="54"/>
      <c r="AE37" s="61"/>
      <c r="AF37" s="61"/>
      <c r="AG37" s="63"/>
      <c r="AH37" s="64"/>
      <c r="AI37" s="64"/>
      <c r="AJ37" s="64"/>
      <c r="AK37" s="64"/>
      <c r="AL37" s="72"/>
      <c r="AM37" s="73"/>
      <c r="AN37" s="73"/>
      <c r="AO37" s="73"/>
      <c r="AP37" s="73"/>
      <c r="AQ37" s="214"/>
      <c r="AR37" s="56"/>
      <c r="AS37" s="56"/>
      <c r="AT37" s="56"/>
      <c r="AU37" s="56"/>
      <c r="AV37" s="77"/>
      <c r="AW37" s="77"/>
      <c r="AX37" s="77"/>
      <c r="AY37" s="77"/>
      <c r="AZ37" s="57"/>
      <c r="BA37" s="60"/>
      <c r="BB37" s="61"/>
      <c r="BC37" s="61"/>
      <c r="BD37" s="61"/>
      <c r="BE37" s="61"/>
      <c r="BF37" s="63"/>
      <c r="BG37" s="64"/>
      <c r="BH37" s="64"/>
      <c r="BI37" s="64"/>
      <c r="BJ37" s="64"/>
      <c r="BK37" s="72"/>
      <c r="BL37" s="73"/>
      <c r="BM37" s="73"/>
      <c r="BN37" s="73"/>
      <c r="BO37" s="73"/>
      <c r="BP37" s="66"/>
      <c r="BQ37" s="56"/>
      <c r="BR37" s="56"/>
      <c r="BS37" s="56"/>
      <c r="BT37" s="56"/>
      <c r="BU37" s="77"/>
      <c r="BV37" s="77"/>
      <c r="BW37" s="77"/>
      <c r="BX37" s="77"/>
      <c r="BY37" s="57"/>
      <c r="BZ37" s="60"/>
      <c r="CA37" s="61"/>
      <c r="CB37" s="61"/>
      <c r="CC37" s="61"/>
      <c r="CD37" s="61"/>
      <c r="CE37" s="54"/>
      <c r="CF37" s="77"/>
      <c r="CG37" s="77"/>
      <c r="CH37" s="138" t="s">
        <v>860</v>
      </c>
      <c r="CI37" s="80"/>
      <c r="CJ37" s="60"/>
      <c r="CK37" s="61"/>
      <c r="CL37" s="61"/>
      <c r="CM37" s="95" t="s">
        <v>861</v>
      </c>
      <c r="CN37" s="61"/>
      <c r="CO37" s="63"/>
      <c r="CP37" s="64"/>
      <c r="CQ37" s="64"/>
      <c r="CR37" s="64"/>
      <c r="CS37" s="64"/>
      <c r="CT37" s="72"/>
      <c r="CU37" s="73"/>
      <c r="CV37" s="73"/>
      <c r="CW37" s="73"/>
      <c r="CX37" s="73"/>
      <c r="CY37" s="214"/>
      <c r="CZ37" s="56"/>
      <c r="DA37" s="56"/>
      <c r="DB37" s="56"/>
      <c r="DC37" s="56"/>
      <c r="DD37" s="77"/>
      <c r="DE37" s="77"/>
      <c r="DF37" s="77"/>
      <c r="DG37" s="77"/>
      <c r="DH37" s="57"/>
      <c r="DI37" s="60"/>
      <c r="DJ37" s="61"/>
      <c r="DK37" s="61"/>
      <c r="DL37" s="61"/>
      <c r="DM37" s="61"/>
      <c r="DN37" s="63"/>
      <c r="DO37" s="64"/>
      <c r="DP37" s="64"/>
      <c r="DQ37" s="64"/>
      <c r="DR37" s="64"/>
      <c r="DS37" s="72"/>
      <c r="DT37" s="73"/>
      <c r="DU37" s="73"/>
      <c r="DV37" s="73"/>
      <c r="DW37" s="73"/>
      <c r="DX37" s="66"/>
      <c r="DY37" s="56"/>
      <c r="DZ37" s="56"/>
      <c r="EA37" s="56"/>
      <c r="EB37" s="56"/>
      <c r="EC37" s="77"/>
      <c r="ED37" s="77"/>
      <c r="EE37" s="77"/>
      <c r="EF37" s="77"/>
      <c r="EG37" s="57"/>
      <c r="EH37" s="60"/>
      <c r="EI37" s="61"/>
      <c r="EJ37" s="61"/>
      <c r="EK37" s="61"/>
      <c r="EL37" s="61"/>
    </row>
    <row r="38" spans="2:142" ht="45">
      <c r="B38" s="47" t="s">
        <v>864</v>
      </c>
      <c r="C38" s="48" t="s">
        <v>880</v>
      </c>
      <c r="D38" s="49" t="s">
        <v>997</v>
      </c>
      <c r="E38" s="70" t="s">
        <v>998</v>
      </c>
      <c r="F38" s="271">
        <v>45316</v>
      </c>
      <c r="G38" s="272">
        <v>45344</v>
      </c>
      <c r="H38" s="272">
        <v>45365</v>
      </c>
      <c r="I38" s="272">
        <v>45401</v>
      </c>
      <c r="J38" s="49" t="s">
        <v>33</v>
      </c>
      <c r="K38" s="49" t="s">
        <v>343</v>
      </c>
      <c r="L38" s="49" t="s">
        <v>1534</v>
      </c>
      <c r="M38" s="72"/>
      <c r="N38" s="73"/>
      <c r="O38" s="73"/>
      <c r="P38" s="73"/>
      <c r="Q38" s="73"/>
      <c r="R38" s="66"/>
      <c r="S38" s="56"/>
      <c r="T38" s="56"/>
      <c r="U38" s="56"/>
      <c r="V38" s="56"/>
      <c r="W38" s="77"/>
      <c r="X38" s="77"/>
      <c r="Y38" s="77"/>
      <c r="Z38" s="80"/>
      <c r="AA38" s="57"/>
      <c r="AB38" s="60"/>
      <c r="AC38" s="61"/>
      <c r="AD38" s="54"/>
      <c r="AE38" s="61"/>
      <c r="AF38" s="61"/>
      <c r="AG38" s="63"/>
      <c r="AH38" s="64"/>
      <c r="AI38" s="64"/>
      <c r="AJ38" s="64"/>
      <c r="AK38" s="64"/>
      <c r="AL38" s="72"/>
      <c r="AM38" s="73"/>
      <c r="AN38" s="73"/>
      <c r="AO38" s="73"/>
      <c r="AP38" s="73"/>
      <c r="AQ38" s="214"/>
      <c r="AR38" s="56"/>
      <c r="AS38" s="56"/>
      <c r="AT38" s="56"/>
      <c r="AU38" s="56"/>
      <c r="AV38" s="77"/>
      <c r="AW38" s="77"/>
      <c r="AX38" s="77"/>
      <c r="AY38" s="77"/>
      <c r="AZ38" s="57"/>
      <c r="BA38" s="60"/>
      <c r="BB38" s="61"/>
      <c r="BC38" s="61"/>
      <c r="BD38" s="61"/>
      <c r="BE38" s="61"/>
      <c r="BF38" s="63"/>
      <c r="BG38" s="64"/>
      <c r="BH38" s="64"/>
      <c r="BI38" s="64"/>
      <c r="BJ38" s="64"/>
      <c r="BK38" s="72"/>
      <c r="BL38" s="73"/>
      <c r="BM38" s="73"/>
      <c r="BN38" s="73"/>
      <c r="BO38" s="73"/>
      <c r="BP38" s="66"/>
      <c r="BQ38" s="56"/>
      <c r="BR38" s="56"/>
      <c r="BS38" s="56"/>
      <c r="BT38" s="56"/>
      <c r="BU38" s="77"/>
      <c r="BV38" s="77"/>
      <c r="BW38" s="77"/>
      <c r="BX38" s="77"/>
      <c r="BY38" s="57"/>
      <c r="BZ38" s="60"/>
      <c r="CA38" s="61"/>
      <c r="CB38" s="61"/>
      <c r="CC38" s="61"/>
      <c r="CD38" s="61"/>
      <c r="CE38" s="77"/>
      <c r="CF38" s="77"/>
      <c r="CG38" s="77"/>
      <c r="CH38" s="138" t="s">
        <v>860</v>
      </c>
      <c r="CI38" s="57"/>
      <c r="CJ38" s="60"/>
      <c r="CK38" s="61"/>
      <c r="CL38" s="61"/>
      <c r="CM38" s="95" t="s">
        <v>861</v>
      </c>
      <c r="CN38" s="61"/>
      <c r="CO38" s="63"/>
      <c r="CP38" s="64"/>
      <c r="CQ38" s="64"/>
      <c r="CR38" s="64"/>
      <c r="CS38" s="64"/>
      <c r="CT38" s="72"/>
      <c r="CU38" s="73"/>
      <c r="CV38" s="73"/>
      <c r="CW38" s="73"/>
      <c r="CX38" s="73"/>
      <c r="CY38" s="214"/>
      <c r="CZ38" s="56"/>
      <c r="DA38" s="56"/>
      <c r="DB38" s="56"/>
      <c r="DC38" s="56"/>
      <c r="DD38" s="77"/>
      <c r="DE38" s="77"/>
      <c r="DF38" s="77"/>
      <c r="DG38" s="77"/>
      <c r="DH38" s="57"/>
      <c r="DI38" s="60"/>
      <c r="DJ38" s="61"/>
      <c r="DK38" s="61"/>
      <c r="DL38" s="61"/>
      <c r="DM38" s="61"/>
      <c r="DN38" s="63"/>
      <c r="DO38" s="64"/>
      <c r="DP38" s="64"/>
      <c r="DQ38" s="64"/>
      <c r="DR38" s="64"/>
      <c r="DS38" s="72"/>
      <c r="DT38" s="73"/>
      <c r="DU38" s="73"/>
      <c r="DV38" s="73"/>
      <c r="DW38" s="73"/>
      <c r="DX38" s="66"/>
      <c r="DY38" s="56"/>
      <c r="DZ38" s="56"/>
      <c r="EA38" s="56"/>
      <c r="EB38" s="56"/>
      <c r="EC38" s="77"/>
      <c r="ED38" s="77"/>
      <c r="EE38" s="77"/>
      <c r="EF38" s="77"/>
      <c r="EG38" s="57"/>
      <c r="EH38" s="60"/>
      <c r="EI38" s="61"/>
      <c r="EJ38" s="61"/>
      <c r="EK38" s="61"/>
      <c r="EL38" s="61"/>
    </row>
    <row r="39" spans="2:142" ht="45">
      <c r="B39" s="47" t="s">
        <v>864</v>
      </c>
      <c r="C39" s="48" t="s">
        <v>880</v>
      </c>
      <c r="D39" s="49" t="s">
        <v>999</v>
      </c>
      <c r="E39" s="81" t="s">
        <v>1000</v>
      </c>
      <c r="F39" s="273">
        <v>45316</v>
      </c>
      <c r="G39" s="274">
        <v>45344</v>
      </c>
      <c r="H39" s="274">
        <v>45365</v>
      </c>
      <c r="I39" s="274">
        <v>45401</v>
      </c>
      <c r="J39" s="49" t="s">
        <v>33</v>
      </c>
      <c r="K39" s="49" t="s">
        <v>343</v>
      </c>
      <c r="L39" s="49" t="s">
        <v>1534</v>
      </c>
      <c r="M39" s="99"/>
      <c r="N39" s="100"/>
      <c r="O39" s="100"/>
      <c r="P39" s="100"/>
      <c r="Q39" s="100"/>
      <c r="R39" s="101"/>
      <c r="S39" s="102"/>
      <c r="T39" s="102"/>
      <c r="U39" s="102"/>
      <c r="V39" s="102"/>
      <c r="W39" s="103"/>
      <c r="X39" s="104"/>
      <c r="Y39" s="105"/>
      <c r="Z39" s="105"/>
      <c r="AA39" s="103"/>
      <c r="AB39" s="106"/>
      <c r="AC39" s="107"/>
      <c r="AD39" s="54"/>
      <c r="AE39" s="54"/>
      <c r="AF39" s="107"/>
      <c r="AG39" s="64"/>
      <c r="AH39" s="64"/>
      <c r="AI39" s="64"/>
      <c r="AJ39" s="108"/>
      <c r="AK39" s="108"/>
      <c r="AL39" s="99"/>
      <c r="AM39" s="100"/>
      <c r="AN39" s="100"/>
      <c r="AO39" s="100"/>
      <c r="AP39" s="100"/>
      <c r="AQ39" s="217"/>
      <c r="AR39" s="56"/>
      <c r="AS39" s="102"/>
      <c r="AT39" s="102"/>
      <c r="AU39" s="56"/>
      <c r="AV39" s="103"/>
      <c r="AW39" s="104"/>
      <c r="AX39" s="105"/>
      <c r="AY39" s="105"/>
      <c r="AZ39" s="103"/>
      <c r="BA39" s="106"/>
      <c r="BB39" s="107"/>
      <c r="BC39" s="107"/>
      <c r="BD39" s="107"/>
      <c r="BE39" s="107"/>
      <c r="BF39" s="109"/>
      <c r="BG39" s="108"/>
      <c r="BH39" s="108"/>
      <c r="BI39" s="108"/>
      <c r="BJ39" s="108"/>
      <c r="BK39" s="99"/>
      <c r="BL39" s="100"/>
      <c r="BM39" s="100"/>
      <c r="BN39" s="100"/>
      <c r="BO39" s="100"/>
      <c r="BP39" s="101"/>
      <c r="BQ39" s="102"/>
      <c r="BR39" s="102"/>
      <c r="BS39" s="102"/>
      <c r="BT39" s="102"/>
      <c r="BU39" s="103"/>
      <c r="BV39" s="104"/>
      <c r="BW39" s="105"/>
      <c r="BX39" s="105"/>
      <c r="BY39" s="103"/>
      <c r="BZ39" s="106"/>
      <c r="CA39" s="107"/>
      <c r="CB39" s="107"/>
      <c r="CC39" s="107"/>
      <c r="CD39" s="107"/>
      <c r="CE39" s="103"/>
      <c r="CF39" s="104"/>
      <c r="CG39" s="105"/>
      <c r="CH39" s="138" t="s">
        <v>860</v>
      </c>
      <c r="CI39" s="103"/>
      <c r="CJ39" s="106"/>
      <c r="CK39" s="107"/>
      <c r="CL39" s="107"/>
      <c r="CM39" s="95" t="s">
        <v>861</v>
      </c>
      <c r="CN39" s="107"/>
      <c r="CO39" s="64"/>
      <c r="CP39" s="64"/>
      <c r="CQ39" s="64"/>
      <c r="CR39" s="108"/>
      <c r="CS39" s="108"/>
      <c r="CT39" s="99"/>
      <c r="CU39" s="100"/>
      <c r="CV39" s="100"/>
      <c r="CW39" s="100"/>
      <c r="CX39" s="100"/>
      <c r="CY39" s="217"/>
      <c r="CZ39" s="56"/>
      <c r="DA39" s="102"/>
      <c r="DB39" s="102"/>
      <c r="DC39" s="56"/>
      <c r="DD39" s="103"/>
      <c r="DE39" s="104"/>
      <c r="DF39" s="105"/>
      <c r="DG39" s="105"/>
      <c r="DH39" s="103"/>
      <c r="DI39" s="106"/>
      <c r="DJ39" s="107"/>
      <c r="DK39" s="107"/>
      <c r="DL39" s="107"/>
      <c r="DM39" s="107"/>
      <c r="DN39" s="109"/>
      <c r="DO39" s="108"/>
      <c r="DP39" s="108"/>
      <c r="DQ39" s="108"/>
      <c r="DR39" s="108"/>
      <c r="DS39" s="99"/>
      <c r="DT39" s="100"/>
      <c r="DU39" s="100"/>
      <c r="DV39" s="100"/>
      <c r="DW39" s="100"/>
      <c r="DX39" s="101"/>
      <c r="DY39" s="102"/>
      <c r="DZ39" s="102"/>
      <c r="EA39" s="102"/>
      <c r="EB39" s="102"/>
      <c r="EC39" s="103"/>
      <c r="ED39" s="104"/>
      <c r="EE39" s="105"/>
      <c r="EF39" s="105"/>
      <c r="EG39" s="103"/>
      <c r="EH39" s="106"/>
      <c r="EI39" s="107"/>
      <c r="EJ39" s="107"/>
      <c r="EK39" s="107"/>
      <c r="EL39" s="107"/>
    </row>
    <row r="40" spans="2:142" ht="45">
      <c r="B40" s="47" t="s">
        <v>864</v>
      </c>
      <c r="C40" s="48" t="s">
        <v>900</v>
      </c>
      <c r="D40" s="49" t="s">
        <v>1001</v>
      </c>
      <c r="E40" s="81" t="s">
        <v>1002</v>
      </c>
      <c r="F40" s="273">
        <v>45316</v>
      </c>
      <c r="G40" s="274">
        <v>45344</v>
      </c>
      <c r="H40" s="274">
        <v>45365</v>
      </c>
      <c r="I40" s="274">
        <v>45401</v>
      </c>
      <c r="J40" s="49" t="s">
        <v>33</v>
      </c>
      <c r="K40" s="49" t="s">
        <v>343</v>
      </c>
      <c r="L40" s="49" t="s">
        <v>1534</v>
      </c>
      <c r="M40" s="99"/>
      <c r="N40" s="100"/>
      <c r="O40" s="100"/>
      <c r="P40" s="100"/>
      <c r="Q40" s="100"/>
      <c r="R40" s="101"/>
      <c r="S40" s="102"/>
      <c r="T40" s="102"/>
      <c r="U40" s="102"/>
      <c r="V40" s="102"/>
      <c r="W40" s="103"/>
      <c r="X40" s="104"/>
      <c r="Y40" s="105"/>
      <c r="Z40" s="115"/>
      <c r="AA40" s="103"/>
      <c r="AB40" s="106"/>
      <c r="AC40" s="107"/>
      <c r="AD40" s="107"/>
      <c r="AE40" s="107"/>
      <c r="AF40" s="107"/>
      <c r="AG40" s="54"/>
      <c r="AH40" s="64"/>
      <c r="AI40" s="108"/>
      <c r="AJ40" s="108"/>
      <c r="AK40" s="80"/>
      <c r="AL40" s="99"/>
      <c r="AM40" s="100"/>
      <c r="AN40" s="100"/>
      <c r="AO40" s="100"/>
      <c r="AP40" s="100"/>
      <c r="AQ40" s="101"/>
      <c r="AR40" s="102"/>
      <c r="AS40" s="102"/>
      <c r="AT40" s="102"/>
      <c r="AU40" s="108"/>
      <c r="AV40" s="103"/>
      <c r="AW40" s="104"/>
      <c r="AX40" s="105"/>
      <c r="AY40" s="105"/>
      <c r="AZ40" s="103"/>
      <c r="BA40" s="106"/>
      <c r="BB40" s="107"/>
      <c r="BC40" s="107"/>
      <c r="BD40" s="107"/>
      <c r="BE40" s="107"/>
      <c r="BF40" s="109"/>
      <c r="BG40" s="108"/>
      <c r="BH40" s="108"/>
      <c r="BI40" s="108"/>
      <c r="BJ40" s="108"/>
      <c r="BK40" s="99"/>
      <c r="BL40" s="100"/>
      <c r="BM40" s="100"/>
      <c r="BN40" s="100"/>
      <c r="BO40" s="100"/>
      <c r="BP40" s="101"/>
      <c r="BQ40" s="102"/>
      <c r="BR40" s="102"/>
      <c r="BS40" s="102"/>
      <c r="BT40" s="102"/>
      <c r="BU40" s="103"/>
      <c r="BV40" s="104"/>
      <c r="BW40" s="105"/>
      <c r="BX40" s="105"/>
      <c r="BY40" s="103"/>
      <c r="BZ40" s="106"/>
      <c r="CA40" s="107"/>
      <c r="CB40" s="107"/>
      <c r="CC40" s="107"/>
      <c r="CD40" s="107"/>
      <c r="CE40" s="103"/>
      <c r="CF40" s="104"/>
      <c r="CG40" s="105"/>
      <c r="CH40" s="222" t="s">
        <v>860</v>
      </c>
      <c r="CI40" s="103"/>
      <c r="CJ40" s="106"/>
      <c r="CK40" s="107"/>
      <c r="CL40" s="107"/>
      <c r="CM40" s="139" t="s">
        <v>861</v>
      </c>
      <c r="CN40" s="107"/>
      <c r="CO40" s="54"/>
      <c r="CP40" s="64"/>
      <c r="CQ40" s="64"/>
      <c r="CR40" s="108"/>
      <c r="CS40" s="80"/>
      <c r="CT40" s="99"/>
      <c r="CU40" s="100"/>
      <c r="CV40" s="100"/>
      <c r="CW40" s="100"/>
      <c r="CX40" s="100"/>
      <c r="CY40" s="101"/>
      <c r="CZ40" s="102"/>
      <c r="DA40" s="102"/>
      <c r="DB40" s="102"/>
      <c r="DC40" s="108"/>
      <c r="DD40" s="103"/>
      <c r="DE40" s="104"/>
      <c r="DF40" s="105"/>
      <c r="DG40" s="105"/>
      <c r="DH40" s="103"/>
      <c r="DI40" s="106"/>
      <c r="DJ40" s="107"/>
      <c r="DK40" s="107"/>
      <c r="DL40" s="107"/>
      <c r="DM40" s="107"/>
      <c r="DN40" s="109"/>
      <c r="DO40" s="108"/>
      <c r="DP40" s="108"/>
      <c r="DQ40" s="108"/>
      <c r="DR40" s="108"/>
      <c r="DS40" s="99"/>
      <c r="DT40" s="100"/>
      <c r="DU40" s="100"/>
      <c r="DV40" s="100"/>
      <c r="DW40" s="100"/>
      <c r="DX40" s="101"/>
      <c r="DY40" s="102"/>
      <c r="DZ40" s="102"/>
      <c r="EA40" s="102"/>
      <c r="EB40" s="102"/>
      <c r="EC40" s="103"/>
      <c r="ED40" s="104"/>
      <c r="EE40" s="105"/>
      <c r="EF40" s="105"/>
      <c r="EG40" s="103"/>
      <c r="EH40" s="106"/>
      <c r="EI40" s="107"/>
      <c r="EJ40" s="107"/>
      <c r="EK40" s="107"/>
      <c r="EL40" s="107"/>
    </row>
    <row r="41" spans="2:142" ht="45">
      <c r="B41" s="47" t="s">
        <v>864</v>
      </c>
      <c r="C41" s="48" t="s">
        <v>894</v>
      </c>
      <c r="D41" s="49" t="s">
        <v>1025</v>
      </c>
      <c r="E41" s="81" t="s">
        <v>1026</v>
      </c>
      <c r="F41" s="273">
        <v>45321</v>
      </c>
      <c r="G41" s="274">
        <v>45352</v>
      </c>
      <c r="H41" s="274">
        <v>45373</v>
      </c>
      <c r="I41" s="274">
        <v>45408</v>
      </c>
      <c r="J41" s="49" t="s">
        <v>33</v>
      </c>
      <c r="K41" s="49" t="s">
        <v>343</v>
      </c>
      <c r="L41" s="49" t="s">
        <v>1534</v>
      </c>
      <c r="M41" s="99"/>
      <c r="N41" s="100"/>
      <c r="O41" s="100"/>
      <c r="P41" s="100"/>
      <c r="Q41" s="100"/>
      <c r="R41" s="101"/>
      <c r="S41" s="102"/>
      <c r="T41" s="102"/>
      <c r="U41" s="102"/>
      <c r="V41" s="102"/>
      <c r="W41" s="103"/>
      <c r="X41" s="104"/>
      <c r="Y41" s="105"/>
      <c r="Z41" s="105"/>
      <c r="AA41" s="103"/>
      <c r="AB41" s="106"/>
      <c r="AC41" s="107"/>
      <c r="AD41" s="107"/>
      <c r="AE41" s="107"/>
      <c r="AF41" s="107"/>
      <c r="AG41" s="54"/>
      <c r="AH41" s="64"/>
      <c r="AI41" s="108"/>
      <c r="AJ41" s="108"/>
      <c r="AK41" s="80"/>
      <c r="AL41" s="99"/>
      <c r="AM41" s="100"/>
      <c r="AN41" s="100"/>
      <c r="AO41" s="100"/>
      <c r="AP41" s="100"/>
      <c r="AQ41" s="217"/>
      <c r="AR41" s="102"/>
      <c r="AS41" s="102"/>
      <c r="AT41" s="102"/>
      <c r="AU41" s="108"/>
      <c r="AV41" s="103"/>
      <c r="AW41" s="104"/>
      <c r="AX41" s="105"/>
      <c r="AY41" s="105"/>
      <c r="AZ41" s="103"/>
      <c r="BA41" s="106"/>
      <c r="BB41" s="107"/>
      <c r="BC41" s="107"/>
      <c r="BD41" s="107"/>
      <c r="BE41" s="107"/>
      <c r="BF41" s="109"/>
      <c r="BG41" s="108"/>
      <c r="BH41" s="108"/>
      <c r="BI41" s="108"/>
      <c r="BJ41" s="108"/>
      <c r="BK41" s="99"/>
      <c r="BL41" s="100"/>
      <c r="BM41" s="100"/>
      <c r="BN41" s="100"/>
      <c r="BO41" s="100"/>
      <c r="BP41" s="101"/>
      <c r="BQ41" s="102"/>
      <c r="BR41" s="102"/>
      <c r="BS41" s="102"/>
      <c r="BT41" s="102"/>
      <c r="BU41" s="103"/>
      <c r="BV41" s="104"/>
      <c r="BW41" s="105"/>
      <c r="BX41" s="105"/>
      <c r="BY41" s="103"/>
      <c r="BZ41" s="106"/>
      <c r="CA41" s="107"/>
      <c r="CB41" s="107"/>
      <c r="CC41" s="107"/>
      <c r="CD41" s="107"/>
      <c r="CE41" s="103"/>
      <c r="CF41" s="104"/>
      <c r="CG41" s="105"/>
      <c r="CH41" s="105"/>
      <c r="CI41" s="277" t="s">
        <v>860</v>
      </c>
      <c r="CJ41" s="106"/>
      <c r="CK41" s="107"/>
      <c r="CL41" s="107"/>
      <c r="CM41" s="61"/>
      <c r="CN41" s="107"/>
      <c r="CO41" s="224" t="s">
        <v>861</v>
      </c>
      <c r="CP41" s="64"/>
      <c r="CQ41" s="64"/>
      <c r="CR41" s="108"/>
      <c r="CS41" s="80"/>
      <c r="CT41" s="99"/>
      <c r="CU41" s="100"/>
      <c r="CV41" s="100"/>
      <c r="CW41" s="100"/>
      <c r="CX41" s="100"/>
      <c r="CY41" s="217"/>
      <c r="CZ41" s="102"/>
      <c r="DA41" s="102"/>
      <c r="DB41" s="102"/>
      <c r="DC41" s="108"/>
      <c r="DD41" s="103"/>
      <c r="DE41" s="104"/>
      <c r="DF41" s="105"/>
      <c r="DG41" s="105"/>
      <c r="DH41" s="103"/>
      <c r="DI41" s="106"/>
      <c r="DJ41" s="107"/>
      <c r="DK41" s="107"/>
      <c r="DL41" s="107"/>
      <c r="DM41" s="107"/>
      <c r="DN41" s="109"/>
      <c r="DO41" s="108"/>
      <c r="DP41" s="108"/>
      <c r="DQ41" s="108"/>
      <c r="DR41" s="108"/>
      <c r="DS41" s="99"/>
      <c r="DT41" s="100"/>
      <c r="DU41" s="100"/>
      <c r="DV41" s="100"/>
      <c r="DW41" s="100"/>
      <c r="DX41" s="101"/>
      <c r="DY41" s="102"/>
      <c r="DZ41" s="102"/>
      <c r="EA41" s="102"/>
      <c r="EB41" s="102"/>
      <c r="EC41" s="103"/>
      <c r="ED41" s="104"/>
      <c r="EE41" s="105"/>
      <c r="EF41" s="105"/>
      <c r="EG41" s="103"/>
      <c r="EH41" s="106"/>
      <c r="EI41" s="107"/>
      <c r="EJ41" s="107"/>
      <c r="EK41" s="107"/>
      <c r="EL41" s="107"/>
    </row>
    <row r="42" spans="2:142" ht="45">
      <c r="B42" s="47" t="s">
        <v>864</v>
      </c>
      <c r="C42" s="48" t="s">
        <v>894</v>
      </c>
      <c r="D42" s="49" t="s">
        <v>1027</v>
      </c>
      <c r="E42" s="81" t="s">
        <v>1028</v>
      </c>
      <c r="F42" s="273">
        <v>45321</v>
      </c>
      <c r="G42" s="274">
        <v>45352</v>
      </c>
      <c r="H42" s="274">
        <v>45373</v>
      </c>
      <c r="I42" s="274">
        <v>45408</v>
      </c>
      <c r="J42" s="49" t="s">
        <v>33</v>
      </c>
      <c r="K42" s="49" t="s">
        <v>343</v>
      </c>
      <c r="L42" s="49" t="s">
        <v>1534</v>
      </c>
      <c r="M42" s="99"/>
      <c r="N42" s="100"/>
      <c r="O42" s="100"/>
      <c r="P42" s="100"/>
      <c r="Q42" s="100"/>
      <c r="R42" s="101"/>
      <c r="S42" s="102"/>
      <c r="T42" s="102"/>
      <c r="U42" s="102"/>
      <c r="V42" s="102"/>
      <c r="W42" s="103"/>
      <c r="X42" s="104"/>
      <c r="Y42" s="105"/>
      <c r="Z42" s="105"/>
      <c r="AA42" s="103"/>
      <c r="AB42" s="106"/>
      <c r="AC42" s="107"/>
      <c r="AD42" s="107"/>
      <c r="AE42" s="107"/>
      <c r="AF42" s="107"/>
      <c r="AG42" s="54"/>
      <c r="AH42" s="64"/>
      <c r="AI42" s="108"/>
      <c r="AJ42" s="108"/>
      <c r="AK42" s="80"/>
      <c r="AL42" s="99"/>
      <c r="AM42" s="100"/>
      <c r="AN42" s="100"/>
      <c r="AO42" s="100"/>
      <c r="AP42" s="100"/>
      <c r="AQ42" s="217"/>
      <c r="AR42" s="102"/>
      <c r="AS42" s="102"/>
      <c r="AT42" s="102"/>
      <c r="AU42" s="108"/>
      <c r="AV42" s="103"/>
      <c r="AW42" s="104"/>
      <c r="AX42" s="105"/>
      <c r="AY42" s="105"/>
      <c r="AZ42" s="103"/>
      <c r="BA42" s="106"/>
      <c r="BB42" s="107"/>
      <c r="BC42" s="107"/>
      <c r="BD42" s="107"/>
      <c r="BE42" s="107"/>
      <c r="BF42" s="109"/>
      <c r="BG42" s="108"/>
      <c r="BH42" s="108"/>
      <c r="BI42" s="108"/>
      <c r="BJ42" s="108"/>
      <c r="BK42" s="99"/>
      <c r="BL42" s="100"/>
      <c r="BM42" s="100"/>
      <c r="BN42" s="100"/>
      <c r="BO42" s="100"/>
      <c r="BP42" s="101"/>
      <c r="BQ42" s="102"/>
      <c r="BR42" s="102"/>
      <c r="BS42" s="102"/>
      <c r="BT42" s="102"/>
      <c r="BU42" s="103"/>
      <c r="BV42" s="104"/>
      <c r="BW42" s="105"/>
      <c r="BX42" s="105"/>
      <c r="BY42" s="103"/>
      <c r="BZ42" s="106"/>
      <c r="CA42" s="107"/>
      <c r="CB42" s="107"/>
      <c r="CC42" s="64"/>
      <c r="CD42" s="107"/>
      <c r="CE42" s="103"/>
      <c r="CF42" s="103"/>
      <c r="CG42" s="105"/>
      <c r="CH42" s="115"/>
      <c r="CI42" s="277" t="s">
        <v>860</v>
      </c>
      <c r="CJ42" s="106"/>
      <c r="CK42" s="106"/>
      <c r="CL42" s="61"/>
      <c r="CM42" s="107"/>
      <c r="CN42" s="107"/>
      <c r="CO42" s="95" t="s">
        <v>861</v>
      </c>
      <c r="CP42" s="106"/>
      <c r="CQ42" s="108"/>
      <c r="CR42" s="108"/>
      <c r="CS42" s="80"/>
      <c r="CT42" s="99"/>
      <c r="CU42" s="100"/>
      <c r="CV42" s="100"/>
      <c r="CW42" s="100"/>
      <c r="CX42" s="100"/>
      <c r="CY42" s="217"/>
      <c r="CZ42" s="102"/>
      <c r="DA42" s="102"/>
      <c r="DB42" s="102"/>
      <c r="DC42" s="108"/>
      <c r="DD42" s="103"/>
      <c r="DE42" s="104"/>
      <c r="DF42" s="105"/>
      <c r="DG42" s="105"/>
      <c r="DH42" s="103"/>
      <c r="DI42" s="106"/>
      <c r="DJ42" s="107"/>
      <c r="DK42" s="107"/>
      <c r="DL42" s="107"/>
      <c r="DM42" s="107"/>
      <c r="DN42" s="109"/>
      <c r="DO42" s="108"/>
      <c r="DP42" s="108"/>
      <c r="DQ42" s="108"/>
      <c r="DR42" s="108"/>
      <c r="DS42" s="99"/>
      <c r="DT42" s="100"/>
      <c r="DU42" s="100"/>
      <c r="DV42" s="100"/>
      <c r="DW42" s="100"/>
      <c r="DX42" s="101"/>
      <c r="DY42" s="102"/>
      <c r="DZ42" s="102"/>
      <c r="EA42" s="102"/>
      <c r="EB42" s="102"/>
      <c r="EC42" s="103"/>
      <c r="ED42" s="104"/>
      <c r="EE42" s="105"/>
      <c r="EF42" s="105"/>
      <c r="EG42" s="103"/>
      <c r="EH42" s="106"/>
      <c r="EI42" s="107"/>
      <c r="EJ42" s="107"/>
      <c r="EK42" s="64"/>
      <c r="EL42" s="107"/>
    </row>
    <row r="43" spans="2:142" ht="45">
      <c r="B43" s="47" t="s">
        <v>864</v>
      </c>
      <c r="C43" s="48" t="s">
        <v>873</v>
      </c>
      <c r="D43" s="49" t="s">
        <v>1007</v>
      </c>
      <c r="E43" s="81" t="s">
        <v>1008</v>
      </c>
      <c r="F43" s="273">
        <v>45330</v>
      </c>
      <c r="G43" s="274">
        <v>45352</v>
      </c>
      <c r="H43" s="274">
        <v>45373</v>
      </c>
      <c r="I43" s="274">
        <v>45401</v>
      </c>
      <c r="J43" s="49" t="s">
        <v>33</v>
      </c>
      <c r="K43" s="49" t="s">
        <v>343</v>
      </c>
      <c r="L43" s="49" t="s">
        <v>1534</v>
      </c>
      <c r="M43" s="99"/>
      <c r="N43" s="100"/>
      <c r="O43" s="100"/>
      <c r="P43" s="100"/>
      <c r="Q43" s="100"/>
      <c r="R43" s="217"/>
      <c r="S43" s="102"/>
      <c r="T43" s="102"/>
      <c r="U43" s="102"/>
      <c r="V43" s="218"/>
      <c r="W43" s="103"/>
      <c r="X43" s="104"/>
      <c r="Y43" s="105"/>
      <c r="Z43" s="105"/>
      <c r="AA43" s="103"/>
      <c r="AB43" s="106"/>
      <c r="AC43" s="107"/>
      <c r="AD43" s="107"/>
      <c r="AE43" s="107"/>
      <c r="AF43" s="107"/>
      <c r="AG43" s="54"/>
      <c r="AH43" s="64"/>
      <c r="AI43" s="108"/>
      <c r="AJ43" s="108"/>
      <c r="AK43" s="219"/>
      <c r="AL43" s="99"/>
      <c r="AM43" s="100"/>
      <c r="AN43" s="100"/>
      <c r="AO43" s="220"/>
      <c r="AP43" s="100"/>
      <c r="AQ43" s="101"/>
      <c r="AR43" s="102"/>
      <c r="AS43" s="102"/>
      <c r="AT43" s="102"/>
      <c r="AU43" s="108"/>
      <c r="AV43" s="103"/>
      <c r="AW43" s="104"/>
      <c r="AX43" s="105"/>
      <c r="AY43" s="105"/>
      <c r="AZ43" s="103"/>
      <c r="BA43" s="106"/>
      <c r="BB43" s="107"/>
      <c r="BC43" s="107"/>
      <c r="BD43" s="107"/>
      <c r="BE43" s="107"/>
      <c r="BF43" s="109"/>
      <c r="BG43" s="108"/>
      <c r="BH43" s="108"/>
      <c r="BI43" s="108"/>
      <c r="BJ43" s="108"/>
      <c r="BK43" s="99"/>
      <c r="BL43" s="100"/>
      <c r="BM43" s="100"/>
      <c r="BN43" s="100"/>
      <c r="BO43" s="100"/>
      <c r="BP43" s="101"/>
      <c r="BQ43" s="102"/>
      <c r="BR43" s="102"/>
      <c r="BS43" s="102"/>
      <c r="BT43" s="102"/>
      <c r="BU43" s="103"/>
      <c r="BV43" s="104"/>
      <c r="BW43" s="105"/>
      <c r="BX43" s="105"/>
      <c r="BY43" s="103"/>
      <c r="BZ43" s="106"/>
      <c r="CA43" s="107"/>
      <c r="CB43" s="107"/>
      <c r="CC43" s="64"/>
      <c r="CD43" s="107"/>
      <c r="CE43" s="103"/>
      <c r="CF43" s="103"/>
      <c r="CG43" s="105"/>
      <c r="CH43" s="115"/>
      <c r="CI43" s="103"/>
      <c r="CJ43" s="106"/>
      <c r="CK43" s="279" t="s">
        <v>860</v>
      </c>
      <c r="CL43" s="61"/>
      <c r="CM43" s="107"/>
      <c r="CN43" s="107"/>
      <c r="CO43" s="95" t="s">
        <v>861</v>
      </c>
      <c r="CP43" s="106"/>
      <c r="CQ43" s="108"/>
      <c r="CR43" s="108"/>
      <c r="CS43" s="80"/>
      <c r="CT43" s="99"/>
      <c r="CU43" s="100"/>
      <c r="CV43" s="100"/>
      <c r="CW43" s="220"/>
      <c r="CX43" s="100"/>
      <c r="CY43" s="101"/>
      <c r="CZ43" s="102"/>
      <c r="DA43" s="102"/>
      <c r="DB43" s="102"/>
      <c r="DC43" s="108"/>
      <c r="DD43" s="103"/>
      <c r="DE43" s="104"/>
      <c r="DF43" s="105"/>
      <c r="DG43" s="105"/>
      <c r="DH43" s="103"/>
      <c r="DI43" s="106"/>
      <c r="DJ43" s="107"/>
      <c r="DK43" s="107"/>
      <c r="DL43" s="107"/>
      <c r="DM43" s="107"/>
      <c r="DN43" s="109"/>
      <c r="DO43" s="108"/>
      <c r="DP43" s="108"/>
      <c r="DQ43" s="108"/>
      <c r="DR43" s="108"/>
      <c r="DS43" s="99"/>
      <c r="DT43" s="100"/>
      <c r="DU43" s="100"/>
      <c r="DV43" s="100"/>
      <c r="DW43" s="100"/>
      <c r="DX43" s="101"/>
      <c r="DY43" s="102"/>
      <c r="DZ43" s="102"/>
      <c r="EA43" s="102"/>
      <c r="EB43" s="102"/>
      <c r="EC43" s="103"/>
      <c r="ED43" s="104"/>
      <c r="EE43" s="105"/>
      <c r="EF43" s="105"/>
      <c r="EG43" s="103"/>
      <c r="EH43" s="106"/>
      <c r="EI43" s="107"/>
      <c r="EJ43" s="107"/>
      <c r="EK43" s="64"/>
      <c r="EL43" s="107"/>
    </row>
    <row r="44" spans="2:142" ht="45">
      <c r="B44" s="47" t="s">
        <v>864</v>
      </c>
      <c r="C44" s="48" t="s">
        <v>873</v>
      </c>
      <c r="D44" s="49" t="s">
        <v>1009</v>
      </c>
      <c r="E44" s="81" t="s">
        <v>1010</v>
      </c>
      <c r="F44" s="273">
        <v>45330</v>
      </c>
      <c r="G44" s="274">
        <v>45352</v>
      </c>
      <c r="H44" s="274">
        <v>45373</v>
      </c>
      <c r="I44" s="274">
        <v>45401</v>
      </c>
      <c r="J44" s="49" t="s">
        <v>33</v>
      </c>
      <c r="K44" s="49" t="s">
        <v>343</v>
      </c>
      <c r="L44" s="49" t="s">
        <v>1534</v>
      </c>
      <c r="M44" s="99"/>
      <c r="N44" s="100"/>
      <c r="O44" s="100"/>
      <c r="P44" s="100"/>
      <c r="Q44" s="100"/>
      <c r="R44" s="217"/>
      <c r="S44" s="102"/>
      <c r="T44" s="102"/>
      <c r="U44" s="102"/>
      <c r="V44" s="218"/>
      <c r="W44" s="103"/>
      <c r="X44" s="104"/>
      <c r="Y44" s="105"/>
      <c r="Z44" s="105"/>
      <c r="AA44" s="103"/>
      <c r="AB44" s="106"/>
      <c r="AC44" s="107"/>
      <c r="AD44" s="107"/>
      <c r="AE44" s="107"/>
      <c r="AF44" s="107"/>
      <c r="AG44" s="54"/>
      <c r="AH44" s="64"/>
      <c r="AI44" s="108"/>
      <c r="AJ44" s="108"/>
      <c r="AK44" s="219"/>
      <c r="AL44" s="99"/>
      <c r="AM44" s="100"/>
      <c r="AN44" s="100"/>
      <c r="AO44" s="220"/>
      <c r="AP44" s="100"/>
      <c r="AQ44" s="101"/>
      <c r="AR44" s="102"/>
      <c r="AS44" s="102"/>
      <c r="AT44" s="102"/>
      <c r="AU44" s="108"/>
      <c r="AV44" s="103"/>
      <c r="AW44" s="104"/>
      <c r="AX44" s="105"/>
      <c r="AY44" s="105"/>
      <c r="AZ44" s="103"/>
      <c r="BA44" s="106"/>
      <c r="BB44" s="107"/>
      <c r="BC44" s="107"/>
      <c r="BD44" s="107"/>
      <c r="BE44" s="107"/>
      <c r="BF44" s="109"/>
      <c r="BG44" s="108"/>
      <c r="BH44" s="108"/>
      <c r="BI44" s="108"/>
      <c r="BJ44" s="108"/>
      <c r="BK44" s="99"/>
      <c r="BL44" s="100"/>
      <c r="BM44" s="100"/>
      <c r="BN44" s="100"/>
      <c r="BO44" s="100"/>
      <c r="BP44" s="101"/>
      <c r="BQ44" s="102"/>
      <c r="BR44" s="102"/>
      <c r="BS44" s="102"/>
      <c r="BT44" s="102"/>
      <c r="BU44" s="103"/>
      <c r="BV44" s="104"/>
      <c r="BW44" s="105"/>
      <c r="BX44" s="105"/>
      <c r="BY44" s="103"/>
      <c r="BZ44" s="106"/>
      <c r="CA44" s="107"/>
      <c r="CB44" s="107"/>
      <c r="CC44" s="64"/>
      <c r="CD44" s="107"/>
      <c r="CE44" s="103"/>
      <c r="CF44" s="103"/>
      <c r="CG44" s="105"/>
      <c r="CH44" s="115"/>
      <c r="CI44" s="103"/>
      <c r="CJ44" s="106"/>
      <c r="CK44" s="138" t="s">
        <v>860</v>
      </c>
      <c r="CL44" s="107"/>
      <c r="CM44" s="107"/>
      <c r="CN44" s="107"/>
      <c r="CO44" s="95" t="s">
        <v>861</v>
      </c>
      <c r="CP44" s="64"/>
      <c r="CQ44" s="108"/>
      <c r="CR44" s="108"/>
      <c r="CS44" s="80"/>
      <c r="CT44" s="99"/>
      <c r="CU44" s="100"/>
      <c r="CV44" s="100"/>
      <c r="CW44" s="220"/>
      <c r="CX44" s="100"/>
      <c r="CY44" s="101"/>
      <c r="CZ44" s="102"/>
      <c r="DA44" s="102"/>
      <c r="DB44" s="102"/>
      <c r="DC44" s="108"/>
      <c r="DD44" s="103"/>
      <c r="DE44" s="104"/>
      <c r="DF44" s="105"/>
      <c r="DG44" s="105"/>
      <c r="DH44" s="103"/>
      <c r="DI44" s="106"/>
      <c r="DJ44" s="107"/>
      <c r="DK44" s="107"/>
      <c r="DL44" s="107"/>
      <c r="DM44" s="107"/>
      <c r="DN44" s="109"/>
      <c r="DO44" s="108"/>
      <c r="DP44" s="108"/>
      <c r="DQ44" s="108"/>
      <c r="DR44" s="108"/>
      <c r="DS44" s="99"/>
      <c r="DT44" s="100"/>
      <c r="DU44" s="100"/>
      <c r="DV44" s="100"/>
      <c r="DW44" s="100"/>
      <c r="DX44" s="101"/>
      <c r="DY44" s="102"/>
      <c r="DZ44" s="102"/>
      <c r="EA44" s="102"/>
      <c r="EB44" s="102"/>
      <c r="EC44" s="103"/>
      <c r="ED44" s="104"/>
      <c r="EE44" s="105"/>
      <c r="EF44" s="105"/>
      <c r="EG44" s="103"/>
      <c r="EH44" s="106"/>
      <c r="EI44" s="107"/>
      <c r="EJ44" s="107"/>
      <c r="EK44" s="64"/>
      <c r="EL44" s="107"/>
    </row>
    <row r="45" spans="2:142" ht="45">
      <c r="B45" s="47" t="s">
        <v>864</v>
      </c>
      <c r="C45" s="48" t="s">
        <v>873</v>
      </c>
      <c r="D45" s="49" t="s">
        <v>1011</v>
      </c>
      <c r="E45" s="81" t="s">
        <v>1012</v>
      </c>
      <c r="F45" s="273">
        <v>45330</v>
      </c>
      <c r="G45" s="274">
        <v>45352</v>
      </c>
      <c r="H45" s="274">
        <v>45373</v>
      </c>
      <c r="I45" s="274">
        <v>45401</v>
      </c>
      <c r="J45" s="49" t="s">
        <v>33</v>
      </c>
      <c r="K45" s="49" t="s">
        <v>343</v>
      </c>
      <c r="L45" s="49" t="s">
        <v>1534</v>
      </c>
      <c r="M45" s="99"/>
      <c r="N45" s="100"/>
      <c r="O45" s="100"/>
      <c r="P45" s="100"/>
      <c r="Q45" s="100"/>
      <c r="R45" s="101"/>
      <c r="S45" s="102"/>
      <c r="T45" s="102"/>
      <c r="U45" s="102"/>
      <c r="V45" s="102"/>
      <c r="W45" s="103"/>
      <c r="X45" s="104"/>
      <c r="Y45" s="105"/>
      <c r="Z45" s="105"/>
      <c r="AA45" s="103"/>
      <c r="AB45" s="106"/>
      <c r="AC45" s="107"/>
      <c r="AD45" s="107"/>
      <c r="AE45" s="107"/>
      <c r="AF45" s="107"/>
      <c r="AG45" s="54"/>
      <c r="AH45" s="64"/>
      <c r="AI45" s="108"/>
      <c r="AJ45" s="108"/>
      <c r="AK45" s="80"/>
      <c r="AL45" s="99"/>
      <c r="AM45" s="100"/>
      <c r="AN45" s="100"/>
      <c r="AO45" s="100"/>
      <c r="AP45" s="100"/>
      <c r="AQ45" s="217"/>
      <c r="AR45" s="102"/>
      <c r="AS45" s="102"/>
      <c r="AT45" s="102"/>
      <c r="AU45" s="108"/>
      <c r="AV45" s="103"/>
      <c r="AW45" s="104"/>
      <c r="AX45" s="105"/>
      <c r="AY45" s="105"/>
      <c r="AZ45" s="103"/>
      <c r="BA45" s="106"/>
      <c r="BB45" s="107"/>
      <c r="BC45" s="107"/>
      <c r="BD45" s="107"/>
      <c r="BE45" s="107"/>
      <c r="BF45" s="109"/>
      <c r="BG45" s="108"/>
      <c r="BH45" s="108"/>
      <c r="BI45" s="108"/>
      <c r="BJ45" s="108"/>
      <c r="BK45" s="99"/>
      <c r="BL45" s="100"/>
      <c r="BM45" s="100"/>
      <c r="BN45" s="100"/>
      <c r="BO45" s="100"/>
      <c r="BP45" s="101"/>
      <c r="BQ45" s="102"/>
      <c r="BR45" s="102"/>
      <c r="BS45" s="102"/>
      <c r="BT45" s="102"/>
      <c r="BU45" s="103"/>
      <c r="BV45" s="104"/>
      <c r="BW45" s="105"/>
      <c r="BX45" s="105"/>
      <c r="BY45" s="103"/>
      <c r="BZ45" s="106"/>
      <c r="CA45" s="107"/>
      <c r="CB45" s="107"/>
      <c r="CC45" s="64"/>
      <c r="CD45" s="107"/>
      <c r="CE45" s="103"/>
      <c r="CF45" s="103"/>
      <c r="CG45" s="105"/>
      <c r="CH45" s="115"/>
      <c r="CI45" s="103"/>
      <c r="CJ45" s="106"/>
      <c r="CK45" s="138" t="s">
        <v>860</v>
      </c>
      <c r="CL45" s="107"/>
      <c r="CM45" s="107"/>
      <c r="CN45" s="107"/>
      <c r="CO45" s="95" t="s">
        <v>861</v>
      </c>
      <c r="CP45" s="64"/>
      <c r="CQ45" s="108"/>
      <c r="CR45" s="108"/>
      <c r="CS45" s="80"/>
      <c r="CT45" s="99"/>
      <c r="CU45" s="100"/>
      <c r="CV45" s="100"/>
      <c r="CW45" s="100"/>
      <c r="CX45" s="100"/>
      <c r="CY45" s="217"/>
      <c r="CZ45" s="102"/>
      <c r="DA45" s="102"/>
      <c r="DB45" s="102"/>
      <c r="DC45" s="108"/>
      <c r="DD45" s="103"/>
      <c r="DE45" s="104"/>
      <c r="DF45" s="105"/>
      <c r="DG45" s="105"/>
      <c r="DH45" s="103"/>
      <c r="DI45" s="106"/>
      <c r="DJ45" s="107"/>
      <c r="DK45" s="107"/>
      <c r="DL45" s="107"/>
      <c r="DM45" s="107"/>
      <c r="DN45" s="109"/>
      <c r="DO45" s="108"/>
      <c r="DP45" s="108"/>
      <c r="DQ45" s="108"/>
      <c r="DR45" s="108"/>
      <c r="DS45" s="99"/>
      <c r="DT45" s="100"/>
      <c r="DU45" s="100"/>
      <c r="DV45" s="100"/>
      <c r="DW45" s="100"/>
      <c r="DX45" s="101"/>
      <c r="DY45" s="102"/>
      <c r="DZ45" s="102"/>
      <c r="EA45" s="102"/>
      <c r="EB45" s="102"/>
      <c r="EC45" s="103"/>
      <c r="ED45" s="104"/>
      <c r="EE45" s="105"/>
      <c r="EF45" s="105"/>
      <c r="EG45" s="103"/>
      <c r="EH45" s="106"/>
      <c r="EI45" s="107"/>
      <c r="EJ45" s="107"/>
      <c r="EK45" s="64"/>
      <c r="EL45" s="107"/>
    </row>
    <row r="46" spans="2:142" ht="45">
      <c r="B46" s="47" t="s">
        <v>864</v>
      </c>
      <c r="C46" s="48" t="s">
        <v>865</v>
      </c>
      <c r="D46" s="49" t="s">
        <v>1013</v>
      </c>
      <c r="E46" s="81" t="s">
        <v>1014</v>
      </c>
      <c r="F46" s="273">
        <v>45330</v>
      </c>
      <c r="G46" s="274">
        <v>45352</v>
      </c>
      <c r="H46" s="274">
        <v>45373</v>
      </c>
      <c r="I46" s="274">
        <v>45401</v>
      </c>
      <c r="J46" s="49" t="s">
        <v>33</v>
      </c>
      <c r="K46" s="49" t="s">
        <v>343</v>
      </c>
      <c r="L46" s="49" t="s">
        <v>1534</v>
      </c>
      <c r="M46" s="99"/>
      <c r="N46" s="100"/>
      <c r="O46" s="100"/>
      <c r="P46" s="100"/>
      <c r="Q46" s="100"/>
      <c r="R46" s="101"/>
      <c r="S46" s="102"/>
      <c r="T46" s="102"/>
      <c r="U46" s="102"/>
      <c r="V46" s="102"/>
      <c r="W46" s="103"/>
      <c r="X46" s="104"/>
      <c r="Y46" s="105"/>
      <c r="Z46" s="105"/>
      <c r="AA46" s="103"/>
      <c r="AB46" s="106"/>
      <c r="AC46" s="107"/>
      <c r="AD46" s="107"/>
      <c r="AE46" s="107"/>
      <c r="AF46" s="107"/>
      <c r="AG46" s="54"/>
      <c r="AH46" s="64"/>
      <c r="AI46" s="108"/>
      <c r="AJ46" s="108"/>
      <c r="AK46" s="219"/>
      <c r="AL46" s="99"/>
      <c r="AM46" s="220"/>
      <c r="AN46" s="100"/>
      <c r="AO46" s="100"/>
      <c r="AP46" s="100"/>
      <c r="AQ46" s="101"/>
      <c r="AR46" s="102"/>
      <c r="AS46" s="102"/>
      <c r="AT46" s="102"/>
      <c r="AU46" s="108"/>
      <c r="AV46" s="103"/>
      <c r="AW46" s="104"/>
      <c r="AX46" s="105"/>
      <c r="AY46" s="105"/>
      <c r="AZ46" s="103"/>
      <c r="BA46" s="106"/>
      <c r="BB46" s="107"/>
      <c r="BC46" s="107"/>
      <c r="BD46" s="107"/>
      <c r="BE46" s="107"/>
      <c r="BF46" s="109"/>
      <c r="BG46" s="108"/>
      <c r="BH46" s="108"/>
      <c r="BI46" s="108"/>
      <c r="BJ46" s="108"/>
      <c r="BK46" s="99"/>
      <c r="BL46" s="100"/>
      <c r="BM46" s="100"/>
      <c r="BN46" s="100"/>
      <c r="BO46" s="100"/>
      <c r="BP46" s="101"/>
      <c r="BQ46" s="102"/>
      <c r="BR46" s="102"/>
      <c r="BS46" s="102"/>
      <c r="BT46" s="102"/>
      <c r="BU46" s="103"/>
      <c r="BV46" s="104"/>
      <c r="BW46" s="105"/>
      <c r="BX46" s="105"/>
      <c r="BY46" s="103"/>
      <c r="BZ46" s="106"/>
      <c r="CA46" s="107"/>
      <c r="CB46" s="107"/>
      <c r="CC46" s="64"/>
      <c r="CD46" s="107"/>
      <c r="CE46" s="103"/>
      <c r="CF46" s="103"/>
      <c r="CG46" s="105"/>
      <c r="CH46" s="115"/>
      <c r="CI46" s="103"/>
      <c r="CJ46" s="106"/>
      <c r="CK46" s="138" t="s">
        <v>860</v>
      </c>
      <c r="CL46" s="107"/>
      <c r="CM46" s="107"/>
      <c r="CN46" s="107"/>
      <c r="CO46" s="95" t="s">
        <v>861</v>
      </c>
      <c r="CP46" s="64"/>
      <c r="CQ46" s="108"/>
      <c r="CR46" s="108"/>
      <c r="CS46" s="80"/>
      <c r="CT46" s="99"/>
      <c r="CU46" s="220"/>
      <c r="CV46" s="100"/>
      <c r="CW46" s="100"/>
      <c r="CX46" s="100"/>
      <c r="CY46" s="101"/>
      <c r="CZ46" s="102"/>
      <c r="DA46" s="102"/>
      <c r="DB46" s="102"/>
      <c r="DC46" s="108"/>
      <c r="DD46" s="103"/>
      <c r="DE46" s="104"/>
      <c r="DF46" s="105"/>
      <c r="DG46" s="105"/>
      <c r="DH46" s="103"/>
      <c r="DI46" s="106"/>
      <c r="DJ46" s="107"/>
      <c r="DK46" s="107"/>
      <c r="DL46" s="107"/>
      <c r="DM46" s="107"/>
      <c r="DN46" s="109"/>
      <c r="DO46" s="108"/>
      <c r="DP46" s="108"/>
      <c r="DQ46" s="108"/>
      <c r="DR46" s="108"/>
      <c r="DS46" s="99"/>
      <c r="DT46" s="100"/>
      <c r="DU46" s="100"/>
      <c r="DV46" s="100"/>
      <c r="DW46" s="100"/>
      <c r="DX46" s="101"/>
      <c r="DY46" s="102"/>
      <c r="DZ46" s="102"/>
      <c r="EA46" s="102"/>
      <c r="EB46" s="102"/>
      <c r="EC46" s="103"/>
      <c r="ED46" s="104"/>
      <c r="EE46" s="105"/>
      <c r="EF46" s="105"/>
      <c r="EG46" s="103"/>
      <c r="EH46" s="106"/>
      <c r="EI46" s="107"/>
      <c r="EJ46" s="107"/>
      <c r="EK46" s="64"/>
      <c r="EL46" s="107"/>
    </row>
    <row r="47" spans="2:142" ht="45">
      <c r="B47" s="47" t="s">
        <v>864</v>
      </c>
      <c r="C47" s="48" t="s">
        <v>865</v>
      </c>
      <c r="D47" s="49" t="s">
        <v>1015</v>
      </c>
      <c r="E47" s="81" t="s">
        <v>1016</v>
      </c>
      <c r="F47" s="273">
        <v>45330</v>
      </c>
      <c r="G47" s="274">
        <v>45352</v>
      </c>
      <c r="H47" s="274">
        <v>45373</v>
      </c>
      <c r="I47" s="274">
        <v>45401</v>
      </c>
      <c r="J47" s="49" t="s">
        <v>33</v>
      </c>
      <c r="K47" s="49" t="s">
        <v>343</v>
      </c>
      <c r="L47" s="49" t="s">
        <v>1534</v>
      </c>
      <c r="M47" s="99"/>
      <c r="N47" s="100"/>
      <c r="O47" s="100"/>
      <c r="P47" s="100"/>
      <c r="Q47" s="100"/>
      <c r="R47" s="101"/>
      <c r="S47" s="102"/>
      <c r="T47" s="102"/>
      <c r="U47" s="102"/>
      <c r="V47" s="102"/>
      <c r="W47" s="103"/>
      <c r="X47" s="104"/>
      <c r="Y47" s="105"/>
      <c r="Z47" s="105"/>
      <c r="AA47" s="103"/>
      <c r="AB47" s="106"/>
      <c r="AC47" s="107"/>
      <c r="AD47" s="107"/>
      <c r="AE47" s="107"/>
      <c r="AF47" s="107"/>
      <c r="AG47" s="54"/>
      <c r="AH47" s="64"/>
      <c r="AI47" s="108"/>
      <c r="AJ47" s="108"/>
      <c r="AK47" s="219"/>
      <c r="AL47" s="99"/>
      <c r="AM47" s="100"/>
      <c r="AN47" s="100"/>
      <c r="AO47" s="220"/>
      <c r="AP47" s="100"/>
      <c r="AQ47" s="101"/>
      <c r="AR47" s="102"/>
      <c r="AS47" s="102"/>
      <c r="AT47" s="102"/>
      <c r="AU47" s="108"/>
      <c r="AV47" s="103"/>
      <c r="AW47" s="104"/>
      <c r="AX47" s="105"/>
      <c r="AY47" s="105"/>
      <c r="AZ47" s="103"/>
      <c r="BA47" s="106"/>
      <c r="BB47" s="107"/>
      <c r="BC47" s="107"/>
      <c r="BD47" s="107"/>
      <c r="BE47" s="107"/>
      <c r="BF47" s="109"/>
      <c r="BG47" s="108"/>
      <c r="BH47" s="108"/>
      <c r="BI47" s="108"/>
      <c r="BJ47" s="108"/>
      <c r="BK47" s="99"/>
      <c r="BL47" s="100"/>
      <c r="BM47" s="100"/>
      <c r="BN47" s="100"/>
      <c r="BO47" s="100"/>
      <c r="BP47" s="101"/>
      <c r="BQ47" s="102"/>
      <c r="BR47" s="102"/>
      <c r="BS47" s="102"/>
      <c r="BT47" s="102"/>
      <c r="BU47" s="103"/>
      <c r="BV47" s="104"/>
      <c r="BW47" s="105"/>
      <c r="BX47" s="105"/>
      <c r="BY47" s="103"/>
      <c r="BZ47" s="106"/>
      <c r="CA47" s="107"/>
      <c r="CB47" s="107"/>
      <c r="CC47" s="64"/>
      <c r="CD47" s="107"/>
      <c r="CE47" s="103"/>
      <c r="CF47" s="103"/>
      <c r="CG47" s="105"/>
      <c r="CH47" s="115"/>
      <c r="CI47" s="103"/>
      <c r="CJ47" s="106"/>
      <c r="CK47" s="138" t="s">
        <v>860</v>
      </c>
      <c r="CL47" s="107"/>
      <c r="CM47" s="107"/>
      <c r="CN47" s="107"/>
      <c r="CO47" s="95" t="s">
        <v>861</v>
      </c>
      <c r="CP47" s="64"/>
      <c r="CQ47" s="108"/>
      <c r="CR47" s="108"/>
      <c r="CS47" s="80"/>
      <c r="CT47" s="99"/>
      <c r="CU47" s="100"/>
      <c r="CV47" s="100"/>
      <c r="CW47" s="220"/>
      <c r="CX47" s="100"/>
      <c r="CY47" s="101"/>
      <c r="CZ47" s="102"/>
      <c r="DA47" s="102"/>
      <c r="DB47" s="102"/>
      <c r="DC47" s="108"/>
      <c r="DD47" s="103"/>
      <c r="DE47" s="104"/>
      <c r="DF47" s="105"/>
      <c r="DG47" s="105"/>
      <c r="DH47" s="103"/>
      <c r="DI47" s="106"/>
      <c r="DJ47" s="107"/>
      <c r="DK47" s="107"/>
      <c r="DL47" s="107"/>
      <c r="DM47" s="107"/>
      <c r="DN47" s="109"/>
      <c r="DO47" s="108"/>
      <c r="DP47" s="108"/>
      <c r="DQ47" s="108"/>
      <c r="DR47" s="108"/>
      <c r="DS47" s="99"/>
      <c r="DT47" s="100"/>
      <c r="DU47" s="100"/>
      <c r="DV47" s="100"/>
      <c r="DW47" s="100"/>
      <c r="DX47" s="101"/>
      <c r="DY47" s="102"/>
      <c r="DZ47" s="102"/>
      <c r="EA47" s="102"/>
      <c r="EB47" s="102"/>
      <c r="EC47" s="103"/>
      <c r="ED47" s="104"/>
      <c r="EE47" s="105"/>
      <c r="EF47" s="105"/>
      <c r="EG47" s="103"/>
      <c r="EH47" s="106"/>
      <c r="EI47" s="107"/>
      <c r="EJ47" s="107"/>
      <c r="EK47" s="64"/>
      <c r="EL47" s="107"/>
    </row>
    <row r="48" spans="2:142" ht="45">
      <c r="B48" s="47" t="s">
        <v>864</v>
      </c>
      <c r="C48" s="48" t="s">
        <v>865</v>
      </c>
      <c r="D48" s="49" t="s">
        <v>1017</v>
      </c>
      <c r="E48" s="81" t="s">
        <v>1018</v>
      </c>
      <c r="F48" s="273">
        <v>45330</v>
      </c>
      <c r="G48" s="274">
        <v>45352</v>
      </c>
      <c r="H48" s="274">
        <v>45373</v>
      </c>
      <c r="I48" s="274">
        <v>45401</v>
      </c>
      <c r="J48" s="49" t="s">
        <v>33</v>
      </c>
      <c r="K48" s="49" t="s">
        <v>343</v>
      </c>
      <c r="L48" s="49" t="s">
        <v>1534</v>
      </c>
      <c r="M48" s="99"/>
      <c r="N48" s="100"/>
      <c r="O48" s="100"/>
      <c r="P48" s="100"/>
      <c r="Q48" s="100"/>
      <c r="R48" s="101"/>
      <c r="S48" s="102"/>
      <c r="T48" s="102"/>
      <c r="U48" s="102"/>
      <c r="V48" s="102"/>
      <c r="W48" s="103"/>
      <c r="X48" s="104"/>
      <c r="Y48" s="105"/>
      <c r="Z48" s="105"/>
      <c r="AA48" s="103"/>
      <c r="AB48" s="106"/>
      <c r="AC48" s="107"/>
      <c r="AD48" s="107"/>
      <c r="AE48" s="107"/>
      <c r="AF48" s="107"/>
      <c r="AG48" s="54"/>
      <c r="AH48" s="64"/>
      <c r="AI48" s="108"/>
      <c r="AJ48" s="108"/>
      <c r="AK48" s="219"/>
      <c r="AL48" s="99"/>
      <c r="AM48" s="100"/>
      <c r="AN48" s="100"/>
      <c r="AO48" s="220"/>
      <c r="AP48" s="100"/>
      <c r="AQ48" s="101"/>
      <c r="AR48" s="102"/>
      <c r="AS48" s="102"/>
      <c r="AT48" s="102"/>
      <c r="AU48" s="108"/>
      <c r="AV48" s="103"/>
      <c r="AW48" s="104"/>
      <c r="AX48" s="105"/>
      <c r="AY48" s="105"/>
      <c r="AZ48" s="103"/>
      <c r="BA48" s="106"/>
      <c r="BB48" s="107"/>
      <c r="BC48" s="107"/>
      <c r="BD48" s="107"/>
      <c r="BE48" s="107"/>
      <c r="BF48" s="109"/>
      <c r="BG48" s="108"/>
      <c r="BH48" s="108"/>
      <c r="BI48" s="108"/>
      <c r="BJ48" s="108"/>
      <c r="BK48" s="99"/>
      <c r="BL48" s="100"/>
      <c r="BM48" s="100"/>
      <c r="BN48" s="100"/>
      <c r="BO48" s="100"/>
      <c r="BP48" s="101"/>
      <c r="BQ48" s="102"/>
      <c r="BR48" s="102"/>
      <c r="BS48" s="102"/>
      <c r="BT48" s="102"/>
      <c r="BU48" s="103"/>
      <c r="BV48" s="104"/>
      <c r="BW48" s="105"/>
      <c r="BX48" s="105"/>
      <c r="BY48" s="103"/>
      <c r="BZ48" s="106"/>
      <c r="CA48" s="107"/>
      <c r="CB48" s="107"/>
      <c r="CC48" s="64"/>
      <c r="CD48" s="107"/>
      <c r="CE48" s="103"/>
      <c r="CF48" s="103"/>
      <c r="CG48" s="105"/>
      <c r="CH48" s="115"/>
      <c r="CI48" s="103"/>
      <c r="CJ48" s="106"/>
      <c r="CK48" s="138" t="s">
        <v>860</v>
      </c>
      <c r="CL48" s="107"/>
      <c r="CM48" s="107"/>
      <c r="CN48" s="107"/>
      <c r="CO48" s="95" t="s">
        <v>861</v>
      </c>
      <c r="CP48" s="64"/>
      <c r="CQ48" s="108"/>
      <c r="CR48" s="108"/>
      <c r="CS48" s="80"/>
      <c r="CT48" s="99"/>
      <c r="CU48" s="100"/>
      <c r="CV48" s="100"/>
      <c r="CW48" s="220"/>
      <c r="CX48" s="100"/>
      <c r="CY48" s="101"/>
      <c r="CZ48" s="102"/>
      <c r="DA48" s="102"/>
      <c r="DB48" s="102"/>
      <c r="DC48" s="108"/>
      <c r="DD48" s="103"/>
      <c r="DE48" s="104"/>
      <c r="DF48" s="105"/>
      <c r="DG48" s="105"/>
      <c r="DH48" s="103"/>
      <c r="DI48" s="106"/>
      <c r="DJ48" s="107"/>
      <c r="DK48" s="107"/>
      <c r="DL48" s="107"/>
      <c r="DM48" s="107"/>
      <c r="DN48" s="109"/>
      <c r="DO48" s="108"/>
      <c r="DP48" s="108"/>
      <c r="DQ48" s="108"/>
      <c r="DR48" s="108"/>
      <c r="DS48" s="99"/>
      <c r="DT48" s="100"/>
      <c r="DU48" s="100"/>
      <c r="DV48" s="100"/>
      <c r="DW48" s="100"/>
      <c r="DX48" s="101"/>
      <c r="DY48" s="102"/>
      <c r="DZ48" s="102"/>
      <c r="EA48" s="102"/>
      <c r="EB48" s="102"/>
      <c r="EC48" s="103"/>
      <c r="ED48" s="104"/>
      <c r="EE48" s="105"/>
      <c r="EF48" s="105"/>
      <c r="EG48" s="103"/>
      <c r="EH48" s="106"/>
      <c r="EI48" s="107"/>
      <c r="EJ48" s="107"/>
      <c r="EK48" s="64"/>
      <c r="EL48" s="107"/>
    </row>
    <row r="49" spans="2:142" ht="45">
      <c r="B49" s="47" t="s">
        <v>864</v>
      </c>
      <c r="C49" s="48" t="s">
        <v>865</v>
      </c>
      <c r="D49" s="49" t="s">
        <v>1019</v>
      </c>
      <c r="E49" s="81" t="s">
        <v>1020</v>
      </c>
      <c r="F49" s="273">
        <v>45330</v>
      </c>
      <c r="G49" s="274">
        <v>45352</v>
      </c>
      <c r="H49" s="274">
        <v>45373</v>
      </c>
      <c r="I49" s="274">
        <v>45401</v>
      </c>
      <c r="J49" s="49" t="s">
        <v>33</v>
      </c>
      <c r="K49" s="49" t="s">
        <v>343</v>
      </c>
      <c r="L49" s="49" t="s">
        <v>1534</v>
      </c>
      <c r="M49" s="99"/>
      <c r="N49" s="100"/>
      <c r="O49" s="100"/>
      <c r="P49" s="100"/>
      <c r="Q49" s="100"/>
      <c r="R49" s="101"/>
      <c r="S49" s="102"/>
      <c r="T49" s="102"/>
      <c r="U49" s="102"/>
      <c r="V49" s="102"/>
      <c r="W49" s="103"/>
      <c r="X49" s="104"/>
      <c r="Y49" s="105"/>
      <c r="Z49" s="105"/>
      <c r="AA49" s="103"/>
      <c r="AB49" s="106"/>
      <c r="AC49" s="107"/>
      <c r="AD49" s="107"/>
      <c r="AE49" s="107"/>
      <c r="AF49" s="107"/>
      <c r="AG49" s="54"/>
      <c r="AH49" s="64"/>
      <c r="AI49" s="108"/>
      <c r="AJ49" s="108"/>
      <c r="AK49" s="219"/>
      <c r="AL49" s="99"/>
      <c r="AM49" s="100"/>
      <c r="AN49" s="100"/>
      <c r="AO49" s="220"/>
      <c r="AP49" s="100"/>
      <c r="AQ49" s="101"/>
      <c r="AR49" s="102"/>
      <c r="AS49" s="102"/>
      <c r="AT49" s="102"/>
      <c r="AU49" s="108"/>
      <c r="AV49" s="103"/>
      <c r="AW49" s="104"/>
      <c r="AX49" s="105"/>
      <c r="AY49" s="105"/>
      <c r="AZ49" s="103"/>
      <c r="BA49" s="106"/>
      <c r="BB49" s="107"/>
      <c r="BC49" s="107"/>
      <c r="BD49" s="107"/>
      <c r="BE49" s="107"/>
      <c r="BF49" s="109"/>
      <c r="BG49" s="108"/>
      <c r="BH49" s="108"/>
      <c r="BI49" s="108"/>
      <c r="BJ49" s="108"/>
      <c r="BK49" s="99"/>
      <c r="BL49" s="100"/>
      <c r="BM49" s="100"/>
      <c r="BN49" s="100"/>
      <c r="BO49" s="100"/>
      <c r="BP49" s="101"/>
      <c r="BQ49" s="102"/>
      <c r="BR49" s="102"/>
      <c r="BS49" s="102"/>
      <c r="BT49" s="102"/>
      <c r="BU49" s="103"/>
      <c r="BV49" s="104"/>
      <c r="BW49" s="105"/>
      <c r="BX49" s="105"/>
      <c r="BY49" s="103"/>
      <c r="BZ49" s="106"/>
      <c r="CA49" s="107"/>
      <c r="CB49" s="107"/>
      <c r="CC49" s="64"/>
      <c r="CD49" s="107"/>
      <c r="CE49" s="103"/>
      <c r="CF49" s="103"/>
      <c r="CG49" s="105"/>
      <c r="CH49" s="115"/>
      <c r="CI49" s="103"/>
      <c r="CJ49" s="106"/>
      <c r="CK49" s="138" t="s">
        <v>860</v>
      </c>
      <c r="CL49" s="107"/>
      <c r="CM49" s="107"/>
      <c r="CN49" s="107"/>
      <c r="CO49" s="95" t="s">
        <v>861</v>
      </c>
      <c r="CP49" s="64"/>
      <c r="CQ49" s="108"/>
      <c r="CR49" s="108"/>
      <c r="CS49" s="80"/>
      <c r="CT49" s="99"/>
      <c r="CU49" s="100"/>
      <c r="CV49" s="100"/>
      <c r="CW49" s="220"/>
      <c r="CX49" s="100"/>
      <c r="CY49" s="101"/>
      <c r="CZ49" s="102"/>
      <c r="DA49" s="102"/>
      <c r="DB49" s="102"/>
      <c r="DC49" s="108"/>
      <c r="DD49" s="103"/>
      <c r="DE49" s="104"/>
      <c r="DF49" s="105"/>
      <c r="DG49" s="105"/>
      <c r="DH49" s="103"/>
      <c r="DI49" s="106"/>
      <c r="DJ49" s="107"/>
      <c r="DK49" s="107"/>
      <c r="DL49" s="107"/>
      <c r="DM49" s="107"/>
      <c r="DN49" s="109"/>
      <c r="DO49" s="108"/>
      <c r="DP49" s="108"/>
      <c r="DQ49" s="108"/>
      <c r="DR49" s="108"/>
      <c r="DS49" s="99"/>
      <c r="DT49" s="100"/>
      <c r="DU49" s="100"/>
      <c r="DV49" s="100"/>
      <c r="DW49" s="100"/>
      <c r="DX49" s="101"/>
      <c r="DY49" s="102"/>
      <c r="DZ49" s="102"/>
      <c r="EA49" s="102"/>
      <c r="EB49" s="102"/>
      <c r="EC49" s="103"/>
      <c r="ED49" s="104"/>
      <c r="EE49" s="105"/>
      <c r="EF49" s="105"/>
      <c r="EG49" s="103"/>
      <c r="EH49" s="106"/>
      <c r="EI49" s="107"/>
      <c r="EJ49" s="107"/>
      <c r="EK49" s="64"/>
      <c r="EL49" s="107"/>
    </row>
    <row r="50" spans="2:142" ht="45">
      <c r="B50" s="47" t="s">
        <v>864</v>
      </c>
      <c r="C50" s="48" t="s">
        <v>873</v>
      </c>
      <c r="D50" s="49" t="s">
        <v>1021</v>
      </c>
      <c r="E50" s="81" t="s">
        <v>1022</v>
      </c>
      <c r="F50" s="273">
        <v>45330</v>
      </c>
      <c r="G50" s="274">
        <v>45352</v>
      </c>
      <c r="H50" s="274">
        <v>45373</v>
      </c>
      <c r="I50" s="274">
        <v>45401</v>
      </c>
      <c r="J50" s="49" t="s">
        <v>33</v>
      </c>
      <c r="K50" s="49" t="s">
        <v>343</v>
      </c>
      <c r="L50" s="49" t="s">
        <v>1534</v>
      </c>
      <c r="M50" s="99"/>
      <c r="N50" s="100"/>
      <c r="O50" s="100"/>
      <c r="P50" s="100"/>
      <c r="Q50" s="100"/>
      <c r="R50" s="101"/>
      <c r="S50" s="102"/>
      <c r="T50" s="102"/>
      <c r="U50" s="102"/>
      <c r="V50" s="102"/>
      <c r="W50" s="103"/>
      <c r="X50" s="104"/>
      <c r="Y50" s="105"/>
      <c r="Z50" s="105"/>
      <c r="AA50" s="103"/>
      <c r="AB50" s="106"/>
      <c r="AC50" s="107"/>
      <c r="AD50" s="107"/>
      <c r="AE50" s="107"/>
      <c r="AF50" s="107"/>
      <c r="AG50" s="54"/>
      <c r="AH50" s="64"/>
      <c r="AI50" s="108"/>
      <c r="AJ50" s="108"/>
      <c r="AK50" s="80"/>
      <c r="AL50" s="99"/>
      <c r="AM50" s="100"/>
      <c r="AN50" s="100"/>
      <c r="AO50" s="100"/>
      <c r="AP50" s="100"/>
      <c r="AQ50" s="217"/>
      <c r="AR50" s="102"/>
      <c r="AS50" s="102"/>
      <c r="AT50" s="102"/>
      <c r="AU50" s="108"/>
      <c r="AV50" s="103"/>
      <c r="AW50" s="104"/>
      <c r="AX50" s="105"/>
      <c r="AY50" s="105"/>
      <c r="AZ50" s="103"/>
      <c r="BA50" s="106"/>
      <c r="BB50" s="107"/>
      <c r="BC50" s="107"/>
      <c r="BD50" s="107"/>
      <c r="BE50" s="107"/>
      <c r="BF50" s="109"/>
      <c r="BG50" s="108"/>
      <c r="BH50" s="108"/>
      <c r="BI50" s="108"/>
      <c r="BJ50" s="108"/>
      <c r="BK50" s="99"/>
      <c r="BL50" s="100"/>
      <c r="BM50" s="100"/>
      <c r="BN50" s="100"/>
      <c r="BO50" s="100"/>
      <c r="BP50" s="101"/>
      <c r="BQ50" s="102"/>
      <c r="BR50" s="102"/>
      <c r="BS50" s="102"/>
      <c r="BT50" s="102"/>
      <c r="BU50" s="103"/>
      <c r="BV50" s="104"/>
      <c r="BW50" s="105"/>
      <c r="BX50" s="105"/>
      <c r="BY50" s="103"/>
      <c r="BZ50" s="106"/>
      <c r="CA50" s="107"/>
      <c r="CB50" s="107"/>
      <c r="CC50" s="64"/>
      <c r="CD50" s="107"/>
      <c r="CE50" s="103"/>
      <c r="CF50" s="103"/>
      <c r="CG50" s="105"/>
      <c r="CH50" s="115"/>
      <c r="CI50" s="103"/>
      <c r="CJ50" s="106"/>
      <c r="CK50" s="138" t="s">
        <v>860</v>
      </c>
      <c r="CL50" s="107"/>
      <c r="CM50" s="107"/>
      <c r="CN50" s="107"/>
      <c r="CO50" s="224" t="s">
        <v>861</v>
      </c>
      <c r="CP50" s="64"/>
      <c r="CQ50" s="108"/>
      <c r="CR50" s="108"/>
      <c r="CS50" s="80"/>
      <c r="CT50" s="99"/>
      <c r="CU50" s="100"/>
      <c r="CV50" s="100"/>
      <c r="CW50" s="100"/>
      <c r="CX50" s="100"/>
      <c r="CY50" s="217"/>
      <c r="CZ50" s="102"/>
      <c r="DA50" s="102"/>
      <c r="DB50" s="102"/>
      <c r="DC50" s="108"/>
      <c r="DD50" s="103"/>
      <c r="DE50" s="104"/>
      <c r="DF50" s="105"/>
      <c r="DG50" s="105"/>
      <c r="DH50" s="103"/>
      <c r="DI50" s="106"/>
      <c r="DJ50" s="107"/>
      <c r="DK50" s="107"/>
      <c r="DL50" s="107"/>
      <c r="DM50" s="107"/>
      <c r="DN50" s="109"/>
      <c r="DO50" s="108"/>
      <c r="DP50" s="108"/>
      <c r="DQ50" s="108"/>
      <c r="DR50" s="108"/>
      <c r="DS50" s="99"/>
      <c r="DT50" s="100"/>
      <c r="DU50" s="100"/>
      <c r="DV50" s="100"/>
      <c r="DW50" s="100"/>
      <c r="DX50" s="101"/>
      <c r="DY50" s="102"/>
      <c r="DZ50" s="102"/>
      <c r="EA50" s="102"/>
      <c r="EB50" s="102"/>
      <c r="EC50" s="103"/>
      <c r="ED50" s="104"/>
      <c r="EE50" s="105"/>
      <c r="EF50" s="105"/>
      <c r="EG50" s="103"/>
      <c r="EH50" s="106"/>
      <c r="EI50" s="107"/>
      <c r="EJ50" s="107"/>
      <c r="EK50" s="64"/>
      <c r="EL50" s="107"/>
    </row>
    <row r="51" spans="2:142" ht="45">
      <c r="B51" s="47" t="s">
        <v>864</v>
      </c>
      <c r="C51" s="48" t="s">
        <v>873</v>
      </c>
      <c r="D51" s="49" t="s">
        <v>1023</v>
      </c>
      <c r="E51" s="81" t="s">
        <v>1024</v>
      </c>
      <c r="F51" s="273">
        <v>45330</v>
      </c>
      <c r="G51" s="274">
        <v>45352</v>
      </c>
      <c r="H51" s="274">
        <v>45373</v>
      </c>
      <c r="I51" s="274">
        <v>45401</v>
      </c>
      <c r="J51" s="49" t="s">
        <v>33</v>
      </c>
      <c r="K51" s="49" t="s">
        <v>343</v>
      </c>
      <c r="L51" s="49" t="s">
        <v>1534</v>
      </c>
      <c r="M51" s="99"/>
      <c r="N51" s="100"/>
      <c r="O51" s="100"/>
      <c r="P51" s="100"/>
      <c r="Q51" s="100"/>
      <c r="R51" s="101"/>
      <c r="S51" s="102"/>
      <c r="T51" s="102"/>
      <c r="U51" s="102"/>
      <c r="V51" s="102"/>
      <c r="W51" s="103"/>
      <c r="X51" s="104"/>
      <c r="Y51" s="105"/>
      <c r="Z51" s="105"/>
      <c r="AA51" s="103"/>
      <c r="AB51" s="106"/>
      <c r="AC51" s="107"/>
      <c r="AD51" s="107"/>
      <c r="AE51" s="107"/>
      <c r="AF51" s="107"/>
      <c r="AG51" s="54"/>
      <c r="AH51" s="64"/>
      <c r="AI51" s="108"/>
      <c r="AJ51" s="108"/>
      <c r="AK51" s="80"/>
      <c r="AL51" s="99"/>
      <c r="AM51" s="100"/>
      <c r="AN51" s="100"/>
      <c r="AO51" s="100"/>
      <c r="AP51" s="100"/>
      <c r="AQ51" s="217"/>
      <c r="AR51" s="102"/>
      <c r="AS51" s="102"/>
      <c r="AT51" s="102"/>
      <c r="AU51" s="108"/>
      <c r="AV51" s="103"/>
      <c r="AW51" s="104"/>
      <c r="AX51" s="105"/>
      <c r="AY51" s="105"/>
      <c r="AZ51" s="103"/>
      <c r="BA51" s="106"/>
      <c r="BB51" s="107"/>
      <c r="BC51" s="107"/>
      <c r="BD51" s="107"/>
      <c r="BE51" s="107"/>
      <c r="BF51" s="109"/>
      <c r="BG51" s="108"/>
      <c r="BH51" s="108"/>
      <c r="BI51" s="108"/>
      <c r="BJ51" s="108"/>
      <c r="BK51" s="99"/>
      <c r="BL51" s="100"/>
      <c r="BM51" s="100"/>
      <c r="BN51" s="100"/>
      <c r="BO51" s="100"/>
      <c r="BP51" s="101"/>
      <c r="BQ51" s="102"/>
      <c r="BR51" s="102"/>
      <c r="BS51" s="102"/>
      <c r="BT51" s="102"/>
      <c r="BU51" s="103"/>
      <c r="BV51" s="104"/>
      <c r="BW51" s="105"/>
      <c r="BX51" s="105"/>
      <c r="BY51" s="103"/>
      <c r="BZ51" s="106"/>
      <c r="CA51" s="107"/>
      <c r="CB51" s="107"/>
      <c r="CC51" s="64"/>
      <c r="CD51" s="107"/>
      <c r="CE51" s="103"/>
      <c r="CF51" s="103"/>
      <c r="CG51" s="105"/>
      <c r="CH51" s="115"/>
      <c r="CI51" s="103"/>
      <c r="CJ51" s="106"/>
      <c r="CK51" s="138" t="s">
        <v>860</v>
      </c>
      <c r="CL51" s="107"/>
      <c r="CM51" s="107"/>
      <c r="CN51" s="107"/>
      <c r="CO51" s="224" t="s">
        <v>861</v>
      </c>
      <c r="CP51" s="64"/>
      <c r="CQ51" s="108"/>
      <c r="CR51" s="108"/>
      <c r="CS51" s="80"/>
      <c r="CT51" s="99"/>
      <c r="CU51" s="100"/>
      <c r="CV51" s="100"/>
      <c r="CW51" s="100"/>
      <c r="CX51" s="100"/>
      <c r="CY51" s="217"/>
      <c r="CZ51" s="102"/>
      <c r="DA51" s="102"/>
      <c r="DB51" s="102"/>
      <c r="DC51" s="108"/>
      <c r="DD51" s="103"/>
      <c r="DE51" s="104"/>
      <c r="DF51" s="105"/>
      <c r="DG51" s="105"/>
      <c r="DH51" s="103"/>
      <c r="DI51" s="106"/>
      <c r="DJ51" s="107"/>
      <c r="DK51" s="107"/>
      <c r="DL51" s="107"/>
      <c r="DM51" s="107"/>
      <c r="DN51" s="109"/>
      <c r="DO51" s="108"/>
      <c r="DP51" s="108"/>
      <c r="DQ51" s="108"/>
      <c r="DR51" s="108"/>
      <c r="DS51" s="99"/>
      <c r="DT51" s="100"/>
      <c r="DU51" s="100"/>
      <c r="DV51" s="100"/>
      <c r="DW51" s="100"/>
      <c r="DX51" s="101"/>
      <c r="DY51" s="102"/>
      <c r="DZ51" s="102"/>
      <c r="EA51" s="102"/>
      <c r="EB51" s="102"/>
      <c r="EC51" s="103"/>
      <c r="ED51" s="104"/>
      <c r="EE51" s="105"/>
      <c r="EF51" s="105"/>
      <c r="EG51" s="103"/>
      <c r="EH51" s="106"/>
      <c r="EI51" s="107"/>
      <c r="EJ51" s="107"/>
      <c r="EK51" s="64"/>
      <c r="EL51" s="107"/>
    </row>
    <row r="52" spans="2:142" ht="45">
      <c r="B52" s="110" t="s">
        <v>864</v>
      </c>
      <c r="C52" s="48" t="s">
        <v>900</v>
      </c>
      <c r="D52" s="112" t="s">
        <v>1003</v>
      </c>
      <c r="E52" s="113" t="s">
        <v>1004</v>
      </c>
      <c r="F52" s="275">
        <v>45338</v>
      </c>
      <c r="G52" s="276">
        <v>45352</v>
      </c>
      <c r="H52" s="276">
        <v>45373</v>
      </c>
      <c r="I52" s="276">
        <v>45408</v>
      </c>
      <c r="J52" s="49" t="s">
        <v>33</v>
      </c>
      <c r="K52" s="49" t="s">
        <v>343</v>
      </c>
      <c r="L52" s="49" t="s">
        <v>1534</v>
      </c>
      <c r="M52" s="99"/>
      <c r="N52" s="100"/>
      <c r="O52" s="100"/>
      <c r="P52" s="100"/>
      <c r="Q52" s="100"/>
      <c r="R52" s="101"/>
      <c r="S52" s="102"/>
      <c r="T52" s="102"/>
      <c r="U52" s="102"/>
      <c r="V52" s="102"/>
      <c r="W52" s="103"/>
      <c r="X52" s="104"/>
      <c r="Y52" s="105"/>
      <c r="Z52" s="105"/>
      <c r="AA52" s="103"/>
      <c r="AB52" s="106"/>
      <c r="AC52" s="107"/>
      <c r="AD52" s="107"/>
      <c r="AE52" s="107"/>
      <c r="AF52" s="107"/>
      <c r="AG52" s="54"/>
      <c r="AH52" s="64"/>
      <c r="AI52" s="108"/>
      <c r="AJ52" s="108"/>
      <c r="AK52" s="80"/>
      <c r="AL52" s="99"/>
      <c r="AM52" s="100"/>
      <c r="AN52" s="100"/>
      <c r="AO52" s="100"/>
      <c r="AP52" s="100"/>
      <c r="AQ52" s="101"/>
      <c r="AR52" s="102"/>
      <c r="AS52" s="102"/>
      <c r="AT52" s="102"/>
      <c r="AU52" s="108"/>
      <c r="AV52" s="103"/>
      <c r="AW52" s="104"/>
      <c r="AX52" s="105"/>
      <c r="AY52" s="105"/>
      <c r="AZ52" s="103"/>
      <c r="BA52" s="106"/>
      <c r="BB52" s="107"/>
      <c r="BC52" s="107"/>
      <c r="BD52" s="107"/>
      <c r="BE52" s="107"/>
      <c r="BF52" s="109"/>
      <c r="BG52" s="108"/>
      <c r="BH52" s="108"/>
      <c r="BI52" s="108"/>
      <c r="BJ52" s="108"/>
      <c r="BK52" s="99"/>
      <c r="BL52" s="100"/>
      <c r="BM52" s="100"/>
      <c r="BN52" s="100"/>
      <c r="BO52" s="100"/>
      <c r="BP52" s="101"/>
      <c r="BQ52" s="102"/>
      <c r="BR52" s="102"/>
      <c r="BS52" s="102"/>
      <c r="BT52" s="102"/>
      <c r="BU52" s="103"/>
      <c r="BV52" s="104"/>
      <c r="BW52" s="105"/>
      <c r="BX52" s="105"/>
      <c r="BY52" s="103"/>
      <c r="BZ52" s="106"/>
      <c r="CA52" s="107"/>
      <c r="CB52" s="107"/>
      <c r="CC52" s="64"/>
      <c r="CD52" s="107"/>
      <c r="CE52" s="103"/>
      <c r="CF52" s="103"/>
      <c r="CG52" s="105"/>
      <c r="CH52" s="115"/>
      <c r="CI52" s="103"/>
      <c r="CJ52" s="106"/>
      <c r="CK52" s="61"/>
      <c r="CL52" s="223" t="s">
        <v>860</v>
      </c>
      <c r="CM52" s="107"/>
      <c r="CN52" s="107"/>
      <c r="CO52" s="224" t="s">
        <v>861</v>
      </c>
      <c r="CP52" s="64"/>
      <c r="CQ52" s="108"/>
      <c r="CR52" s="108"/>
      <c r="CS52" s="80"/>
      <c r="CT52" s="99"/>
      <c r="CU52" s="100"/>
      <c r="CV52" s="100"/>
      <c r="CW52" s="100"/>
      <c r="CX52" s="100"/>
      <c r="CY52" s="101"/>
      <c r="CZ52" s="102"/>
      <c r="DA52" s="102"/>
      <c r="DB52" s="102"/>
      <c r="DC52" s="108"/>
      <c r="DD52" s="103"/>
      <c r="DE52" s="104"/>
      <c r="DF52" s="105"/>
      <c r="DG52" s="105"/>
      <c r="DH52" s="103"/>
      <c r="DI52" s="106"/>
      <c r="DJ52" s="107"/>
      <c r="DK52" s="107"/>
      <c r="DL52" s="107"/>
      <c r="DM52" s="107"/>
      <c r="DN52" s="109"/>
      <c r="DO52" s="108"/>
      <c r="DP52" s="108"/>
      <c r="DQ52" s="108"/>
      <c r="DR52" s="108"/>
      <c r="DS52" s="99"/>
      <c r="DT52" s="100"/>
      <c r="DU52" s="100"/>
      <c r="DV52" s="100"/>
      <c r="DW52" s="100"/>
      <c r="DX52" s="101"/>
      <c r="DY52" s="102"/>
      <c r="DZ52" s="102"/>
      <c r="EA52" s="102"/>
      <c r="EB52" s="102"/>
      <c r="EC52" s="103"/>
      <c r="ED52" s="104"/>
      <c r="EE52" s="105"/>
      <c r="EF52" s="105"/>
      <c r="EG52" s="103"/>
      <c r="EH52" s="106"/>
      <c r="EI52" s="107"/>
      <c r="EJ52" s="107"/>
      <c r="EK52" s="64"/>
      <c r="EL52" s="107"/>
    </row>
    <row r="53" spans="2:142" ht="45">
      <c r="B53" s="47" t="s">
        <v>864</v>
      </c>
      <c r="C53" s="48" t="s">
        <v>900</v>
      </c>
      <c r="D53" s="49" t="s">
        <v>1005</v>
      </c>
      <c r="E53" s="81" t="s">
        <v>1006</v>
      </c>
      <c r="F53" s="273">
        <v>45338</v>
      </c>
      <c r="G53" s="274">
        <v>45352</v>
      </c>
      <c r="H53" s="274">
        <v>45373</v>
      </c>
      <c r="I53" s="274">
        <v>45408</v>
      </c>
      <c r="J53" s="49" t="s">
        <v>33</v>
      </c>
      <c r="K53" s="49" t="s">
        <v>343</v>
      </c>
      <c r="L53" s="49" t="s">
        <v>1534</v>
      </c>
      <c r="M53" s="99"/>
      <c r="N53" s="100"/>
      <c r="O53" s="100"/>
      <c r="P53" s="100"/>
      <c r="Q53" s="100"/>
      <c r="R53" s="101"/>
      <c r="S53" s="102"/>
      <c r="T53" s="102"/>
      <c r="U53" s="102"/>
      <c r="V53" s="102"/>
      <c r="W53" s="103"/>
      <c r="X53" s="104"/>
      <c r="Y53" s="105"/>
      <c r="Z53" s="105"/>
      <c r="AA53" s="103"/>
      <c r="AB53" s="106"/>
      <c r="AC53" s="107"/>
      <c r="AD53" s="107"/>
      <c r="AE53" s="107"/>
      <c r="AF53" s="107"/>
      <c r="AG53" s="54"/>
      <c r="AH53" s="64"/>
      <c r="AI53" s="108"/>
      <c r="AJ53" s="108"/>
      <c r="AK53" s="80"/>
      <c r="AL53" s="99"/>
      <c r="AM53" s="100"/>
      <c r="AN53" s="100"/>
      <c r="AO53" s="100"/>
      <c r="AP53" s="100"/>
      <c r="AQ53" s="101"/>
      <c r="AR53" s="102"/>
      <c r="AS53" s="102"/>
      <c r="AT53" s="102"/>
      <c r="AU53" s="108"/>
      <c r="AV53" s="103"/>
      <c r="AW53" s="104"/>
      <c r="AX53" s="105"/>
      <c r="AY53" s="105"/>
      <c r="AZ53" s="103"/>
      <c r="BA53" s="106"/>
      <c r="BB53" s="107"/>
      <c r="BC53" s="107"/>
      <c r="BD53" s="107"/>
      <c r="BE53" s="107"/>
      <c r="BF53" s="109"/>
      <c r="BG53" s="108"/>
      <c r="BH53" s="108"/>
      <c r="BI53" s="108"/>
      <c r="BJ53" s="108"/>
      <c r="BK53" s="99"/>
      <c r="BL53" s="100"/>
      <c r="BM53" s="100"/>
      <c r="BN53" s="100"/>
      <c r="BO53" s="61"/>
      <c r="BP53" s="101"/>
      <c r="BQ53" s="102"/>
      <c r="BR53" s="64"/>
      <c r="BS53" s="102"/>
      <c r="BT53" s="102"/>
      <c r="BU53" s="103"/>
      <c r="BV53" s="104"/>
      <c r="BW53" s="105"/>
      <c r="BX53" s="105"/>
      <c r="BY53" s="103"/>
      <c r="BZ53" s="106"/>
      <c r="CA53" s="107"/>
      <c r="CB53" s="107"/>
      <c r="CC53" s="64"/>
      <c r="CD53" s="107"/>
      <c r="CE53" s="103"/>
      <c r="CF53" s="103"/>
      <c r="CG53" s="105"/>
      <c r="CH53" s="115"/>
      <c r="CI53" s="61"/>
      <c r="CJ53" s="106"/>
      <c r="CK53" s="106"/>
      <c r="CL53" s="223" t="s">
        <v>860</v>
      </c>
      <c r="CM53" s="107"/>
      <c r="CN53" s="107"/>
      <c r="CO53" s="224" t="s">
        <v>861</v>
      </c>
      <c r="CP53" s="64"/>
      <c r="CQ53" s="64"/>
      <c r="CR53" s="108"/>
      <c r="CS53" s="80"/>
      <c r="CT53" s="99"/>
      <c r="CU53" s="100"/>
      <c r="CV53" s="100"/>
      <c r="CW53" s="100"/>
      <c r="CX53" s="107"/>
      <c r="CY53" s="101"/>
      <c r="CZ53" s="102"/>
      <c r="DA53" s="108"/>
      <c r="DB53" s="102"/>
      <c r="DC53" s="108"/>
      <c r="DD53" s="103"/>
      <c r="DE53" s="104"/>
      <c r="DF53" s="105"/>
      <c r="DG53" s="105"/>
      <c r="DH53" s="103"/>
      <c r="DI53" s="106"/>
      <c r="DJ53" s="107"/>
      <c r="DK53" s="107"/>
      <c r="DL53" s="107"/>
      <c r="DM53" s="107"/>
      <c r="DN53" s="109"/>
      <c r="DO53" s="108"/>
      <c r="DP53" s="108"/>
      <c r="DQ53" s="108"/>
      <c r="DR53" s="108"/>
      <c r="DS53" s="99"/>
      <c r="DT53" s="100"/>
      <c r="DU53" s="100"/>
      <c r="DV53" s="100"/>
      <c r="DW53" s="100"/>
      <c r="DX53" s="101"/>
      <c r="DY53" s="102"/>
      <c r="DZ53" s="102"/>
      <c r="EA53" s="102"/>
      <c r="EB53" s="102"/>
      <c r="EC53" s="103"/>
      <c r="ED53" s="104"/>
      <c r="EE53" s="105"/>
      <c r="EF53" s="105"/>
      <c r="EG53" s="103"/>
      <c r="EH53" s="106"/>
      <c r="EI53" s="107"/>
      <c r="EJ53" s="107"/>
      <c r="EK53" s="64"/>
      <c r="EL53" s="107"/>
    </row>
    <row r="54" spans="2:142" ht="45">
      <c r="B54" s="47" t="s">
        <v>899</v>
      </c>
      <c r="C54" s="48" t="s">
        <v>880</v>
      </c>
      <c r="D54" s="49" t="s">
        <v>1031</v>
      </c>
      <c r="E54" s="81" t="s">
        <v>1032</v>
      </c>
      <c r="F54" s="273" t="s">
        <v>1536</v>
      </c>
      <c r="G54" s="274">
        <v>45376</v>
      </c>
      <c r="H54" s="274">
        <v>45392</v>
      </c>
      <c r="I54" s="274">
        <v>45412</v>
      </c>
      <c r="J54" s="49" t="s">
        <v>33</v>
      </c>
      <c r="K54" s="49" t="s">
        <v>362</v>
      </c>
      <c r="L54" s="49" t="s">
        <v>1537</v>
      </c>
      <c r="CC54" s="80"/>
      <c r="CD54" s="80"/>
      <c r="CE54" s="80"/>
      <c r="CF54" s="80"/>
      <c r="CI54" s="263"/>
      <c r="CK54" s="263"/>
      <c r="CM54" s="244"/>
      <c r="CN54" s="245"/>
      <c r="CO54" s="245"/>
      <c r="CQ54" s="246"/>
      <c r="CS54" s="55" t="s">
        <v>861</v>
      </c>
    </row>
    <row r="55" spans="2:142" ht="45">
      <c r="B55" s="47" t="s">
        <v>864</v>
      </c>
      <c r="C55" s="48" t="s">
        <v>900</v>
      </c>
      <c r="D55" s="49" t="s">
        <v>1029</v>
      </c>
      <c r="E55" s="81" t="s">
        <v>1030</v>
      </c>
      <c r="F55" s="273">
        <v>45405</v>
      </c>
      <c r="G55" s="274">
        <v>45422</v>
      </c>
      <c r="H55" s="274">
        <v>45446</v>
      </c>
      <c r="I55" s="274">
        <v>45488</v>
      </c>
      <c r="J55" s="49" t="s">
        <v>33</v>
      </c>
      <c r="K55" s="49" t="s">
        <v>369</v>
      </c>
      <c r="L55" s="49" t="s">
        <v>1447</v>
      </c>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219"/>
      <c r="BI55" s="80"/>
      <c r="BJ55" s="80"/>
      <c r="BK55" s="80"/>
      <c r="BL55" s="80"/>
      <c r="BM55" s="80"/>
      <c r="BN55" s="80"/>
      <c r="BO55" s="80"/>
      <c r="BP55" s="80"/>
      <c r="BQ55" s="80"/>
      <c r="BR55" s="80"/>
      <c r="BS55" s="80"/>
      <c r="BT55" s="80"/>
      <c r="BU55" s="80"/>
      <c r="BV55" s="80"/>
      <c r="BW55" s="80"/>
      <c r="BX55" s="80"/>
      <c r="BY55" s="80"/>
      <c r="BZ55" s="80"/>
      <c r="CA55" s="80"/>
      <c r="CB55" s="80"/>
      <c r="CC55" s="80"/>
      <c r="CD55" s="80"/>
      <c r="CE55" s="80"/>
      <c r="CF55" s="80"/>
      <c r="CG55" s="80"/>
      <c r="CI55" s="80"/>
      <c r="CJ55" s="80"/>
      <c r="CK55" s="80"/>
      <c r="CL55" s="80"/>
      <c r="CM55" s="80"/>
      <c r="CN55" s="80"/>
      <c r="CO55" s="80"/>
      <c r="CP55" s="80"/>
      <c r="CQ55" s="80"/>
      <c r="CR55" s="80"/>
      <c r="CS55" s="80"/>
      <c r="CT55" s="80"/>
      <c r="CU55" s="80"/>
      <c r="CV55" s="80"/>
      <c r="CW55" s="137" t="s">
        <v>860</v>
      </c>
      <c r="CX55" s="80"/>
      <c r="CY55" s="80"/>
      <c r="CZ55" s="55" t="s">
        <v>861</v>
      </c>
      <c r="DA55" s="80"/>
      <c r="DB55" s="80"/>
      <c r="DC55" s="80"/>
      <c r="DD55" s="80"/>
      <c r="DE55" s="80"/>
      <c r="DF55" s="80"/>
      <c r="DG55" s="80"/>
      <c r="DH55" s="80"/>
      <c r="DI55" s="80"/>
      <c r="DJ55" s="80"/>
      <c r="DK55" s="80"/>
      <c r="DL55" s="80"/>
      <c r="DM55" s="80"/>
      <c r="DN55" s="80"/>
      <c r="DO55" s="80"/>
      <c r="DP55" s="219"/>
      <c r="DQ55" s="80"/>
      <c r="DR55" s="80"/>
      <c r="DS55" s="80"/>
      <c r="DT55" s="80"/>
      <c r="DU55" s="80"/>
      <c r="DV55" s="80"/>
      <c r="DW55" s="80"/>
      <c r="DX55" s="80"/>
      <c r="DY55" s="80"/>
      <c r="DZ55" s="80"/>
      <c r="EA55" s="80"/>
      <c r="EB55" s="80"/>
      <c r="EC55" s="80"/>
      <c r="ED55" s="80"/>
      <c r="EE55" s="80"/>
      <c r="EF55" s="80"/>
      <c r="EG55" s="80"/>
      <c r="EH55" s="80"/>
      <c r="EI55" s="80"/>
      <c r="EJ55" s="80"/>
      <c r="EK55" s="80"/>
      <c r="EL55" s="80"/>
    </row>
    <row r="56" spans="2:142" ht="45">
      <c r="B56" s="7" t="s">
        <v>899</v>
      </c>
      <c r="C56" s="48" t="s">
        <v>1316</v>
      </c>
      <c r="D56" s="49" t="s">
        <v>1315</v>
      </c>
      <c r="E56" s="81" t="s">
        <v>1538</v>
      </c>
      <c r="F56" s="276">
        <v>45429</v>
      </c>
      <c r="G56" s="276">
        <v>45443</v>
      </c>
      <c r="H56" s="276">
        <v>45457</v>
      </c>
      <c r="I56" s="276">
        <v>45471</v>
      </c>
      <c r="J56" s="49" t="s">
        <v>33</v>
      </c>
      <c r="K56" s="49" t="s">
        <v>369</v>
      </c>
      <c r="L56" s="49" t="s">
        <v>1447</v>
      </c>
      <c r="DA56" s="137" t="s">
        <v>860</v>
      </c>
      <c r="DC56" s="55" t="s">
        <v>861</v>
      </c>
    </row>
  </sheetData>
  <sheetProtection algorithmName="SHA-512" hashValue="s8q1U70PCXHkGcqG0fROseUKmB9suCS7wpaBBfLbuzFSZkfRmBDeDTEGfnvYyjK418QqELKPXqhETSelRX4JDw==" saltValue="M5iFausvBbQfTwtLKSkGqQ==" spinCount="100000" sheet="1" sort="0" autoFilter="0"/>
  <autoFilter ref="B17:EL56" xr:uid="{99E5E6F7-8B21-4AE6-ACEF-3E1D0C8CF839}">
    <sortState xmlns:xlrd2="http://schemas.microsoft.com/office/spreadsheetml/2017/richdata2" ref="B18:EL56">
      <sortCondition ref="G17:G56"/>
    </sortState>
  </autoFilter>
  <mergeCells count="37">
    <mergeCell ref="CT16:CX16"/>
    <mergeCell ref="CE16:CI16"/>
    <mergeCell ref="CJ16:CN16"/>
    <mergeCell ref="CO16:CS16"/>
    <mergeCell ref="BA16:BE16"/>
    <mergeCell ref="BF16:BJ16"/>
    <mergeCell ref="BK16:BO16"/>
    <mergeCell ref="BP16:BT16"/>
    <mergeCell ref="BU16:BY16"/>
    <mergeCell ref="BZ16:CD16"/>
    <mergeCell ref="AV16:AZ16"/>
    <mergeCell ref="E9:L9"/>
    <mergeCell ref="E10:L10"/>
    <mergeCell ref="E11:L11"/>
    <mergeCell ref="E12:L12"/>
    <mergeCell ref="M16:Q16"/>
    <mergeCell ref="R16:V16"/>
    <mergeCell ref="W16:AA16"/>
    <mergeCell ref="AB16:AF16"/>
    <mergeCell ref="AG16:AK16"/>
    <mergeCell ref="AL16:AP16"/>
    <mergeCell ref="AQ16:AU16"/>
    <mergeCell ref="E8:L8"/>
    <mergeCell ref="E3:L3"/>
    <mergeCell ref="E4:L4"/>
    <mergeCell ref="E5:L5"/>
    <mergeCell ref="E6:L6"/>
    <mergeCell ref="E7:L7"/>
    <mergeCell ref="DX16:EB16"/>
    <mergeCell ref="EC16:EG16"/>
    <mergeCell ref="EH16:EL16"/>
    <mergeCell ref="EM16:EM17"/>
    <mergeCell ref="CY16:DC16"/>
    <mergeCell ref="DD16:DH16"/>
    <mergeCell ref="DI16:DM16"/>
    <mergeCell ref="DN16:DR16"/>
    <mergeCell ref="DS16:DW16"/>
  </mergeCells>
  <phoneticPr fontId="29" type="noConversion"/>
  <conditionalFormatting sqref="M18:V53">
    <cfRule type="cellIs" dxfId="675" priority="186" operator="equal">
      <formula>"✔"</formula>
    </cfRule>
    <cfRule type="cellIs" dxfId="674" priority="187" operator="equal">
      <formula>"✖"</formula>
    </cfRule>
  </conditionalFormatting>
  <conditionalFormatting sqref="M36:V38 S18:V18 V26:V35 S19:U35 M18:Q35 V21:V23">
    <cfRule type="iconSet" priority="870">
      <iconSet iconSet="3Symbols2" showValue="0">
        <cfvo type="percent" val="0"/>
        <cfvo type="percent" val="33"/>
        <cfvo type="percent" val="67"/>
      </iconSet>
    </cfRule>
  </conditionalFormatting>
  <conditionalFormatting sqref="M39:V40">
    <cfRule type="iconSet" priority="879">
      <iconSet iconSet="3Symbols2" showValue="0">
        <cfvo type="percent" val="0"/>
        <cfvo type="percent" val="33"/>
        <cfvo type="percent" val="67"/>
      </iconSet>
    </cfRule>
  </conditionalFormatting>
  <conditionalFormatting sqref="M41:V41">
    <cfRule type="iconSet" priority="545">
      <iconSet iconSet="3Symbols2" showValue="0">
        <cfvo type="percent" val="0"/>
        <cfvo type="percent" val="33"/>
        <cfvo type="percent" val="67"/>
      </iconSet>
    </cfRule>
  </conditionalFormatting>
  <conditionalFormatting sqref="M42:V52">
    <cfRule type="iconSet" priority="6843">
      <iconSet iconSet="3Symbols2" showValue="0">
        <cfvo type="percent" val="0"/>
        <cfvo type="percent" val="33"/>
        <cfvo type="percent" val="67"/>
      </iconSet>
    </cfRule>
  </conditionalFormatting>
  <conditionalFormatting sqref="M53:V53">
    <cfRule type="iconSet" priority="185">
      <iconSet iconSet="3Symbols2" showValue="0">
        <cfvo type="percent" val="0"/>
        <cfvo type="percent" val="33"/>
        <cfvo type="percent" val="67"/>
      </iconSet>
    </cfRule>
  </conditionalFormatting>
  <conditionalFormatting sqref="R18">
    <cfRule type="iconSet" priority="839">
      <iconSet iconSet="3Symbols2" showValue="0">
        <cfvo type="percent" val="0"/>
        <cfvo type="percent" val="33"/>
        <cfvo type="percent" val="67"/>
      </iconSet>
    </cfRule>
  </conditionalFormatting>
  <conditionalFormatting sqref="R18:R23">
    <cfRule type="expression" dxfId="673" priority="700">
      <formula>(TEXT(TODAY(),"aaaa"))="Friday"</formula>
    </cfRule>
  </conditionalFormatting>
  <conditionalFormatting sqref="R19">
    <cfRule type="iconSet" priority="709">
      <iconSet iconSet="3Symbols2" showValue="0">
        <cfvo type="percent" val="0"/>
        <cfvo type="percent" val="33"/>
        <cfvo type="percent" val="67"/>
      </iconSet>
    </cfRule>
  </conditionalFormatting>
  <conditionalFormatting sqref="R20">
    <cfRule type="iconSet" priority="705">
      <iconSet iconSet="3Symbols2" showValue="0">
        <cfvo type="percent" val="0"/>
        <cfvo type="percent" val="33"/>
        <cfvo type="percent" val="67"/>
      </iconSet>
    </cfRule>
  </conditionalFormatting>
  <conditionalFormatting sqref="R21">
    <cfRule type="iconSet" priority="701">
      <iconSet iconSet="3Symbols2" showValue="0">
        <cfvo type="percent" val="0"/>
        <cfvo type="percent" val="33"/>
        <cfvo type="percent" val="67"/>
      </iconSet>
    </cfRule>
  </conditionalFormatting>
  <conditionalFormatting sqref="R24">
    <cfRule type="iconSet" priority="824">
      <iconSet iconSet="3Symbols2" showValue="0">
        <cfvo type="percent" val="0"/>
        <cfvo type="percent" val="33"/>
        <cfvo type="percent" val="67"/>
      </iconSet>
    </cfRule>
  </conditionalFormatting>
  <conditionalFormatting sqref="R24:R25">
    <cfRule type="expression" dxfId="672" priority="819">
      <formula>(TEXT(TODAY(),"aaaa"))="Thursday"</formula>
    </cfRule>
  </conditionalFormatting>
  <conditionalFormatting sqref="R25">
    <cfRule type="iconSet" priority="820">
      <iconSet iconSet="3Symbols2" showValue="0">
        <cfvo type="percent" val="0"/>
        <cfvo type="percent" val="33"/>
        <cfvo type="percent" val="67"/>
      </iconSet>
    </cfRule>
  </conditionalFormatting>
  <conditionalFormatting sqref="R26:R35 R22:R23">
    <cfRule type="iconSet" priority="6463">
      <iconSet iconSet="3Symbols2" showValue="0">
        <cfvo type="percent" val="0"/>
        <cfvo type="percent" val="33"/>
        <cfvo type="percent" val="67"/>
      </iconSet>
    </cfRule>
  </conditionalFormatting>
  <conditionalFormatting sqref="S18:V18 AQ18:AU23 S19:U25 AR24:AU32 CZ24:DC32 AQ33:AR33 AT33:AU33 AQ34:AU38 CY34:DC38 BP53:BQ53 BS53:BT53">
    <cfRule type="expression" dxfId="671" priority="854">
      <formula>(TEXT(TODAY(),"aaaa"))="Friday"</formula>
    </cfRule>
  </conditionalFormatting>
  <conditionalFormatting sqref="V19">
    <cfRule type="iconSet" priority="697">
      <iconSet iconSet="3Symbols2" showValue="0">
        <cfvo type="percent" val="0"/>
        <cfvo type="percent" val="33"/>
        <cfvo type="percent" val="67"/>
      </iconSet>
    </cfRule>
  </conditionalFormatting>
  <conditionalFormatting sqref="V19:V23">
    <cfRule type="expression" dxfId="670" priority="692">
      <formula>(TEXT(TODAY(),"aaaa"))="Friday"</formula>
    </cfRule>
  </conditionalFormatting>
  <conditionalFormatting sqref="V20">
    <cfRule type="iconSet" priority="693">
      <iconSet iconSet="3Symbols2" showValue="0">
        <cfvo type="percent" val="0"/>
        <cfvo type="percent" val="33"/>
        <cfvo type="percent" val="67"/>
      </iconSet>
    </cfRule>
  </conditionalFormatting>
  <conditionalFormatting sqref="V24">
    <cfRule type="iconSet" priority="815">
      <iconSet iconSet="3Symbols2" showValue="0">
        <cfvo type="percent" val="0"/>
        <cfvo type="percent" val="33"/>
        <cfvo type="percent" val="67"/>
      </iconSet>
    </cfRule>
  </conditionalFormatting>
  <conditionalFormatting sqref="V24:V25">
    <cfRule type="expression" dxfId="669" priority="812">
      <formula>(TEXT(TODAY(),"aaaa"))="Wednesday"</formula>
    </cfRule>
  </conditionalFormatting>
  <conditionalFormatting sqref="V25">
    <cfRule type="iconSet" priority="811">
      <iconSet iconSet="3Symbols2" showValue="0">
        <cfvo type="percent" val="0"/>
        <cfvo type="percent" val="33"/>
        <cfvo type="percent" val="67"/>
      </iconSet>
    </cfRule>
  </conditionalFormatting>
  <conditionalFormatting sqref="V34:V37">
    <cfRule type="expression" dxfId="668" priority="843">
      <formula>(TEXT(TODAY(),"aaaa"))="Thursday"</formula>
    </cfRule>
  </conditionalFormatting>
  <conditionalFormatting sqref="W22">
    <cfRule type="iconSet" priority="832">
      <iconSet iconSet="3Symbols2" showValue="0">
        <cfvo type="percent" val="0"/>
        <cfvo type="percent" val="33"/>
        <cfvo type="percent" val="67"/>
      </iconSet>
    </cfRule>
  </conditionalFormatting>
  <conditionalFormatting sqref="W22:W23">
    <cfRule type="expression" dxfId="667" priority="827">
      <formula>(TEXT(TODAY(),"aaaa"))="Thursday"</formula>
    </cfRule>
  </conditionalFormatting>
  <conditionalFormatting sqref="W23">
    <cfRule type="iconSet" priority="828">
      <iconSet iconSet="3Symbols2" showValue="0">
        <cfvo type="percent" val="0"/>
        <cfvo type="percent" val="33"/>
        <cfvo type="percent" val="67"/>
      </iconSet>
    </cfRule>
  </conditionalFormatting>
  <conditionalFormatting sqref="W36">
    <cfRule type="iconSet" priority="767">
      <iconSet iconSet="3Symbols2" showValue="0">
        <cfvo type="percent" val="0"/>
        <cfvo type="percent" val="33"/>
        <cfvo type="percent" val="67"/>
      </iconSet>
    </cfRule>
  </conditionalFormatting>
  <conditionalFormatting sqref="W36:W37">
    <cfRule type="expression" dxfId="666" priority="762">
      <formula>(TEXT(TODAY(),"aaaa"))="Thursday"</formula>
    </cfRule>
  </conditionalFormatting>
  <conditionalFormatting sqref="W37">
    <cfRule type="iconSet" priority="763">
      <iconSet iconSet="3Symbols2" showValue="0">
        <cfvo type="percent" val="0"/>
        <cfvo type="percent" val="33"/>
        <cfvo type="percent" val="67"/>
      </iconSet>
    </cfRule>
  </conditionalFormatting>
  <conditionalFormatting sqref="W18:AA21 X22:Z23 W24:W34 CE24:CE36 X33:Z34 W35:Z35 X36:Z37 W38:Y38 AA38 CE53:CH53">
    <cfRule type="expression" dxfId="665" priority="853">
      <formula>(TEXT(TODAY(),"aaaa"))="Monday"</formula>
    </cfRule>
  </conditionalFormatting>
  <conditionalFormatting sqref="W22:AA37">
    <cfRule type="cellIs" dxfId="664" priority="638" operator="equal">
      <formula>"✔"</formula>
    </cfRule>
    <cfRule type="cellIs" dxfId="663" priority="639" operator="equal">
      <formula>"✖"</formula>
    </cfRule>
  </conditionalFormatting>
  <conditionalFormatting sqref="W39:AC39">
    <cfRule type="cellIs" dxfId="662" priority="859" operator="equal">
      <formula>"✔"</formula>
    </cfRule>
    <cfRule type="cellIs" dxfId="661" priority="860" operator="equal">
      <formula>"✖"</formula>
    </cfRule>
  </conditionalFormatting>
  <conditionalFormatting sqref="W40:AF40 W39:AC39 AF39 AI40:AJ40 AJ39 AL39:AQ40 AS39:AT40 AV39:CD40 CE40:CL40 CE39:CG39 CR39:CR40 CN39:CN40 CI39:CL39">
    <cfRule type="iconSet" priority="858">
      <iconSet iconSet="3Symbols2" showValue="0">
        <cfvo type="percent" val="0"/>
        <cfvo type="percent" val="33"/>
        <cfvo type="percent" val="67"/>
      </iconSet>
    </cfRule>
  </conditionalFormatting>
  <conditionalFormatting sqref="W41:AF41 AI41:AJ41 AL41:AQ41 AS41:AT41 AV41:CL41 CR41 CN41">
    <cfRule type="iconSet" priority="542">
      <iconSet iconSet="3Symbols2" showValue="0">
        <cfvo type="percent" val="0"/>
        <cfvo type="percent" val="33"/>
        <cfvo type="percent" val="67"/>
      </iconSet>
    </cfRule>
  </conditionalFormatting>
  <conditionalFormatting sqref="W42:AF52 AI42:AJ52 AL42:AQ52 AS42:AT52 CQ42:CR52 AV42:CB52 CD42:CE52 CG42:CJ52 CM42:CN42 CL43:CN52">
    <cfRule type="iconSet" priority="4296">
      <iconSet iconSet="3Symbols2" showValue="0">
        <cfvo type="percent" val="0"/>
        <cfvo type="percent" val="33"/>
        <cfvo type="percent" val="67"/>
      </iconSet>
    </cfRule>
  </conditionalFormatting>
  <conditionalFormatting sqref="W53:AF53 AI53:AJ53 AL53:AQ53 AS53:AT53 AV53:BN53 CD53:CE53 CG53:CH53 BP53:BQ53 BS53:CB53 CL53:CN53 CJ53">
    <cfRule type="iconSet" priority="182">
      <iconSet iconSet="3Symbols2" showValue="0">
        <cfvo type="percent" val="0"/>
        <cfvo type="percent" val="33"/>
        <cfvo type="percent" val="67"/>
      </iconSet>
    </cfRule>
  </conditionalFormatting>
  <conditionalFormatting sqref="W18:AJ21 CF18:CR21 CB19:CE20 EI19:EL35 AB22:AJ23 CF22:CH23 CJ22:CR23 AR24:CA25 AD24:AP26 CG24:CH36 AR26:CD32 CM31:CS32 CN33:CN37 AG36:CF36 AG37:AH37 CO37:CP37 AI37:CD38 W38:Y38 AA38:AC38 AE38:AH38 CE38:CK38 CN38:CP38 CO39:CP39">
    <cfRule type="cellIs" dxfId="660" priority="6529" operator="equal">
      <formula>"✔"</formula>
    </cfRule>
    <cfRule type="cellIs" dxfId="659" priority="6530" operator="equal">
      <formula>"✖"</formula>
    </cfRule>
  </conditionalFormatting>
  <conditionalFormatting sqref="X24">
    <cfRule type="iconSet" priority="689">
      <iconSet iconSet="3Symbols2" showValue="0">
        <cfvo type="percent" val="0"/>
        <cfvo type="percent" val="33"/>
        <cfvo type="percent" val="67"/>
      </iconSet>
    </cfRule>
  </conditionalFormatting>
  <conditionalFormatting sqref="X25">
    <cfRule type="iconSet" priority="685">
      <iconSet iconSet="3Symbols2" showValue="0">
        <cfvo type="percent" val="0"/>
        <cfvo type="percent" val="33"/>
        <cfvo type="percent" val="67"/>
      </iconSet>
    </cfRule>
  </conditionalFormatting>
  <conditionalFormatting sqref="X26">
    <cfRule type="iconSet" priority="673">
      <iconSet iconSet="3Symbols2" showValue="0">
        <cfvo type="percent" val="0"/>
        <cfvo type="percent" val="33"/>
        <cfvo type="percent" val="67"/>
      </iconSet>
    </cfRule>
  </conditionalFormatting>
  <conditionalFormatting sqref="X27">
    <cfRule type="iconSet" priority="669">
      <iconSet iconSet="3Symbols2" showValue="0">
        <cfvo type="percent" val="0"/>
        <cfvo type="percent" val="33"/>
        <cfvo type="percent" val="67"/>
      </iconSet>
    </cfRule>
  </conditionalFormatting>
  <conditionalFormatting sqref="X28">
    <cfRule type="iconSet" priority="665">
      <iconSet iconSet="3Symbols2" showValue="0">
        <cfvo type="percent" val="0"/>
        <cfvo type="percent" val="33"/>
        <cfvo type="percent" val="67"/>
      </iconSet>
    </cfRule>
  </conditionalFormatting>
  <conditionalFormatting sqref="X29">
    <cfRule type="iconSet" priority="661">
      <iconSet iconSet="3Symbols2" showValue="0">
        <cfvo type="percent" val="0"/>
        <cfvo type="percent" val="33"/>
        <cfvo type="percent" val="67"/>
      </iconSet>
    </cfRule>
  </conditionalFormatting>
  <conditionalFormatting sqref="X30">
    <cfRule type="iconSet" priority="657">
      <iconSet iconSet="3Symbols2" showValue="0">
        <cfvo type="percent" val="0"/>
        <cfvo type="percent" val="33"/>
        <cfvo type="percent" val="67"/>
      </iconSet>
    </cfRule>
  </conditionalFormatting>
  <conditionalFormatting sqref="X31">
    <cfRule type="iconSet" priority="645">
      <iconSet iconSet="3Symbols2" showValue="0">
        <cfvo type="percent" val="0"/>
        <cfvo type="percent" val="33"/>
        <cfvo type="percent" val="67"/>
      </iconSet>
    </cfRule>
  </conditionalFormatting>
  <conditionalFormatting sqref="X32">
    <cfRule type="iconSet" priority="641">
      <iconSet iconSet="3Symbols2" showValue="0">
        <cfvo type="percent" val="0"/>
        <cfvo type="percent" val="33"/>
        <cfvo type="percent" val="67"/>
      </iconSet>
    </cfRule>
  </conditionalFormatting>
  <conditionalFormatting sqref="X24:AA32">
    <cfRule type="expression" dxfId="658" priority="640">
      <formula>(TEXT(TODAY(),"aaaa"))="Monday"</formula>
    </cfRule>
  </conditionalFormatting>
  <conditionalFormatting sqref="AA22">
    <cfRule type="iconSet" priority="807">
      <iconSet iconSet="3Symbols2" showValue="0">
        <cfvo type="percent" val="0"/>
        <cfvo type="percent" val="33"/>
        <cfvo type="percent" val="67"/>
      </iconSet>
    </cfRule>
    <cfRule type="expression" dxfId="657" priority="808">
      <formula>(TEXT(TODAY(),"aaaa"))="Wednesday"</formula>
    </cfRule>
  </conditionalFormatting>
  <conditionalFormatting sqref="AA23">
    <cfRule type="iconSet" priority="730">
      <iconSet iconSet="3Symbols2" showValue="0">
        <cfvo type="percent" val="0"/>
        <cfvo type="percent" val="33"/>
        <cfvo type="percent" val="67"/>
      </iconSet>
    </cfRule>
    <cfRule type="expression" dxfId="656" priority="731">
      <formula>(TEXT(TODAY(),"aaaa"))="Monday"</formula>
    </cfRule>
  </conditionalFormatting>
  <conditionalFormatting sqref="AA24:AA32">
    <cfRule type="iconSet" priority="5990">
      <iconSet iconSet="3Symbols2" showValue="0">
        <cfvo type="percent" val="0"/>
        <cfvo type="percent" val="33"/>
        <cfvo type="percent" val="67"/>
      </iconSet>
    </cfRule>
  </conditionalFormatting>
  <conditionalFormatting sqref="AA33">
    <cfRule type="expression" dxfId="655" priority="636">
      <formula>(TEXT(TODAY(),"aaaa"))="Monday"</formula>
    </cfRule>
    <cfRule type="iconSet" priority="637">
      <iconSet iconSet="3Symbols2" showValue="0">
        <cfvo type="percent" val="0"/>
        <cfvo type="percent" val="33"/>
        <cfvo type="percent" val="67"/>
      </iconSet>
    </cfRule>
  </conditionalFormatting>
  <conditionalFormatting sqref="AA34">
    <cfRule type="iconSet" priority="759">
      <iconSet iconSet="3Symbols2" showValue="0">
        <cfvo type="percent" val="0"/>
        <cfvo type="percent" val="33"/>
        <cfvo type="percent" val="67"/>
      </iconSet>
    </cfRule>
  </conditionalFormatting>
  <conditionalFormatting sqref="AA34:AA35">
    <cfRule type="expression" dxfId="654" priority="758">
      <formula>(TEXT(TODAY(),"aaaa"))="Thursday"</formula>
    </cfRule>
  </conditionalFormatting>
  <conditionalFormatting sqref="AA35">
    <cfRule type="iconSet" priority="792">
      <iconSet iconSet="3Symbols2" showValue="0">
        <cfvo type="percent" val="0"/>
        <cfvo type="percent" val="33"/>
        <cfvo type="percent" val="67"/>
      </iconSet>
    </cfRule>
  </conditionalFormatting>
  <conditionalFormatting sqref="AA36">
    <cfRule type="iconSet" priority="775">
      <iconSet iconSet="3Symbols2" showValue="0">
        <cfvo type="percent" val="0"/>
        <cfvo type="percent" val="33"/>
        <cfvo type="percent" val="67"/>
      </iconSet>
    </cfRule>
  </conditionalFormatting>
  <conditionalFormatting sqref="AA36:AA37">
    <cfRule type="expression" dxfId="653" priority="772">
      <formula>(TEXT(TODAY(),"aaaa"))="Wednesday"</formula>
    </cfRule>
  </conditionalFormatting>
  <conditionalFormatting sqref="AA37">
    <cfRule type="iconSet" priority="771">
      <iconSet iconSet="3Symbols2" showValue="0">
        <cfvo type="percent" val="0"/>
        <cfvo type="percent" val="33"/>
        <cfvo type="percent" val="67"/>
      </iconSet>
    </cfRule>
  </conditionalFormatting>
  <conditionalFormatting sqref="AA38:AC38 W38:Y38 W35:Z35 AE27:AG29 AI27:AP29 X36:Z37 X22:Z23 AI37:CD38 AB33:AC33 AE36:AF37 AB36:AC37 Y24:Z32 X33:Z34 W24:W34 AB24:AB32 AH33:AR33 AB34 AF33:AF35 AG39:AH39 AE38:AH38 AG37:AH37 AL18 W18:AJ21 AB22:AJ23 AP19:CA23 AL19:AN23 AD24:AP26 AE30:AP32 AR26:CD32 AT33:CD33 AG34:BD34 BF34:CD34 AG35:BG35 BI35:CE35 CF22:CH23 CJ33:CK33 CJ34 CN33:CN37 CO39:CP39 CN38:CP38 CO37:CP37 CO36:CR36 CJ22:CR23 CM31:CS32 CO34:CS35 CP40:CP41 CF18:CR21 AR24:CA25 CC21:CD25 CO24:CS26 CJ31:CJ32 CB19:CE20 CF37:CH37 CE38:CK38 CE24:CE34 CO27:CO30 CJ24:CN30 CQ27:CS30 CL36:CL38 AH40:AH53 CP33:CZ33 CT18 CX19:EH23 CT19:CV23 CT24:CX32 DB33:EH33 CT34:DL34 DN34:EH34 CT35:DO35 DQ35:EH35 CZ24:EH32 CV18:EL18 CQ37:EL38 CJ36:CK37 EI19:EL35 AN18:CE18 CG24:CH36 AG36:CF36 CT36:EL36 CP44:CP50">
    <cfRule type="iconSet" priority="6528">
      <iconSet iconSet="3Symbols2" showValue="0">
        <cfvo type="percent" val="0"/>
        <cfvo type="percent" val="33"/>
        <cfvo type="percent" val="67"/>
      </iconSet>
    </cfRule>
  </conditionalFormatting>
  <conditionalFormatting sqref="AB34:AB35">
    <cfRule type="expression" dxfId="652" priority="719">
      <formula>(TEXT(TODAY(),"aaaa"))="Tuesday"</formula>
    </cfRule>
  </conditionalFormatting>
  <conditionalFormatting sqref="AB35">
    <cfRule type="iconSet" priority="718">
      <iconSet iconSet="3Symbols2" showValue="0">
        <cfvo type="percent" val="0"/>
        <cfvo type="percent" val="33"/>
        <cfvo type="percent" val="67"/>
      </iconSet>
    </cfRule>
  </conditionalFormatting>
  <conditionalFormatting sqref="AB24:AC37">
    <cfRule type="cellIs" dxfId="651" priority="627" operator="equal">
      <formula>"✖"</formula>
    </cfRule>
    <cfRule type="cellIs" dxfId="650" priority="626" operator="equal">
      <formula>"✔"</formula>
    </cfRule>
  </conditionalFormatting>
  <conditionalFormatting sqref="AB36:AC39 AF39">
    <cfRule type="expression" dxfId="649" priority="851">
      <formula>(TEXT(TODAY(),"aaaa"))="Tuesday"</formula>
    </cfRule>
  </conditionalFormatting>
  <conditionalFormatting sqref="AB40:AF53">
    <cfRule type="expression" dxfId="648" priority="536">
      <formula>(TEXT(TODAY(),"aaaa"))="Tuesday"</formula>
    </cfRule>
  </conditionalFormatting>
  <conditionalFormatting sqref="AC24:AC31">
    <cfRule type="iconSet" priority="5996">
      <iconSet iconSet="3Symbols2" showValue="0">
        <cfvo type="percent" val="0"/>
        <cfvo type="percent" val="33"/>
        <cfvo type="percent" val="67"/>
      </iconSet>
    </cfRule>
  </conditionalFormatting>
  <conditionalFormatting sqref="AC32">
    <cfRule type="iconSet" priority="629">
      <iconSet iconSet="3Symbols2" showValue="0">
        <cfvo type="percent" val="0"/>
        <cfvo type="percent" val="33"/>
        <cfvo type="percent" val="67"/>
      </iconSet>
    </cfRule>
    <cfRule type="expression" dxfId="647" priority="628">
      <formula>(TEXT(TODAY(),"aaaa"))="Thursday"</formula>
    </cfRule>
  </conditionalFormatting>
  <conditionalFormatting sqref="AC34">
    <cfRule type="iconSet" priority="625">
      <iconSet iconSet="3Symbols2" showValue="0">
        <cfvo type="percent" val="0"/>
        <cfvo type="percent" val="33"/>
        <cfvo type="percent" val="67"/>
      </iconSet>
    </cfRule>
  </conditionalFormatting>
  <conditionalFormatting sqref="AC34:AC35">
    <cfRule type="expression" dxfId="646" priority="624">
      <formula>(TEXT(TODAY(),"aaaa"))="Thursday"</formula>
    </cfRule>
  </conditionalFormatting>
  <conditionalFormatting sqref="AC35">
    <cfRule type="iconSet" priority="739">
      <iconSet iconSet="3Symbols2" showValue="0">
        <cfvo type="percent" val="0"/>
        <cfvo type="percent" val="33"/>
        <cfvo type="percent" val="67"/>
      </iconSet>
    </cfRule>
  </conditionalFormatting>
  <conditionalFormatting sqref="AD27">
    <cfRule type="iconSet" priority="804">
      <iconSet iconSet="3Symbols2" showValue="0">
        <cfvo type="percent" val="0"/>
        <cfvo type="percent" val="33"/>
        <cfvo type="percent" val="67"/>
      </iconSet>
    </cfRule>
  </conditionalFormatting>
  <conditionalFormatting sqref="AD27:AD34">
    <cfRule type="expression" dxfId="645" priority="799">
      <formula>(TEXT(TODAY(),"aaaa"))="Thursday"</formula>
    </cfRule>
  </conditionalFormatting>
  <conditionalFormatting sqref="AD27:AD39">
    <cfRule type="cellIs" dxfId="644" priority="602" operator="equal">
      <formula>"✔"</formula>
    </cfRule>
    <cfRule type="cellIs" dxfId="643" priority="603" operator="equal">
      <formula>"✖"</formula>
    </cfRule>
  </conditionalFormatting>
  <conditionalFormatting sqref="AD28">
    <cfRule type="iconSet" priority="800">
      <iconSet iconSet="3Symbols2" showValue="0">
        <cfvo type="percent" val="0"/>
        <cfvo type="percent" val="33"/>
        <cfvo type="percent" val="67"/>
      </iconSet>
    </cfRule>
  </conditionalFormatting>
  <conditionalFormatting sqref="AD29:AD34">
    <cfRule type="iconSet" priority="4377">
      <iconSet iconSet="3Symbols2" showValue="0">
        <cfvo type="percent" val="0"/>
        <cfvo type="percent" val="33"/>
        <cfvo type="percent" val="67"/>
      </iconSet>
    </cfRule>
  </conditionalFormatting>
  <conditionalFormatting sqref="AD35">
    <cfRule type="expression" dxfId="642" priority="717">
      <formula>(TEXT(TODAY(),"aaaa"))="Tuesday"</formula>
    </cfRule>
    <cfRule type="iconSet" priority="6098">
      <iconSet iconSet="3Symbols2" showValue="0">
        <cfvo type="percent" val="0"/>
        <cfvo type="percent" val="33"/>
        <cfvo type="percent" val="67"/>
      </iconSet>
    </cfRule>
  </conditionalFormatting>
  <conditionalFormatting sqref="AD36">
    <cfRule type="iconSet" priority="613">
      <iconSet iconSet="3Symbols2" showValue="0">
        <cfvo type="percent" val="0"/>
        <cfvo type="percent" val="33"/>
        <cfvo type="percent" val="67"/>
      </iconSet>
    </cfRule>
  </conditionalFormatting>
  <conditionalFormatting sqref="AD36:AD39">
    <cfRule type="expression" dxfId="641" priority="600">
      <formula>(TEXT(TODAY(),"aaaa"))="Thursday"</formula>
    </cfRule>
  </conditionalFormatting>
  <conditionalFormatting sqref="AD37">
    <cfRule type="iconSet" priority="609">
      <iconSet iconSet="3Symbols2" showValue="0">
        <cfvo type="percent" val="0"/>
        <cfvo type="percent" val="33"/>
        <cfvo type="percent" val="67"/>
      </iconSet>
    </cfRule>
  </conditionalFormatting>
  <conditionalFormatting sqref="AD38">
    <cfRule type="iconSet" priority="605">
      <iconSet iconSet="3Symbols2" showValue="0">
        <cfvo type="percent" val="0"/>
        <cfvo type="percent" val="33"/>
        <cfvo type="percent" val="67"/>
      </iconSet>
    </cfRule>
  </conditionalFormatting>
  <conditionalFormatting sqref="AD39">
    <cfRule type="iconSet" priority="601">
      <iconSet iconSet="3Symbols2" showValue="0">
        <cfvo type="percent" val="0"/>
        <cfvo type="percent" val="33"/>
        <cfvo type="percent" val="67"/>
      </iconSet>
    </cfRule>
  </conditionalFormatting>
  <conditionalFormatting sqref="AE33">
    <cfRule type="iconSet" priority="621">
      <iconSet iconSet="3Symbols2" showValue="0">
        <cfvo type="percent" val="0"/>
        <cfvo type="percent" val="33"/>
        <cfvo type="percent" val="67"/>
      </iconSet>
    </cfRule>
    <cfRule type="expression" dxfId="640" priority="620">
      <formula>(TEXT(TODAY(),"aaaa"))="Thursday"</formula>
    </cfRule>
  </conditionalFormatting>
  <conditionalFormatting sqref="AE34">
    <cfRule type="iconSet" priority="742">
      <iconSet iconSet="3Symbols2" showValue="0">
        <cfvo type="percent" val="0"/>
        <cfvo type="percent" val="33"/>
        <cfvo type="percent" val="67"/>
      </iconSet>
    </cfRule>
    <cfRule type="expression" dxfId="639" priority="743">
      <formula>(TEXT(TODAY(),"aaaa"))="Wednesday"</formula>
    </cfRule>
  </conditionalFormatting>
  <conditionalFormatting sqref="AE35">
    <cfRule type="expression" dxfId="638" priority="616">
      <formula>(TEXT(TODAY(),"aaaa"))="Thursday"</formula>
    </cfRule>
    <cfRule type="iconSet" priority="617">
      <iconSet iconSet="3Symbols2" showValue="0">
        <cfvo type="percent" val="0"/>
        <cfvo type="percent" val="33"/>
        <cfvo type="percent" val="67"/>
      </iconSet>
    </cfRule>
  </conditionalFormatting>
  <conditionalFormatting sqref="AE39">
    <cfRule type="iconSet" priority="735">
      <iconSet iconSet="3Symbols2" showValue="0">
        <cfvo type="percent" val="0"/>
        <cfvo type="percent" val="33"/>
        <cfvo type="percent" val="67"/>
      </iconSet>
    </cfRule>
    <cfRule type="expression" dxfId="637" priority="734">
      <formula>(TEXT(TODAY(),"aaaa"))="Thursday"</formula>
    </cfRule>
  </conditionalFormatting>
  <conditionalFormatting sqref="AE33:AF37">
    <cfRule type="cellIs" dxfId="636" priority="618" operator="equal">
      <formula>"✔"</formula>
    </cfRule>
    <cfRule type="cellIs" dxfId="635" priority="619" operator="equal">
      <formula>"✖"</formula>
    </cfRule>
  </conditionalFormatting>
  <conditionalFormatting sqref="AE39:AJ39">
    <cfRule type="cellIs" dxfId="634" priority="737" operator="equal">
      <formula>"✖"</formula>
    </cfRule>
    <cfRule type="cellIs" dxfId="633" priority="736" operator="equal">
      <formula>"✔"</formula>
    </cfRule>
  </conditionalFormatting>
  <conditionalFormatting sqref="AE27:AP32">
    <cfRule type="cellIs" dxfId="632" priority="781" operator="equal">
      <formula>"✔"</formula>
    </cfRule>
    <cfRule type="cellIs" dxfId="631" priority="782" operator="equal">
      <formula>"✖"</formula>
    </cfRule>
  </conditionalFormatting>
  <conditionalFormatting sqref="AG33">
    <cfRule type="expression" dxfId="630" priority="722">
      <formula>(TEXT(TODAY(),"aaaa"))="Thursday"</formula>
    </cfRule>
    <cfRule type="iconSet" priority="723">
      <iconSet iconSet="3Symbols2" showValue="0">
        <cfvo type="percent" val="0"/>
        <cfvo type="percent" val="33"/>
        <cfvo type="percent" val="67"/>
      </iconSet>
    </cfRule>
  </conditionalFormatting>
  <conditionalFormatting sqref="AG40:AG53">
    <cfRule type="iconSet" priority="6522">
      <iconSet iconSet="3Symbols2" showValue="0">
        <cfvo type="percent" val="0"/>
        <cfvo type="percent" val="33"/>
        <cfvo type="percent" val="67"/>
      </iconSet>
    </cfRule>
  </conditionalFormatting>
  <conditionalFormatting sqref="AG18:AK32">
    <cfRule type="expression" dxfId="629" priority="589">
      <formula>(TEXT(TODAY(),"aaaa"))="Wednesday"</formula>
    </cfRule>
  </conditionalFormatting>
  <conditionalFormatting sqref="AG34:AK39">
    <cfRule type="expression" dxfId="628" priority="755">
      <formula>(TEXT(TODAY(),"aaaa"))="Wednesday"</formula>
    </cfRule>
  </conditionalFormatting>
  <conditionalFormatting sqref="AG33:CD34">
    <cfRule type="cellIs" dxfId="627" priority="554" operator="equal">
      <formula>"✔"</formula>
    </cfRule>
    <cfRule type="cellIs" dxfId="626" priority="555" operator="equal">
      <formula>"✖"</formula>
    </cfRule>
  </conditionalFormatting>
  <conditionalFormatting sqref="AG35:CE35">
    <cfRule type="cellIs" dxfId="625" priority="550" operator="equal">
      <formula>"✔"</formula>
    </cfRule>
    <cfRule type="cellIs" dxfId="624" priority="551" operator="equal">
      <formula>"✖"</formula>
    </cfRule>
  </conditionalFormatting>
  <conditionalFormatting sqref="AH27">
    <cfRule type="iconSet" priority="787">
      <iconSet iconSet="3Symbols2" showValue="0">
        <cfvo type="percent" val="0"/>
        <cfvo type="percent" val="33"/>
        <cfvo type="percent" val="67"/>
      </iconSet>
    </cfRule>
  </conditionalFormatting>
  <conditionalFormatting sqref="AH28">
    <cfRule type="iconSet" priority="783">
      <iconSet iconSet="3Symbols2" showValue="0">
        <cfvo type="percent" val="0"/>
        <cfvo type="percent" val="33"/>
        <cfvo type="percent" val="67"/>
      </iconSet>
    </cfRule>
  </conditionalFormatting>
  <conditionalFormatting sqref="AH29">
    <cfRule type="iconSet" priority="779">
      <iconSet iconSet="3Symbols2" showValue="0">
        <cfvo type="percent" val="0"/>
        <cfvo type="percent" val="33"/>
        <cfvo type="percent" val="67"/>
      </iconSet>
    </cfRule>
  </conditionalFormatting>
  <conditionalFormatting sqref="AI39">
    <cfRule type="iconSet" priority="754">
      <iconSet iconSet="3Symbols2" showValue="0">
        <cfvo type="percent" val="0"/>
        <cfvo type="percent" val="33"/>
        <cfvo type="percent" val="67"/>
      </iconSet>
    </cfRule>
  </conditionalFormatting>
  <conditionalFormatting sqref="AK18:AK23">
    <cfRule type="cellIs" dxfId="623" priority="590" operator="equal">
      <formula>"✔"</formula>
    </cfRule>
    <cfRule type="iconSet" priority="588">
      <iconSet iconSet="3Symbols2" showValue="0">
        <cfvo type="percent" val="0"/>
        <cfvo type="percent" val="33"/>
        <cfvo type="percent" val="67"/>
      </iconSet>
    </cfRule>
    <cfRule type="cellIs" dxfId="622" priority="591" operator="equal">
      <formula>"✖"</formula>
    </cfRule>
  </conditionalFormatting>
  <conditionalFormatting sqref="AK39">
    <cfRule type="iconSet" priority="873">
      <iconSet iconSet="3Symbols2" showValue="0">
        <cfvo type="percent" val="0"/>
        <cfvo type="percent" val="33"/>
        <cfvo type="percent" val="67"/>
      </iconSet>
    </cfRule>
  </conditionalFormatting>
  <conditionalFormatting sqref="AK40:AK53">
    <cfRule type="iconSet" priority="6774">
      <iconSet iconSet="3Symbols2" showValue="0">
        <cfvo type="percent" val="0"/>
        <cfvo type="percent" val="33"/>
        <cfvo type="percent" val="67"/>
      </iconSet>
    </cfRule>
  </conditionalFormatting>
  <conditionalFormatting sqref="AK39:AU53 W40:AJ53 CL43:CN53 CG53:CH53 CJ53">
    <cfRule type="cellIs" dxfId="621" priority="183" operator="equal">
      <formula>"✔"</formula>
    </cfRule>
    <cfRule type="cellIs" dxfId="620" priority="184" operator="equal">
      <formula>"✖"</formula>
    </cfRule>
  </conditionalFormatting>
  <conditionalFormatting sqref="AL18 AN18:AP18 AL19:AN23 AP19:AP23 CO40:CO41 AG40:AG53 CO50:CO54 BK53:BN53">
    <cfRule type="expression" dxfId="619" priority="857">
      <formula>(TEXT(TODAY(),"aaaa"))="Thursday"</formula>
    </cfRule>
  </conditionalFormatting>
  <conditionalFormatting sqref="AL19:CA23">
    <cfRule type="cellIs" dxfId="618" priority="583" operator="equal">
      <formula>"✖"</formula>
    </cfRule>
    <cfRule type="cellIs" dxfId="617" priority="582" operator="equal">
      <formula>"✔"</formula>
    </cfRule>
  </conditionalFormatting>
  <conditionalFormatting sqref="AL18:CE18">
    <cfRule type="cellIs" dxfId="616" priority="586" operator="equal">
      <formula>"✔"</formula>
    </cfRule>
    <cfRule type="cellIs" dxfId="615" priority="587" operator="equal">
      <formula>"✖"</formula>
    </cfRule>
  </conditionalFormatting>
  <conditionalFormatting sqref="AM18">
    <cfRule type="expression" dxfId="614" priority="585">
      <formula>(TEXT(TODAY(),"aaaa"))="Wednesday"</formula>
    </cfRule>
    <cfRule type="iconSet" priority="584">
      <iconSet iconSet="3Symbols2" showValue="0">
        <cfvo type="percent" val="0"/>
        <cfvo type="percent" val="33"/>
        <cfvo type="percent" val="67"/>
      </iconSet>
    </cfRule>
  </conditionalFormatting>
  <conditionalFormatting sqref="AO19:AO23">
    <cfRule type="expression" dxfId="613" priority="581">
      <formula>(TEXT(TODAY(),"aaaa"))="Wednesday"</formula>
    </cfRule>
    <cfRule type="iconSet" priority="580">
      <iconSet iconSet="3Symbols2" showValue="0">
        <cfvo type="percent" val="0"/>
        <cfvo type="percent" val="33"/>
        <cfvo type="percent" val="67"/>
      </iconSet>
    </cfRule>
  </conditionalFormatting>
  <conditionalFormatting sqref="AQ24">
    <cfRule type="iconSet" priority="576">
      <iconSet iconSet="3Symbols2" showValue="0">
        <cfvo type="percent" val="0"/>
        <cfvo type="percent" val="33"/>
        <cfvo type="percent" val="67"/>
      </iconSet>
    </cfRule>
  </conditionalFormatting>
  <conditionalFormatting sqref="AQ24:AQ32">
    <cfRule type="cellIs" dxfId="612" priority="567" operator="equal">
      <formula>"✖"</formula>
    </cfRule>
    <cfRule type="expression" dxfId="611" priority="565">
      <formula>(TEXT(TODAY(),"aaaa"))="Wednesday"</formula>
    </cfRule>
    <cfRule type="cellIs" dxfId="610" priority="566" operator="equal">
      <formula>"✔"</formula>
    </cfRule>
  </conditionalFormatting>
  <conditionalFormatting sqref="AQ25">
    <cfRule type="iconSet" priority="572">
      <iconSet iconSet="3Symbols2" showValue="0">
        <cfvo type="percent" val="0"/>
        <cfvo type="percent" val="33"/>
        <cfvo type="percent" val="67"/>
      </iconSet>
    </cfRule>
  </conditionalFormatting>
  <conditionalFormatting sqref="AQ26">
    <cfRule type="iconSet" priority="564">
      <iconSet iconSet="3Symbols2" showValue="0">
        <cfvo type="percent" val="0"/>
        <cfvo type="percent" val="33"/>
        <cfvo type="percent" val="67"/>
      </iconSet>
    </cfRule>
  </conditionalFormatting>
  <conditionalFormatting sqref="AQ27:AQ32">
    <cfRule type="iconSet" priority="5975">
      <iconSet iconSet="3Symbols2" showValue="0">
        <cfvo type="percent" val="0"/>
        <cfvo type="percent" val="33"/>
        <cfvo type="percent" val="67"/>
      </iconSet>
    </cfRule>
  </conditionalFormatting>
  <conditionalFormatting sqref="AQ39:AT53">
    <cfRule type="expression" dxfId="609" priority="751">
      <formula>(TEXT(TODAY(),"aaaa"))="Friday"</formula>
    </cfRule>
  </conditionalFormatting>
  <conditionalFormatting sqref="AR39">
    <cfRule type="iconSet" priority="750">
      <iconSet iconSet="3Symbols2" showValue="0">
        <cfvo type="percent" val="0"/>
        <cfvo type="percent" val="33"/>
        <cfvo type="percent" val="67"/>
      </iconSet>
    </cfRule>
  </conditionalFormatting>
  <conditionalFormatting sqref="AR40:AR53">
    <cfRule type="iconSet" priority="6780">
      <iconSet iconSet="3Symbols2" showValue="0">
        <cfvo type="percent" val="0"/>
        <cfvo type="percent" val="33"/>
        <cfvo type="percent" val="67"/>
      </iconSet>
    </cfRule>
  </conditionalFormatting>
  <conditionalFormatting sqref="AS33">
    <cfRule type="expression" dxfId="608" priority="557">
      <formula>(TEXT(TODAY(),"aaaa"))="Wednesday"</formula>
    </cfRule>
    <cfRule type="iconSet" priority="556">
      <iconSet iconSet="3Symbols2" showValue="0">
        <cfvo type="percent" val="0"/>
        <cfvo type="percent" val="33"/>
        <cfvo type="percent" val="67"/>
      </iconSet>
    </cfRule>
  </conditionalFormatting>
  <conditionalFormatting sqref="AU39">
    <cfRule type="iconSet" priority="746">
      <iconSet iconSet="3Symbols2" showValue="0">
        <cfvo type="percent" val="0"/>
        <cfvo type="percent" val="33"/>
        <cfvo type="percent" val="67"/>
      </iconSet>
    </cfRule>
    <cfRule type="expression" dxfId="607" priority="747">
      <formula>(TEXT(TODAY(),"aaaa"))="Friday"</formula>
    </cfRule>
  </conditionalFormatting>
  <conditionalFormatting sqref="AU40:AU53">
    <cfRule type="iconSet" priority="6516">
      <iconSet iconSet="3Symbols2" showValue="0">
        <cfvo type="percent" val="0"/>
        <cfvo type="percent" val="33"/>
        <cfvo type="percent" val="67"/>
      </iconSet>
    </cfRule>
  </conditionalFormatting>
  <conditionalFormatting sqref="AV18:AZ53 BU18:BY53 W39:AA53">
    <cfRule type="expression" dxfId="606" priority="537">
      <formula>(TEXT(TODAY(),"aaaa"))="Monday"</formula>
    </cfRule>
  </conditionalFormatting>
  <conditionalFormatting sqref="AV42:CF53">
    <cfRule type="cellIs" dxfId="605" priority="89" operator="equal">
      <formula>"✖"</formula>
    </cfRule>
    <cfRule type="cellIs" dxfId="604" priority="88" operator="equal">
      <formula>"✔"</formula>
    </cfRule>
  </conditionalFormatting>
  <conditionalFormatting sqref="AV39:CL41">
    <cfRule type="cellIs" dxfId="603" priority="259" operator="equal">
      <formula>"✔"</formula>
    </cfRule>
    <cfRule type="cellIs" dxfId="602" priority="260" operator="equal">
      <formula>"✖"</formula>
    </cfRule>
  </conditionalFormatting>
  <conditionalFormatting sqref="BE34">
    <cfRule type="iconSet" priority="552">
      <iconSet iconSet="3Symbols2" showValue="0">
        <cfvo type="percent" val="0"/>
        <cfvo type="percent" val="33"/>
        <cfvo type="percent" val="67"/>
      </iconSet>
    </cfRule>
    <cfRule type="expression" dxfId="601" priority="553">
      <formula>(TEXT(TODAY(),"aaaa"))="Wednesday"</formula>
    </cfRule>
  </conditionalFormatting>
  <conditionalFormatting sqref="BF18:BJ53 AH40:AK53">
    <cfRule type="expression" dxfId="600" priority="540">
      <formula>(TEXT(TODAY(),"aaaa"))="Wednesday"</formula>
    </cfRule>
  </conditionalFormatting>
  <conditionalFormatting sqref="BH35">
    <cfRule type="iconSet" priority="548">
      <iconSet iconSet="3Symbols2" showValue="0">
        <cfvo type="percent" val="0"/>
        <cfvo type="percent" val="33"/>
        <cfvo type="percent" val="67"/>
      </iconSet>
    </cfRule>
  </conditionalFormatting>
  <conditionalFormatting sqref="BK18:BO52 M18:Q53 AL24:AP53">
    <cfRule type="expression" dxfId="599" priority="541">
      <formula>(TEXT(TODAY(),"aaaa"))="Thursday"</formula>
    </cfRule>
  </conditionalFormatting>
  <conditionalFormatting sqref="BM18">
    <cfRule type="expression" dxfId="598" priority="44">
      <formula>(TEXT(TODAY(),"aaaa"))="Tuesday"</formula>
    </cfRule>
  </conditionalFormatting>
  <conditionalFormatting sqref="BO18">
    <cfRule type="expression" dxfId="597" priority="85">
      <formula>(TEXT(TODAY(),"aaaa"))="Tuesday"</formula>
    </cfRule>
  </conditionalFormatting>
  <conditionalFormatting sqref="BO53">
    <cfRule type="expression" dxfId="596" priority="90">
      <formula>(TEXT(TODAY(),"aaaa"))="Tuesday"</formula>
    </cfRule>
    <cfRule type="iconSet" priority="91">
      <iconSet iconSet="3Symbols2" showValue="0">
        <cfvo type="percent" val="0"/>
        <cfvo type="percent" val="33"/>
        <cfvo type="percent" val="67"/>
      </iconSet>
    </cfRule>
  </conditionalFormatting>
  <conditionalFormatting sqref="BP18:BT52 R26:V53">
    <cfRule type="expression" dxfId="595" priority="538">
      <formula>(TEXT(TODAY(),"aaaa"))="Friday"</formula>
    </cfRule>
  </conditionalFormatting>
  <conditionalFormatting sqref="BR53">
    <cfRule type="expression" dxfId="594" priority="87">
      <formula>(TEXT(TODAY(),"aaaa"))="Wednesday"</formula>
    </cfRule>
    <cfRule type="iconSet" priority="86">
      <iconSet iconSet="3Symbols2" showValue="0">
        <cfvo type="percent" val="0"/>
        <cfvo type="percent" val="33"/>
        <cfvo type="percent" val="67"/>
      </iconSet>
    </cfRule>
  </conditionalFormatting>
  <conditionalFormatting sqref="BZ26:CD41 BA35:BE53">
    <cfRule type="expression" dxfId="593" priority="539">
      <formula>(TEXT(TODAY(),"aaaa"))="Tuesday"</formula>
    </cfRule>
  </conditionalFormatting>
  <conditionalFormatting sqref="CB21:CB25">
    <cfRule type="iconSet" priority="5028">
      <iconSet iconSet="3Symbols2" showValue="0">
        <cfvo type="percent" val="0"/>
        <cfvo type="percent" val="33"/>
        <cfvo type="percent" val="67"/>
      </iconSet>
    </cfRule>
    <cfRule type="expression" dxfId="592" priority="305">
      <formula>(TEXT(TODAY(),"aaaa"))="Wednesday"</formula>
    </cfRule>
  </conditionalFormatting>
  <conditionalFormatting sqref="CB18:CD20 AB18:AF23 BZ18:CA25 CJ18:CN30 BA18:BE33 DI18:DM33 CC21:CD25 AD24:AF26 AC24:AC31 AB24:AB32 AE27:AF32 CJ31:CJ32 CM31:CN32 AB33:AC33 CJ33:CK33 AF33:AF35 BA34:BD34 AE36:AF38 BZ42:CB53 CD42:CD53 CJ42:CJ53 EH42:EJ53 EL42:EL53 CL51:CN53">
    <cfRule type="expression" dxfId="591" priority="855">
      <formula>(TEXT(TODAY(),"aaaa"))="Tuesday"</formula>
    </cfRule>
  </conditionalFormatting>
  <conditionalFormatting sqref="CB21:CD25">
    <cfRule type="cellIs" dxfId="590" priority="5030" operator="equal">
      <formula>"✖"</formula>
    </cfRule>
    <cfRule type="cellIs" dxfId="589" priority="5029" operator="equal">
      <formula>"✔"</formula>
    </cfRule>
  </conditionalFormatting>
  <conditionalFormatting sqref="CC42:CC53">
    <cfRule type="iconSet" priority="6858">
      <iconSet iconSet="3Symbols2" showValue="0">
        <cfvo type="percent" val="0"/>
        <cfvo type="percent" val="33"/>
        <cfvo type="percent" val="67"/>
      </iconSet>
    </cfRule>
  </conditionalFormatting>
  <conditionalFormatting sqref="CE18:CE20">
    <cfRule type="expression" dxfId="588" priority="273">
      <formula>(TEXT(TODAY(),"aaaa"))="Monday"</formula>
    </cfRule>
  </conditionalFormatting>
  <conditionalFormatting sqref="CE18:CE23">
    <cfRule type="iconSet" priority="300">
      <iconSet iconSet="3Symbols2" showValue="0">
        <cfvo type="percent" val="0"/>
        <cfvo type="percent" val="33"/>
        <cfvo type="percent" val="67"/>
      </iconSet>
    </cfRule>
    <cfRule type="expression" dxfId="587" priority="301">
      <formula>(TEXT(TODAY(),"aaaa"))="Wednesday"</formula>
    </cfRule>
  </conditionalFormatting>
  <conditionalFormatting sqref="CE18:CE34">
    <cfRule type="cellIs" dxfId="586" priority="303" operator="equal">
      <formula>"✖"</formula>
    </cfRule>
    <cfRule type="cellIs" dxfId="585" priority="302" operator="equal">
      <formula>"✔"</formula>
    </cfRule>
  </conditionalFormatting>
  <conditionalFormatting sqref="CE37">
    <cfRule type="expression" dxfId="584" priority="451">
      <formula>(TEXT(TODAY(),"aaaa"))="Thursday"</formula>
    </cfRule>
    <cfRule type="iconSet" priority="452">
      <iconSet iconSet="3Symbols2" showValue="0">
        <cfvo type="percent" val="0"/>
        <cfvo type="percent" val="33"/>
        <cfvo type="percent" val="67"/>
      </iconSet>
    </cfRule>
  </conditionalFormatting>
  <conditionalFormatting sqref="CE37:CH37">
    <cfRule type="cellIs" dxfId="583" priority="454" operator="equal">
      <formula>"✖"</formula>
    </cfRule>
    <cfRule type="cellIs" dxfId="582" priority="453" operator="equal">
      <formula>"✔"</formula>
    </cfRule>
  </conditionalFormatting>
  <conditionalFormatting sqref="CE40:CI52">
    <cfRule type="expression" dxfId="581" priority="312">
      <formula>(TEXT(TODAY(),"aaaa"))="Monday"</formula>
    </cfRule>
  </conditionalFormatting>
  <conditionalFormatting sqref="CF24:CF35 AH33:AK33 AU40:AU53 DC40:DC53 CQ42:CS43 CO42:CO49 CC42:CC53 EK42:EK53">
    <cfRule type="expression" dxfId="580" priority="856">
      <formula>(TEXT(TODAY(),"aaaa"))="Wednesday"</formula>
    </cfRule>
  </conditionalFormatting>
  <conditionalFormatting sqref="CF24:CF35">
    <cfRule type="cellIs" dxfId="579" priority="6010" operator="equal">
      <formula>"✖"</formula>
    </cfRule>
    <cfRule type="cellIs" dxfId="578" priority="6009" operator="equal">
      <formula>"✔"</formula>
    </cfRule>
    <cfRule type="iconSet" priority="6008">
      <iconSet iconSet="3Symbols2" showValue="0">
        <cfvo type="percent" val="0"/>
        <cfvo type="percent" val="33"/>
        <cfvo type="percent" val="67"/>
      </iconSet>
    </cfRule>
  </conditionalFormatting>
  <conditionalFormatting sqref="CF36">
    <cfRule type="expression" dxfId="577" priority="43">
      <formula>(TEXT(TODAY(),"aaaa"))="Tuesday"</formula>
    </cfRule>
  </conditionalFormatting>
  <conditionalFormatting sqref="CF42:CF53">
    <cfRule type="iconSet" priority="6866">
      <iconSet iconSet="3Symbols2" showValue="0">
        <cfvo type="percent" val="0"/>
        <cfvo type="percent" val="33"/>
        <cfvo type="percent" val="67"/>
      </iconSet>
    </cfRule>
  </conditionalFormatting>
  <conditionalFormatting sqref="CF18:CI21 CF22:CH23 CG24:CH36 CF37:CH37 CE38:CG39 CI38:CI39">
    <cfRule type="expression" dxfId="576" priority="510">
      <formula>(TEXT(TODAY(),"aaaa"))="Monday"</formula>
    </cfRule>
  </conditionalFormatting>
  <conditionalFormatting sqref="CH36:CH39">
    <cfRule type="expression" dxfId="575" priority="257">
      <formula>(TEXT(TODAY(),"aaaa"))="Tuesday"</formula>
    </cfRule>
  </conditionalFormatting>
  <conditionalFormatting sqref="CH39">
    <cfRule type="iconSet" priority="258">
      <iconSet iconSet="3Symbols2" showValue="0">
        <cfvo type="percent" val="0"/>
        <cfvo type="percent" val="33"/>
        <cfvo type="percent" val="67"/>
      </iconSet>
    </cfRule>
  </conditionalFormatting>
  <conditionalFormatting sqref="CI22">
    <cfRule type="iconSet" priority="496">
      <iconSet iconSet="3Symbols2" showValue="0">
        <cfvo type="percent" val="0"/>
        <cfvo type="percent" val="33"/>
        <cfvo type="percent" val="67"/>
      </iconSet>
    </cfRule>
    <cfRule type="expression" dxfId="574" priority="497">
      <formula>(TEXT(TODAY(),"aaaa"))="Wednesday"</formula>
    </cfRule>
  </conditionalFormatting>
  <conditionalFormatting sqref="CI22:CI37">
    <cfRule type="cellIs" dxfId="573" priority="361" operator="equal">
      <formula>"✖"</formula>
    </cfRule>
    <cfRule type="cellIs" dxfId="572" priority="360" operator="equal">
      <formula>"✔"</formula>
    </cfRule>
  </conditionalFormatting>
  <conditionalFormatting sqref="CI23:CI30">
    <cfRule type="iconSet" priority="6002">
      <iconSet iconSet="3Symbols2" showValue="0">
        <cfvo type="percent" val="0"/>
        <cfvo type="percent" val="33"/>
        <cfvo type="percent" val="67"/>
      </iconSet>
    </cfRule>
  </conditionalFormatting>
  <conditionalFormatting sqref="CI23:CI33">
    <cfRule type="expression" dxfId="571" priority="358">
      <formula>(TEXT(TODAY(),"aaaa"))="Monday"</formula>
    </cfRule>
  </conditionalFormatting>
  <conditionalFormatting sqref="CI31:CI32">
    <cfRule type="iconSet" priority="423">
      <iconSet iconSet="3Symbols2" showValue="0">
        <cfvo type="percent" val="0"/>
        <cfvo type="percent" val="33"/>
        <cfvo type="percent" val="67"/>
      </iconSet>
    </cfRule>
  </conditionalFormatting>
  <conditionalFormatting sqref="CI33">
    <cfRule type="iconSet" priority="359">
      <iconSet iconSet="3Symbols2" showValue="0">
        <cfvo type="percent" val="0"/>
        <cfvo type="percent" val="33"/>
        <cfvo type="percent" val="67"/>
      </iconSet>
    </cfRule>
  </conditionalFormatting>
  <conditionalFormatting sqref="CI34">
    <cfRule type="iconSet" priority="448">
      <iconSet iconSet="3Symbols2" showValue="0">
        <cfvo type="percent" val="0"/>
        <cfvo type="percent" val="33"/>
        <cfvo type="percent" val="67"/>
      </iconSet>
    </cfRule>
  </conditionalFormatting>
  <conditionalFormatting sqref="CI34:CI35">
    <cfRule type="expression" dxfId="570" priority="447">
      <formula>(TEXT(TODAY(),"aaaa"))="Thursday"</formula>
    </cfRule>
  </conditionalFormatting>
  <conditionalFormatting sqref="CI35">
    <cfRule type="iconSet" priority="481">
      <iconSet iconSet="3Symbols2" showValue="0">
        <cfvo type="percent" val="0"/>
        <cfvo type="percent" val="33"/>
        <cfvo type="percent" val="67"/>
      </iconSet>
    </cfRule>
  </conditionalFormatting>
  <conditionalFormatting sqref="CI36">
    <cfRule type="iconSet" priority="464">
      <iconSet iconSet="3Symbols2" showValue="0">
        <cfvo type="percent" val="0"/>
        <cfvo type="percent" val="33"/>
        <cfvo type="percent" val="67"/>
      </iconSet>
    </cfRule>
  </conditionalFormatting>
  <conditionalFormatting sqref="CI36:CI37">
    <cfRule type="expression" dxfId="569" priority="461">
      <formula>(TEXT(TODAY(),"aaaa"))="Wednesday"</formula>
    </cfRule>
  </conditionalFormatting>
  <conditionalFormatting sqref="CI37">
    <cfRule type="iconSet" priority="460">
      <iconSet iconSet="3Symbols2" showValue="0">
        <cfvo type="percent" val="0"/>
        <cfvo type="percent" val="33"/>
        <cfvo type="percent" val="67"/>
      </iconSet>
    </cfRule>
  </conditionalFormatting>
  <conditionalFormatting sqref="CI53">
    <cfRule type="iconSet" priority="10">
      <iconSet iconSet="3Symbols2" showValue="0">
        <cfvo type="percent" val="0"/>
        <cfvo type="percent" val="33"/>
        <cfvo type="percent" val="67"/>
      </iconSet>
    </cfRule>
  </conditionalFormatting>
  <conditionalFormatting sqref="CI53:CI54">
    <cfRule type="cellIs" dxfId="568" priority="8" operator="equal">
      <formula>"✖"</formula>
    </cfRule>
    <cfRule type="cellIs" dxfId="567" priority="7" operator="equal">
      <formula>"✔"</formula>
    </cfRule>
    <cfRule type="expression" dxfId="566" priority="5">
      <formula>(TEXT(TODAY(),"aaaa"))="Tuesday"</formula>
    </cfRule>
  </conditionalFormatting>
  <conditionalFormatting sqref="CI54">
    <cfRule type="iconSet" priority="6">
      <iconSet iconSet="3Symbols2" showValue="0">
        <cfvo type="percent" val="0"/>
        <cfvo type="percent" val="33"/>
        <cfvo type="percent" val="67"/>
      </iconSet>
    </cfRule>
  </conditionalFormatting>
  <conditionalFormatting sqref="CJ34:CJ35">
    <cfRule type="expression" dxfId="565" priority="416">
      <formula>(TEXT(TODAY(),"aaaa"))="Tuesday"</formula>
    </cfRule>
  </conditionalFormatting>
  <conditionalFormatting sqref="CJ35">
    <cfRule type="iconSet" priority="415">
      <iconSet iconSet="3Symbols2" showValue="0">
        <cfvo type="percent" val="0"/>
        <cfvo type="percent" val="33"/>
        <cfvo type="percent" val="67"/>
      </iconSet>
    </cfRule>
  </conditionalFormatting>
  <conditionalFormatting sqref="CJ31:CK37">
    <cfRule type="cellIs" dxfId="564" priority="349" operator="equal">
      <formula>"✖"</formula>
    </cfRule>
    <cfRule type="cellIs" dxfId="563" priority="348" operator="equal">
      <formula>"✔"</formula>
    </cfRule>
  </conditionalFormatting>
  <conditionalFormatting sqref="CJ24:CS30">
    <cfRule type="cellIs" dxfId="562" priority="475" operator="equal">
      <formula>"✖"</formula>
    </cfRule>
    <cfRule type="cellIs" dxfId="561" priority="474" operator="equal">
      <formula>"✔"</formula>
    </cfRule>
  </conditionalFormatting>
  <conditionalFormatting sqref="CK31">
    <cfRule type="iconSet" priority="355">
      <iconSet iconSet="3Symbols2" showValue="0">
        <cfvo type="percent" val="0"/>
        <cfvo type="percent" val="33"/>
        <cfvo type="percent" val="67"/>
      </iconSet>
    </cfRule>
    <cfRule type="expression" dxfId="560" priority="354">
      <formula>(TEXT(TODAY(),"aaaa"))="Tuesday"</formula>
    </cfRule>
  </conditionalFormatting>
  <conditionalFormatting sqref="CK32">
    <cfRule type="expression" dxfId="559" priority="350">
      <formula>(TEXT(TODAY(),"aaaa"))="Thursday"</formula>
    </cfRule>
    <cfRule type="iconSet" priority="351">
      <iconSet iconSet="3Symbols2" showValue="0">
        <cfvo type="percent" val="0"/>
        <cfvo type="percent" val="33"/>
        <cfvo type="percent" val="67"/>
      </iconSet>
    </cfRule>
  </conditionalFormatting>
  <conditionalFormatting sqref="CK34">
    <cfRule type="iconSet" priority="347">
      <iconSet iconSet="3Symbols2" showValue="0">
        <cfvo type="percent" val="0"/>
        <cfvo type="percent" val="33"/>
        <cfvo type="percent" val="67"/>
      </iconSet>
    </cfRule>
  </conditionalFormatting>
  <conditionalFormatting sqref="CK34:CK35">
    <cfRule type="expression" dxfId="558" priority="346">
      <formula>(TEXT(TODAY(),"aaaa"))="Thursday"</formula>
    </cfRule>
  </conditionalFormatting>
  <conditionalFormatting sqref="CK35">
    <cfRule type="iconSet" priority="436">
      <iconSet iconSet="3Symbols2" showValue="0">
        <cfvo type="percent" val="0"/>
        <cfvo type="percent" val="33"/>
        <cfvo type="percent" val="67"/>
      </iconSet>
    </cfRule>
  </conditionalFormatting>
  <conditionalFormatting sqref="CK42">
    <cfRule type="iconSet" priority="36">
      <iconSet iconSet="3Symbols2" showValue="0">
        <cfvo type="percent" val="0"/>
        <cfvo type="percent" val="33"/>
        <cfvo type="percent" val="67"/>
      </iconSet>
    </cfRule>
  </conditionalFormatting>
  <conditionalFormatting sqref="CK42:CK54">
    <cfRule type="cellIs" dxfId="557" priority="34" operator="equal">
      <formula>"✖"</formula>
    </cfRule>
    <cfRule type="cellIs" dxfId="556" priority="33" operator="equal">
      <formula>"✔"</formula>
    </cfRule>
  </conditionalFormatting>
  <conditionalFormatting sqref="CK43">
    <cfRule type="iconSet" priority="32">
      <iconSet iconSet="3Symbols2" showValue="0">
        <cfvo type="percent" val="0"/>
        <cfvo type="percent" val="33"/>
        <cfvo type="percent" val="67"/>
      </iconSet>
    </cfRule>
  </conditionalFormatting>
  <conditionalFormatting sqref="CK44:CK50">
    <cfRule type="iconSet" priority="6990">
      <iconSet iconSet="3Symbols2" showValue="0">
        <cfvo type="percent" val="0"/>
        <cfvo type="percent" val="33"/>
        <cfvo type="percent" val="67"/>
      </iconSet>
    </cfRule>
  </conditionalFormatting>
  <conditionalFormatting sqref="CK51">
    <cfRule type="iconSet" priority="237">
      <iconSet iconSet="3Symbols2" showValue="0">
        <cfvo type="percent" val="0"/>
        <cfvo type="percent" val="33"/>
        <cfvo type="percent" val="67"/>
      </iconSet>
    </cfRule>
  </conditionalFormatting>
  <conditionalFormatting sqref="CK51:CK54">
    <cfRule type="expression" dxfId="555" priority="49">
      <formula>(TEXT(TODAY(),"aaaa"))="Tuesday"</formula>
    </cfRule>
  </conditionalFormatting>
  <conditionalFormatting sqref="CK52">
    <cfRule type="iconSet" priority="241">
      <iconSet iconSet="3Symbols2" showValue="0">
        <cfvo type="percent" val="0"/>
        <cfvo type="percent" val="33"/>
        <cfvo type="percent" val="67"/>
      </iconSet>
    </cfRule>
  </conditionalFormatting>
  <conditionalFormatting sqref="CK53">
    <cfRule type="iconSet" priority="96">
      <iconSet iconSet="3Symbols2" showValue="0">
        <cfvo type="percent" val="0"/>
        <cfvo type="percent" val="33"/>
        <cfvo type="percent" val="67"/>
      </iconSet>
    </cfRule>
  </conditionalFormatting>
  <conditionalFormatting sqref="CK54">
    <cfRule type="iconSet" priority="50">
      <iconSet iconSet="3Symbols2" showValue="0">
        <cfvo type="percent" val="0"/>
        <cfvo type="percent" val="33"/>
        <cfvo type="percent" val="67"/>
      </iconSet>
    </cfRule>
  </conditionalFormatting>
  <conditionalFormatting sqref="CK42:CN50">
    <cfRule type="expression" dxfId="554" priority="31">
      <formula>(TEXT(TODAY(),"aaaa"))="Tuesday"</formula>
    </cfRule>
  </conditionalFormatting>
  <conditionalFormatting sqref="CL31:CL34">
    <cfRule type="iconSet" priority="485">
      <iconSet iconSet="3Symbols2" showValue="0">
        <cfvo type="percent" val="0"/>
        <cfvo type="percent" val="33"/>
        <cfvo type="percent" val="67"/>
      </iconSet>
    </cfRule>
    <cfRule type="expression" dxfId="553" priority="484">
      <formula>(TEXT(TODAY(),"aaaa"))="Thursday"</formula>
    </cfRule>
  </conditionalFormatting>
  <conditionalFormatting sqref="CL31:CL38">
    <cfRule type="cellIs" dxfId="552" priority="486" operator="equal">
      <formula>"✔"</formula>
    </cfRule>
    <cfRule type="cellIs" dxfId="551" priority="487" operator="equal">
      <formula>"✖"</formula>
    </cfRule>
  </conditionalFormatting>
  <conditionalFormatting sqref="CL35">
    <cfRule type="expression" dxfId="550" priority="414">
      <formula>(TEXT(TODAY(),"aaaa"))="Tuesday"</formula>
    </cfRule>
    <cfRule type="iconSet" priority="521">
      <iconSet iconSet="3Symbols2" showValue="0">
        <cfvo type="percent" val="0"/>
        <cfvo type="percent" val="33"/>
        <cfvo type="percent" val="67"/>
      </iconSet>
    </cfRule>
  </conditionalFormatting>
  <conditionalFormatting sqref="CL42">
    <cfRule type="iconSet" priority="20">
      <iconSet iconSet="3Symbols2" showValue="0">
        <cfvo type="percent" val="0"/>
        <cfvo type="percent" val="33"/>
        <cfvo type="percent" val="67"/>
      </iconSet>
    </cfRule>
  </conditionalFormatting>
  <conditionalFormatting sqref="CL42:CL43">
    <cfRule type="cellIs" dxfId="549" priority="19" operator="equal">
      <formula>"✖"</formula>
    </cfRule>
    <cfRule type="cellIs" dxfId="548" priority="18" operator="equal">
      <formula>"✔"</formula>
    </cfRule>
  </conditionalFormatting>
  <conditionalFormatting sqref="CL43">
    <cfRule type="iconSet" priority="17">
      <iconSet iconSet="3Symbols2" showValue="0">
        <cfvo type="percent" val="0"/>
        <cfvo type="percent" val="33"/>
        <cfvo type="percent" val="67"/>
      </iconSet>
    </cfRule>
  </conditionalFormatting>
  <conditionalFormatting sqref="CM33">
    <cfRule type="iconSet" priority="343">
      <iconSet iconSet="3Symbols2" showValue="0">
        <cfvo type="percent" val="0"/>
        <cfvo type="percent" val="33"/>
        <cfvo type="percent" val="67"/>
      </iconSet>
    </cfRule>
    <cfRule type="expression" dxfId="547" priority="342">
      <formula>(TEXT(TODAY(),"aaaa"))="Thursday"</formula>
    </cfRule>
  </conditionalFormatting>
  <conditionalFormatting sqref="CM33:CM41">
    <cfRule type="cellIs" dxfId="546" priority="215" operator="equal">
      <formula>"✖"</formula>
    </cfRule>
    <cfRule type="cellIs" dxfId="545" priority="214" operator="equal">
      <formula>"✔"</formula>
    </cfRule>
  </conditionalFormatting>
  <conditionalFormatting sqref="CM34">
    <cfRule type="expression" dxfId="544" priority="440">
      <formula>(TEXT(TODAY(),"aaaa"))="Wednesday"</formula>
    </cfRule>
    <cfRule type="iconSet" priority="439">
      <iconSet iconSet="3Symbols2" showValue="0">
        <cfvo type="percent" val="0"/>
        <cfvo type="percent" val="33"/>
        <cfvo type="percent" val="67"/>
      </iconSet>
    </cfRule>
  </conditionalFormatting>
  <conditionalFormatting sqref="CM35">
    <cfRule type="iconSet" priority="339">
      <iconSet iconSet="3Symbols2" showValue="0">
        <cfvo type="percent" val="0"/>
        <cfvo type="percent" val="33"/>
        <cfvo type="percent" val="67"/>
      </iconSet>
    </cfRule>
    <cfRule type="expression" dxfId="543" priority="338">
      <formula>(TEXT(TODAY(),"aaaa"))="Thursday"</formula>
    </cfRule>
  </conditionalFormatting>
  <conditionalFormatting sqref="CM36">
    <cfRule type="iconSet" priority="224">
      <iconSet iconSet="3Symbols2" showValue="0">
        <cfvo type="percent" val="0"/>
        <cfvo type="percent" val="33"/>
        <cfvo type="percent" val="67"/>
      </iconSet>
    </cfRule>
  </conditionalFormatting>
  <conditionalFormatting sqref="CM36:CM39">
    <cfRule type="expression" dxfId="542" priority="213">
      <formula>(TEXT(TODAY(),"aaaa"))="Wednesday"</formula>
    </cfRule>
  </conditionalFormatting>
  <conditionalFormatting sqref="CM37">
    <cfRule type="iconSet" priority="220">
      <iconSet iconSet="3Symbols2" showValue="0">
        <cfvo type="percent" val="0"/>
        <cfvo type="percent" val="33"/>
        <cfvo type="percent" val="67"/>
      </iconSet>
    </cfRule>
  </conditionalFormatting>
  <conditionalFormatting sqref="CM38">
    <cfRule type="iconSet" priority="216">
      <iconSet iconSet="3Symbols2" showValue="0">
        <cfvo type="percent" val="0"/>
        <cfvo type="percent" val="33"/>
        <cfvo type="percent" val="67"/>
      </iconSet>
    </cfRule>
  </conditionalFormatting>
  <conditionalFormatting sqref="CM39">
    <cfRule type="iconSet" priority="212">
      <iconSet iconSet="3Symbols2" showValue="0">
        <cfvo type="percent" val="0"/>
        <cfvo type="percent" val="33"/>
        <cfvo type="percent" val="67"/>
      </iconSet>
    </cfRule>
  </conditionalFormatting>
  <conditionalFormatting sqref="CM40">
    <cfRule type="iconSet" priority="249">
      <iconSet iconSet="3Symbols2" showValue="0">
        <cfvo type="percent" val="0"/>
        <cfvo type="percent" val="33"/>
        <cfvo type="percent" val="67"/>
      </iconSet>
    </cfRule>
  </conditionalFormatting>
  <conditionalFormatting sqref="CM40:CM41">
    <cfRule type="expression" dxfId="541" priority="244">
      <formula>(TEXT(TODAY(),"aaaa"))="Tuesday"</formula>
    </cfRule>
  </conditionalFormatting>
  <conditionalFormatting sqref="CM41">
    <cfRule type="iconSet" priority="245">
      <iconSet iconSet="3Symbols2" showValue="0">
        <cfvo type="percent" val="0"/>
        <cfvo type="percent" val="33"/>
        <cfvo type="percent" val="67"/>
      </iconSet>
    </cfRule>
  </conditionalFormatting>
  <conditionalFormatting sqref="CM54">
    <cfRule type="iconSet" priority="13">
      <iconSet iconSet="3Symbols2" showValue="0">
        <cfvo type="percent" val="0"/>
        <cfvo type="percent" val="33"/>
        <cfvo type="percent" val="67"/>
      </iconSet>
    </cfRule>
    <cfRule type="expression" dxfId="540" priority="16">
      <formula>(TEXT(TODAY(),"aaaa"))="Tuesday"</formula>
    </cfRule>
  </conditionalFormatting>
  <conditionalFormatting sqref="CM42:CN42 CG42:CJ52">
    <cfRule type="cellIs" dxfId="539" priority="4297" operator="equal">
      <formula>"✔"</formula>
    </cfRule>
    <cfRule type="cellIs" dxfId="538" priority="4298" operator="equal">
      <formula>"✖"</formula>
    </cfRule>
  </conditionalFormatting>
  <conditionalFormatting sqref="CM54:CN54">
    <cfRule type="cellIs" dxfId="537" priority="15" operator="equal">
      <formula>"✖"</formula>
    </cfRule>
    <cfRule type="cellIs" dxfId="536" priority="14" operator="equal">
      <formula>"✔"</formula>
    </cfRule>
  </conditionalFormatting>
  <conditionalFormatting sqref="CN33:CN41 CJ36:CL41">
    <cfRule type="expression" dxfId="535" priority="311">
      <formula>(TEXT(TODAY(),"aaaa"))="Tuesday"</formula>
    </cfRule>
  </conditionalFormatting>
  <conditionalFormatting sqref="CN39:CN41">
    <cfRule type="cellIs" dxfId="534" priority="543" operator="equal">
      <formula>"✔"</formula>
    </cfRule>
    <cfRule type="cellIs" dxfId="533" priority="544" operator="equal">
      <formula>"✖"</formula>
    </cfRule>
  </conditionalFormatting>
  <conditionalFormatting sqref="CN54">
    <cfRule type="iconSet" priority="46">
      <iconSet iconSet="3Symbols2" showValue="0">
        <cfvo type="percent" val="0"/>
        <cfvo type="percent" val="33"/>
        <cfvo type="percent" val="67"/>
      </iconSet>
    </cfRule>
    <cfRule type="expression" dxfId="532" priority="45">
      <formula>(TEXT(TODAY(),"aaaa"))="Thursday"</formula>
    </cfRule>
  </conditionalFormatting>
  <conditionalFormatting sqref="CO33">
    <cfRule type="expression" dxfId="531" priority="419">
      <formula>(TEXT(TODAY(),"aaaa"))="Thursday"</formula>
    </cfRule>
    <cfRule type="iconSet" priority="420">
      <iconSet iconSet="3Symbols2" showValue="0">
        <cfvo type="percent" val="0"/>
        <cfvo type="percent" val="33"/>
        <cfvo type="percent" val="67"/>
      </iconSet>
    </cfRule>
  </conditionalFormatting>
  <conditionalFormatting sqref="CO40:CO41 CO50:CO54">
    <cfRule type="iconSet" priority="4323">
      <iconSet iconSet="3Symbols2" showValue="0">
        <cfvo type="percent" val="0"/>
        <cfvo type="percent" val="33"/>
        <cfvo type="percent" val="67"/>
      </iconSet>
    </cfRule>
  </conditionalFormatting>
  <conditionalFormatting sqref="CO40:CO54">
    <cfRule type="cellIs" dxfId="530" priority="4324" operator="equal">
      <formula>"✔"</formula>
    </cfRule>
    <cfRule type="cellIs" dxfId="529" priority="4325" operator="equal">
      <formula>"✖"</formula>
    </cfRule>
  </conditionalFormatting>
  <conditionalFormatting sqref="CO42:CO49">
    <cfRule type="iconSet" priority="6872">
      <iconSet iconSet="3Symbols2" showValue="0">
        <cfvo type="percent" val="0"/>
        <cfvo type="percent" val="33"/>
        <cfvo type="percent" val="67"/>
      </iconSet>
    </cfRule>
  </conditionalFormatting>
  <conditionalFormatting sqref="CO18:CS32">
    <cfRule type="expression" dxfId="528" priority="315">
      <formula>(TEXT(TODAY(),"aaaa"))="Wednesday"</formula>
    </cfRule>
  </conditionalFormatting>
  <conditionalFormatting sqref="CO33:EH35">
    <cfRule type="cellIs" dxfId="527" priority="117" operator="equal">
      <formula>"✖"</formula>
    </cfRule>
    <cfRule type="cellIs" dxfId="526" priority="116" operator="equal">
      <formula>"✔"</formula>
    </cfRule>
  </conditionalFormatting>
  <conditionalFormatting sqref="CO36:EL36">
    <cfRule type="cellIs" dxfId="525" priority="42" operator="equal">
      <formula>"✖"</formula>
    </cfRule>
    <cfRule type="cellIs" dxfId="524" priority="41" operator="equal">
      <formula>"✔"</formula>
    </cfRule>
  </conditionalFormatting>
  <conditionalFormatting sqref="CP27">
    <cfRule type="iconSet" priority="476">
      <iconSet iconSet="3Symbols2" showValue="0">
        <cfvo type="percent" val="0"/>
        <cfvo type="percent" val="33"/>
        <cfvo type="percent" val="67"/>
      </iconSet>
    </cfRule>
  </conditionalFormatting>
  <conditionalFormatting sqref="CP28">
    <cfRule type="iconSet" priority="472">
      <iconSet iconSet="3Symbols2" showValue="0">
        <cfvo type="percent" val="0"/>
        <cfvo type="percent" val="33"/>
        <cfvo type="percent" val="67"/>
      </iconSet>
    </cfRule>
  </conditionalFormatting>
  <conditionalFormatting sqref="CP29:CP30">
    <cfRule type="iconSet" priority="4491">
      <iconSet iconSet="3Symbols2" showValue="0">
        <cfvo type="percent" val="0"/>
        <cfvo type="percent" val="33"/>
        <cfvo type="percent" val="67"/>
      </iconSet>
    </cfRule>
  </conditionalFormatting>
  <conditionalFormatting sqref="CP40:CP41 CR40:CS41">
    <cfRule type="expression" dxfId="523" priority="313">
      <formula>(TEXT(TODAY(),"aaaa"))="Wednesday"</formula>
    </cfRule>
  </conditionalFormatting>
  <conditionalFormatting sqref="CP40:CP52">
    <cfRule type="cellIs" dxfId="522" priority="25" operator="equal">
      <formula>"✔"</formula>
    </cfRule>
    <cfRule type="cellIs" dxfId="521" priority="26" operator="equal">
      <formula>"✖"</formula>
    </cfRule>
  </conditionalFormatting>
  <conditionalFormatting sqref="CP42">
    <cfRule type="iconSet" priority="28">
      <iconSet iconSet="3Symbols2" showValue="0">
        <cfvo type="percent" val="0"/>
        <cfvo type="percent" val="33"/>
        <cfvo type="percent" val="67"/>
      </iconSet>
    </cfRule>
  </conditionalFormatting>
  <conditionalFormatting sqref="CP42:CP43">
    <cfRule type="expression" dxfId="520" priority="23">
      <formula>(TEXT(TODAY(),"aaaa"))="Tuesday"</formula>
    </cfRule>
  </conditionalFormatting>
  <conditionalFormatting sqref="CP43">
    <cfRule type="iconSet" priority="24">
      <iconSet iconSet="3Symbols2" showValue="0">
        <cfvo type="percent" val="0"/>
        <cfvo type="percent" val="33"/>
        <cfvo type="percent" val="67"/>
      </iconSet>
    </cfRule>
  </conditionalFormatting>
  <conditionalFormatting sqref="CP51:CP52">
    <cfRule type="iconSet" priority="188">
      <iconSet iconSet="3Symbols2" showValue="0">
        <cfvo type="percent" val="0"/>
        <cfvo type="percent" val="33"/>
        <cfvo type="percent" val="67"/>
      </iconSet>
    </cfRule>
  </conditionalFormatting>
  <conditionalFormatting sqref="CP53:CQ53">
    <cfRule type="cellIs" dxfId="519" priority="59" operator="equal">
      <formula>"✖"</formula>
    </cfRule>
    <cfRule type="iconSet" priority="57">
      <iconSet iconSet="3Symbols2" showValue="0">
        <cfvo type="percent" val="0"/>
        <cfvo type="percent" val="33"/>
        <cfvo type="percent" val="67"/>
      </iconSet>
    </cfRule>
    <cfRule type="cellIs" dxfId="518" priority="58" operator="equal">
      <formula>"✔"</formula>
    </cfRule>
  </conditionalFormatting>
  <conditionalFormatting sqref="CP33:CS33 CO34:CS35 CO36:CR36 CQ37:CR38 CO37:CP39">
    <cfRule type="expression" dxfId="517" priority="511">
      <formula>(TEXT(TODAY(),"aaaa"))="Wednesday"</formula>
    </cfRule>
  </conditionalFormatting>
  <conditionalFormatting sqref="CP44:CS53">
    <cfRule type="expression" dxfId="516" priority="189">
      <formula>(TEXT(TODAY(),"aaaa"))="Wednesday"</formula>
    </cfRule>
  </conditionalFormatting>
  <conditionalFormatting sqref="CQ39">
    <cfRule type="iconSet" priority="443">
      <iconSet iconSet="3Symbols2" showValue="0">
        <cfvo type="percent" val="0"/>
        <cfvo type="percent" val="33"/>
        <cfvo type="percent" val="67"/>
      </iconSet>
    </cfRule>
  </conditionalFormatting>
  <conditionalFormatting sqref="CQ39:CQ41">
    <cfRule type="expression" dxfId="515" priority="205">
      <formula>(TEXT(TODAY(),"aaaa"))="Wednesday"</formula>
    </cfRule>
  </conditionalFormatting>
  <conditionalFormatting sqref="CQ40">
    <cfRule type="iconSet" priority="208">
      <iconSet iconSet="3Symbols2" showValue="0">
        <cfvo type="percent" val="0"/>
        <cfvo type="percent" val="33"/>
        <cfvo type="percent" val="67"/>
      </iconSet>
    </cfRule>
  </conditionalFormatting>
  <conditionalFormatting sqref="CQ41">
    <cfRule type="iconSet" priority="204">
      <iconSet iconSet="3Symbols2" showValue="0">
        <cfvo type="percent" val="0"/>
        <cfvo type="percent" val="33"/>
        <cfvo type="percent" val="67"/>
      </iconSet>
    </cfRule>
  </conditionalFormatting>
  <conditionalFormatting sqref="CQ54">
    <cfRule type="cellIs" dxfId="514" priority="3" operator="equal">
      <formula>"✖"</formula>
    </cfRule>
    <cfRule type="expression" dxfId="513" priority="4">
      <formula>(TEXT(TODAY(),"aaaa"))="Wednesday"</formula>
    </cfRule>
    <cfRule type="iconSet" priority="1">
      <iconSet iconSet="3Symbols2" showValue="0">
        <cfvo type="percent" val="0"/>
        <cfvo type="percent" val="33"/>
        <cfvo type="percent" val="67"/>
      </iconSet>
    </cfRule>
    <cfRule type="cellIs" dxfId="512" priority="2" operator="equal">
      <formula>"✔"</formula>
    </cfRule>
  </conditionalFormatting>
  <conditionalFormatting sqref="CQ53:CR53">
    <cfRule type="iconSet" priority="60">
      <iconSet iconSet="3Symbols2" showValue="0">
        <cfvo type="percent" val="0"/>
        <cfvo type="percent" val="33"/>
        <cfvo type="percent" val="67"/>
      </iconSet>
    </cfRule>
  </conditionalFormatting>
  <conditionalFormatting sqref="CQ37:EL53">
    <cfRule type="cellIs" dxfId="511" priority="61" operator="equal">
      <formula>"✔"</formula>
    </cfRule>
    <cfRule type="cellIs" dxfId="510" priority="62" operator="equal">
      <formula>"✖"</formula>
    </cfRule>
  </conditionalFormatting>
  <conditionalFormatting sqref="CR39">
    <cfRule type="expression" dxfId="509" priority="509">
      <formula>(TEXT(TODAY(),"aaaa"))="Wednesday"</formula>
    </cfRule>
  </conditionalFormatting>
  <conditionalFormatting sqref="CS18:CS23">
    <cfRule type="iconSet" priority="314">
      <iconSet iconSet="3Symbols2" showValue="0">
        <cfvo type="percent" val="0"/>
        <cfvo type="percent" val="33"/>
        <cfvo type="percent" val="67"/>
      </iconSet>
    </cfRule>
    <cfRule type="cellIs" dxfId="508" priority="316" operator="equal">
      <formula>"✔"</formula>
    </cfRule>
    <cfRule type="cellIs" dxfId="507" priority="317" operator="equal">
      <formula>"✖"</formula>
    </cfRule>
  </conditionalFormatting>
  <conditionalFormatting sqref="CS36">
    <cfRule type="iconSet" priority="40">
      <iconSet iconSet="3Symbols2" showValue="0">
        <cfvo type="percent" val="0"/>
        <cfvo type="percent" val="33"/>
        <cfvo type="percent" val="67"/>
      </iconSet>
    </cfRule>
  </conditionalFormatting>
  <conditionalFormatting sqref="CS36:CS39">
    <cfRule type="expression" dxfId="506" priority="39">
      <formula>(TEXT(TODAY(),"aaaa"))="Wednesday"</formula>
    </cfRule>
  </conditionalFormatting>
  <conditionalFormatting sqref="CS39">
    <cfRule type="iconSet" priority="518">
      <iconSet iconSet="3Symbols2" showValue="0">
        <cfvo type="percent" val="0"/>
        <cfvo type="percent" val="33"/>
        <cfvo type="percent" val="67"/>
      </iconSet>
    </cfRule>
  </conditionalFormatting>
  <conditionalFormatting sqref="CS40:CS53">
    <cfRule type="iconSet" priority="6852">
      <iconSet iconSet="3Symbols2" showValue="0">
        <cfvo type="percent" val="0"/>
        <cfvo type="percent" val="33"/>
        <cfvo type="percent" val="67"/>
      </iconSet>
    </cfRule>
  </conditionalFormatting>
  <conditionalFormatting sqref="CT18 CV18:CX18 CT19:CV23 CX19:CX23 CT53:CW53">
    <cfRule type="expression" dxfId="505" priority="166">
      <formula>(TEXT(TODAY(),"aaaa"))="Thursday"</formula>
    </cfRule>
  </conditionalFormatting>
  <conditionalFormatting sqref="CT53:CW53 DB53 DD53:EJ53 EL53 CY53">
    <cfRule type="iconSet" priority="99">
      <iconSet iconSet="3Symbols2" showValue="0">
        <cfvo type="percent" val="0"/>
        <cfvo type="percent" val="33"/>
        <cfvo type="percent" val="67"/>
      </iconSet>
    </cfRule>
  </conditionalFormatting>
  <conditionalFormatting sqref="CT39:CY40 DA39:DB40 DD39:EL40">
    <cfRule type="iconSet" priority="167">
      <iconSet iconSet="3Symbols2" showValue="0">
        <cfvo type="percent" val="0"/>
        <cfvo type="percent" val="33"/>
        <cfvo type="percent" val="67"/>
      </iconSet>
    </cfRule>
  </conditionalFormatting>
  <conditionalFormatting sqref="CT41:CY41 DA41:DB41 DD41:EL41">
    <cfRule type="iconSet" priority="111">
      <iconSet iconSet="3Symbols2" showValue="0">
        <cfvo type="percent" val="0"/>
        <cfvo type="percent" val="33"/>
        <cfvo type="percent" val="67"/>
      </iconSet>
    </cfRule>
  </conditionalFormatting>
  <conditionalFormatting sqref="CT42:CY52 DA42:DB52 DD42:EJ52 EL42:EL52">
    <cfRule type="iconSet" priority="6947">
      <iconSet iconSet="3Symbols2" showValue="0">
        <cfvo type="percent" val="0"/>
        <cfvo type="percent" val="33"/>
        <cfvo type="percent" val="67"/>
      </iconSet>
    </cfRule>
  </conditionalFormatting>
  <conditionalFormatting sqref="CT19:EH32">
    <cfRule type="cellIs" dxfId="504" priority="133" operator="equal">
      <formula>"✖"</formula>
    </cfRule>
    <cfRule type="cellIs" dxfId="503" priority="132" operator="equal">
      <formula>"✔"</formula>
    </cfRule>
  </conditionalFormatting>
  <conditionalFormatting sqref="CT18:EL18">
    <cfRule type="cellIs" dxfId="502" priority="152" operator="equal">
      <formula>"✔"</formula>
    </cfRule>
    <cfRule type="cellIs" dxfId="501" priority="153" operator="equal">
      <formula>"✖"</formula>
    </cfRule>
  </conditionalFormatting>
  <conditionalFormatting sqref="CU18">
    <cfRule type="iconSet" priority="150">
      <iconSet iconSet="3Symbols2" showValue="0">
        <cfvo type="percent" val="0"/>
        <cfvo type="percent" val="33"/>
        <cfvo type="percent" val="67"/>
      </iconSet>
    </cfRule>
    <cfRule type="expression" dxfId="500" priority="151">
      <formula>(TEXT(TODAY(),"aaaa"))="Wednesday"</formula>
    </cfRule>
  </conditionalFormatting>
  <conditionalFormatting sqref="CW19:CW23">
    <cfRule type="iconSet" priority="146">
      <iconSet iconSet="3Symbols2" showValue="0">
        <cfvo type="percent" val="0"/>
        <cfvo type="percent" val="33"/>
        <cfvo type="percent" val="67"/>
      </iconSet>
    </cfRule>
    <cfRule type="expression" dxfId="499" priority="147">
      <formula>(TEXT(TODAY(),"aaaa"))="Wednesday"</formula>
    </cfRule>
  </conditionalFormatting>
  <conditionalFormatting sqref="CX53">
    <cfRule type="iconSet" priority="75">
      <iconSet iconSet="3Symbols2" showValue="0">
        <cfvo type="percent" val="0"/>
        <cfvo type="percent" val="33"/>
        <cfvo type="percent" val="67"/>
      </iconSet>
    </cfRule>
    <cfRule type="expression" dxfId="498" priority="74">
      <formula>(TEXT(TODAY(),"aaaa"))="Wednesday"</formula>
    </cfRule>
    <cfRule type="iconSet" priority="71">
      <iconSet iconSet="3Symbols2" showValue="0">
        <cfvo type="percent" val="0"/>
        <cfvo type="percent" val="33"/>
        <cfvo type="percent" val="67"/>
      </iconSet>
    </cfRule>
    <cfRule type="expression" dxfId="497" priority="70">
      <formula>(TEXT(TODAY(),"aaaa"))="Tuesday"</formula>
    </cfRule>
  </conditionalFormatting>
  <conditionalFormatting sqref="CY24">
    <cfRule type="iconSet" priority="142">
      <iconSet iconSet="3Symbols2" showValue="0">
        <cfvo type="percent" val="0"/>
        <cfvo type="percent" val="33"/>
        <cfvo type="percent" val="67"/>
      </iconSet>
    </cfRule>
  </conditionalFormatting>
  <conditionalFormatting sqref="CY24:CY32">
    <cfRule type="expression" dxfId="496" priority="131">
      <formula>(TEXT(TODAY(),"aaaa"))="Wednesday"</formula>
    </cfRule>
  </conditionalFormatting>
  <conditionalFormatting sqref="CY25">
    <cfRule type="iconSet" priority="138">
      <iconSet iconSet="3Symbols2" showValue="0">
        <cfvo type="percent" val="0"/>
        <cfvo type="percent" val="33"/>
        <cfvo type="percent" val="67"/>
      </iconSet>
    </cfRule>
  </conditionalFormatting>
  <conditionalFormatting sqref="CY26">
    <cfRule type="iconSet" priority="130">
      <iconSet iconSet="3Symbols2" showValue="0">
        <cfvo type="percent" val="0"/>
        <cfvo type="percent" val="33"/>
        <cfvo type="percent" val="67"/>
      </iconSet>
    </cfRule>
  </conditionalFormatting>
  <conditionalFormatting sqref="CY27:CY32">
    <cfRule type="iconSet" priority="5978">
      <iconSet iconSet="3Symbols2" showValue="0">
        <cfvo type="percent" val="0"/>
        <cfvo type="percent" val="33"/>
        <cfvo type="percent" val="67"/>
      </iconSet>
    </cfRule>
  </conditionalFormatting>
  <conditionalFormatting sqref="CY39:DB52">
    <cfRule type="expression" dxfId="495" priority="159">
      <formula>(TEXT(TODAY(),"aaaa"))="Friday"</formula>
    </cfRule>
  </conditionalFormatting>
  <conditionalFormatting sqref="CY18:DC23 CY33:CZ33 DB33:DC33 CY53:CZ53 DB53">
    <cfRule type="expression" dxfId="494" priority="163">
      <formula>(TEXT(TODAY(),"aaaa"))="Friday"</formula>
    </cfRule>
  </conditionalFormatting>
  <conditionalFormatting sqref="CZ39">
    <cfRule type="iconSet" priority="158">
      <iconSet iconSet="3Symbols2" showValue="0">
        <cfvo type="percent" val="0"/>
        <cfvo type="percent" val="33"/>
        <cfvo type="percent" val="67"/>
      </iconSet>
    </cfRule>
  </conditionalFormatting>
  <conditionalFormatting sqref="CZ40:CZ53">
    <cfRule type="iconSet" priority="6941">
      <iconSet iconSet="3Symbols2" showValue="0">
        <cfvo type="percent" val="0"/>
        <cfvo type="percent" val="33"/>
        <cfvo type="percent" val="67"/>
      </iconSet>
    </cfRule>
  </conditionalFormatting>
  <conditionalFormatting sqref="DA33">
    <cfRule type="expression" dxfId="493" priority="123">
      <formula>(TEXT(TODAY(),"aaaa"))="Wednesday"</formula>
    </cfRule>
    <cfRule type="iconSet" priority="122">
      <iconSet iconSet="3Symbols2" showValue="0">
        <cfvo type="percent" val="0"/>
        <cfvo type="percent" val="33"/>
        <cfvo type="percent" val="67"/>
      </iconSet>
    </cfRule>
  </conditionalFormatting>
  <conditionalFormatting sqref="DA53">
    <cfRule type="iconSet" priority="66">
      <iconSet iconSet="3Symbols2" showValue="0">
        <cfvo type="percent" val="0"/>
        <cfvo type="percent" val="33"/>
        <cfvo type="percent" val="67"/>
      </iconSet>
    </cfRule>
    <cfRule type="iconSet" priority="63">
      <iconSet iconSet="3Symbols2" showValue="0">
        <cfvo type="percent" val="0"/>
        <cfvo type="percent" val="33"/>
        <cfvo type="percent" val="67"/>
      </iconSet>
    </cfRule>
    <cfRule type="expression" dxfId="492" priority="69">
      <formula>(TEXT(TODAY(),"aaaa"))="Wednesday"</formula>
    </cfRule>
  </conditionalFormatting>
  <conditionalFormatting sqref="DC39">
    <cfRule type="iconSet" priority="154">
      <iconSet iconSet="3Symbols2" showValue="0">
        <cfvo type="percent" val="0"/>
        <cfvo type="percent" val="33"/>
        <cfvo type="percent" val="67"/>
      </iconSet>
    </cfRule>
    <cfRule type="expression" dxfId="491" priority="155">
      <formula>(TEXT(TODAY(),"aaaa"))="Friday"</formula>
    </cfRule>
  </conditionalFormatting>
  <conditionalFormatting sqref="DC40:DC53">
    <cfRule type="iconSet" priority="6935">
      <iconSet iconSet="3Symbols2" showValue="0">
        <cfvo type="percent" val="0"/>
        <cfvo type="percent" val="33"/>
        <cfvo type="percent" val="67"/>
      </iconSet>
    </cfRule>
  </conditionalFormatting>
  <conditionalFormatting sqref="DD18:DH53 EC18:EG53">
    <cfRule type="expression" dxfId="490" priority="106">
      <formula>(TEXT(TODAY(),"aaaa"))="Monday"</formula>
    </cfRule>
  </conditionalFormatting>
  <conditionalFormatting sqref="DI34:DL34">
    <cfRule type="expression" dxfId="489" priority="164">
      <formula>(TEXT(TODAY(),"aaaa"))="Tuesday"</formula>
    </cfRule>
  </conditionalFormatting>
  <conditionalFormatting sqref="DM34">
    <cfRule type="expression" dxfId="488" priority="119">
      <formula>(TEXT(TODAY(),"aaaa"))="Wednesday"</formula>
    </cfRule>
    <cfRule type="iconSet" priority="118">
      <iconSet iconSet="3Symbols2" showValue="0">
        <cfvo type="percent" val="0"/>
        <cfvo type="percent" val="33"/>
        <cfvo type="percent" val="67"/>
      </iconSet>
    </cfRule>
  </conditionalFormatting>
  <conditionalFormatting sqref="DN18:DR53">
    <cfRule type="expression" dxfId="487" priority="109">
      <formula>(TEXT(TODAY(),"aaaa"))="Wednesday"</formula>
    </cfRule>
  </conditionalFormatting>
  <conditionalFormatting sqref="DP35">
    <cfRule type="iconSet" priority="114">
      <iconSet iconSet="3Symbols2" showValue="0">
        <cfvo type="percent" val="0"/>
        <cfvo type="percent" val="33"/>
        <cfvo type="percent" val="67"/>
      </iconSet>
    </cfRule>
  </conditionalFormatting>
  <conditionalFormatting sqref="DS18:DW53 CT24:CX52">
    <cfRule type="expression" dxfId="486" priority="110">
      <formula>(TEXT(TODAY(),"aaaa"))="Thursday"</formula>
    </cfRule>
  </conditionalFormatting>
  <conditionalFormatting sqref="DX18:EB53">
    <cfRule type="expression" dxfId="485" priority="107">
      <formula>(TEXT(TODAY(),"aaaa"))="Friday"</formula>
    </cfRule>
  </conditionalFormatting>
  <conditionalFormatting sqref="EH18:EL41 DI35:DM53">
    <cfRule type="expression" dxfId="484" priority="108">
      <formula>(TEXT(TODAY(),"aaaa"))="Tuesday"</formula>
    </cfRule>
  </conditionalFormatting>
  <conditionalFormatting sqref="EK42:EK53">
    <cfRule type="iconSet" priority="6971">
      <iconSet iconSet="3Symbols2" showValue="0">
        <cfvo type="percent" val="0"/>
        <cfvo type="percent" val="33"/>
        <cfvo type="percent" val="67"/>
      </iconSet>
    </cfRule>
  </conditionalFormatting>
  <dataValidations count="3">
    <dataValidation allowBlank="1" showInputMessage="1" showErrorMessage="1" prompt="Enter Period time in next cell T7." sqref="AG14 BF14" xr:uid="{43BDA58E-6BBF-464F-8331-0498963AC4E3}"/>
    <dataValidation allowBlank="1" showInputMessage="1" showErrorMessage="1" prompt="Enter Period time in this cell." sqref="AL14 BK14 M14" xr:uid="{1102643B-2C22-4277-92B1-B4A1A61FBB2C}"/>
    <dataValidation allowBlank="1" showInputMessage="1" showErrorMessage="1" prompt="Enter Time in this cell." sqref="AB14 BZ14 BA14" xr:uid="{215D28AF-7F79-4C12-B516-5BB97B493A0B}"/>
  </dataValidation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B20AE-259F-4ACD-932D-99740BEFAA46}">
  <sheetPr codeName="Sheet6" filterMode="1"/>
  <dimension ref="B1:EM82"/>
  <sheetViews>
    <sheetView topLeftCell="C78" zoomScale="60" zoomScaleNormal="60" workbookViewId="0">
      <selection activeCell="E21" sqref="E2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6.28515625" style="8" customWidth="1"/>
    <col min="10" max="11" width="15" style="8" customWidth="1"/>
    <col min="12" max="12" width="24" style="8" customWidth="1"/>
    <col min="13" max="13" width="19.85546875" style="7" customWidth="1"/>
    <col min="14" max="18" width="19.140625" style="7" bestFit="1" customWidth="1"/>
    <col min="19" max="21" width="22.42578125" style="7" bestFit="1" customWidth="1"/>
    <col min="22" max="22" width="17.85546875" style="7" customWidth="1"/>
    <col min="23" max="23" width="20.85546875" style="7" bestFit="1" customWidth="1"/>
    <col min="24" max="24" width="23.85546875" style="7" bestFit="1" customWidth="1"/>
    <col min="25" max="25" width="22.42578125" style="7" bestFit="1" customWidth="1"/>
    <col min="26" max="26" width="17.85546875" style="7" customWidth="1"/>
    <col min="27" max="27" width="21.7109375" style="7" bestFit="1" customWidth="1"/>
    <col min="28" max="28" width="17.85546875" style="7" customWidth="1"/>
    <col min="29" max="29" width="20.140625" style="7" customWidth="1"/>
    <col min="30" max="30" width="21.7109375" style="7" customWidth="1"/>
    <col min="31" max="32" width="22.42578125" style="7" bestFit="1" customWidth="1"/>
    <col min="33" max="33" width="18" style="7" bestFit="1" customWidth="1"/>
    <col min="34" max="34" width="22.42578125" style="7" bestFit="1" customWidth="1"/>
    <col min="35" max="35" width="19.85546875" style="7" bestFit="1" customWidth="1"/>
    <col min="36" max="36" width="22.42578125" style="7" bestFit="1" customWidth="1"/>
    <col min="37" max="37" width="23.85546875" style="7" bestFit="1" customWidth="1"/>
    <col min="38" max="38" width="19.85546875" style="7" customWidth="1"/>
    <col min="39" max="39" width="18" style="7" bestFit="1" customWidth="1"/>
    <col min="40" max="40" width="20.7109375" style="7" customWidth="1"/>
    <col min="41" max="41" width="20.140625" style="7" customWidth="1"/>
    <col min="42" max="42" width="21.7109375" style="7" bestFit="1" customWidth="1"/>
    <col min="43" max="50" width="17.85546875" style="7" customWidth="1"/>
    <col min="51" max="51" width="20.140625" style="7" bestFit="1" customWidth="1"/>
    <col min="52" max="52" width="19.42578125" style="7" customWidth="1"/>
    <col min="53" max="53" width="20.140625" style="7" bestFit="1" customWidth="1"/>
    <col min="54" max="54" width="17.85546875" style="7" customWidth="1"/>
    <col min="55" max="55" width="20.140625" style="7" bestFit="1" customWidth="1"/>
    <col min="56" max="57" width="20.140625" style="7" customWidth="1"/>
    <col min="58" max="58" width="20.7109375" style="7" bestFit="1" customWidth="1"/>
    <col min="59" max="61" width="17.85546875" style="7" customWidth="1"/>
    <col min="62" max="62" width="21.7109375" style="7" bestFit="1" customWidth="1"/>
    <col min="63" max="64" width="17.85546875" style="7" customWidth="1"/>
    <col min="65" max="65" width="23.85546875" style="7" bestFit="1" customWidth="1"/>
    <col min="66" max="66" width="17.85546875" style="7" customWidth="1"/>
    <col min="67" max="68" width="23.85546875" style="7" customWidth="1"/>
    <col min="69" max="69" width="22.42578125" style="7" bestFit="1" customWidth="1"/>
    <col min="70" max="70" width="21.7109375" style="7" customWidth="1"/>
    <col min="71" max="71" width="23.85546875" style="7" bestFit="1" customWidth="1"/>
    <col min="72" max="72" width="20.140625" style="7" bestFit="1" customWidth="1"/>
    <col min="73" max="73" width="21.28515625" style="7" customWidth="1"/>
    <col min="74" max="74" width="17.85546875" style="7" customWidth="1"/>
    <col min="75" max="75" width="20.140625" style="7" bestFit="1" customWidth="1"/>
    <col min="76" max="76" width="23.85546875" style="7" bestFit="1" customWidth="1"/>
    <col min="77" max="77" width="20.140625" style="7" bestFit="1" customWidth="1"/>
    <col min="78" max="78" width="17.85546875" style="7" customWidth="1"/>
    <col min="79" max="80" width="22.85546875" style="7" bestFit="1" customWidth="1"/>
    <col min="81" max="82" width="17.85546875" style="7" customWidth="1"/>
    <col min="83" max="83" width="21.7109375" style="9" bestFit="1" customWidth="1"/>
    <col min="84" max="84" width="21.7109375" style="7" customWidth="1"/>
    <col min="85" max="85" width="20.85546875" style="7" bestFit="1" customWidth="1"/>
    <col min="86" max="86" width="17.85546875" style="7" customWidth="1"/>
    <col min="87" max="87" width="20.140625" style="7" bestFit="1" customWidth="1"/>
    <col min="88" max="142" width="17.85546875" style="7" customWidth="1"/>
    <col min="143" max="143" width="29.140625" style="7" customWidth="1"/>
    <col min="144" max="16384" width="10.42578125" style="7"/>
  </cols>
  <sheetData>
    <row r="1" spans="2:143" ht="39.75">
      <c r="B1" s="6" t="s">
        <v>1213</v>
      </c>
      <c r="CF1" s="10" t="s">
        <v>1336</v>
      </c>
    </row>
    <row r="2" spans="2:143" ht="39.75">
      <c r="B2" s="6"/>
      <c r="CF2" s="10"/>
    </row>
    <row r="3" spans="2:143" ht="18.75" customHeight="1">
      <c r="B3" s="6"/>
      <c r="E3" s="366" t="s">
        <v>0</v>
      </c>
      <c r="F3" s="366"/>
      <c r="G3" s="366"/>
      <c r="H3" s="366"/>
      <c r="I3" s="366"/>
      <c r="J3" s="366"/>
      <c r="K3" s="366"/>
      <c r="L3" s="366"/>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1"/>
      <c r="CF3" s="10"/>
    </row>
    <row r="4" spans="2:143" ht="18.75" customHeight="1">
      <c r="B4" s="6"/>
      <c r="E4" s="365" t="s">
        <v>1214</v>
      </c>
      <c r="F4" s="365"/>
      <c r="G4" s="365"/>
      <c r="H4" s="365"/>
      <c r="I4" s="365"/>
      <c r="J4" s="365"/>
      <c r="K4" s="365"/>
      <c r="L4" s="365"/>
      <c r="CF4" s="10"/>
    </row>
    <row r="5" spans="2:143" ht="18.75" customHeight="1">
      <c r="B5" s="6"/>
      <c r="E5" s="365" t="s">
        <v>1215</v>
      </c>
      <c r="F5" s="365"/>
      <c r="G5" s="365"/>
      <c r="H5" s="365"/>
      <c r="I5" s="365"/>
      <c r="J5" s="365"/>
      <c r="K5" s="365"/>
      <c r="L5" s="365"/>
      <c r="M5" s="11"/>
      <c r="N5" s="11"/>
      <c r="O5" s="11"/>
      <c r="P5" s="129" t="s">
        <v>1492</v>
      </c>
      <c r="Q5" s="11"/>
      <c r="R5" s="11"/>
      <c r="T5" s="136" t="s">
        <v>1493</v>
      </c>
      <c r="U5" s="136" t="s">
        <v>1494</v>
      </c>
      <c r="CF5" s="10"/>
    </row>
    <row r="6" spans="2:143" ht="18.75" customHeight="1">
      <c r="B6" s="6"/>
      <c r="E6" s="367" t="s">
        <v>1216</v>
      </c>
      <c r="F6" s="367"/>
      <c r="G6" s="367"/>
      <c r="H6" s="367"/>
      <c r="I6" s="367"/>
      <c r="J6" s="367"/>
      <c r="K6" s="367"/>
      <c r="L6" s="367"/>
      <c r="S6" s="129" t="s">
        <v>1495</v>
      </c>
      <c r="CF6" s="10"/>
    </row>
    <row r="7" spans="2:143" ht="18.75" customHeight="1">
      <c r="E7" s="366" t="s">
        <v>33</v>
      </c>
      <c r="F7" s="366"/>
      <c r="G7" s="366"/>
      <c r="H7" s="366"/>
      <c r="I7" s="366"/>
      <c r="J7" s="366"/>
      <c r="K7" s="366"/>
      <c r="L7" s="366"/>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0"/>
      <c r="CD7" s="120"/>
      <c r="CE7" s="121"/>
      <c r="CF7" s="10"/>
    </row>
    <row r="8" spans="2:143" ht="18.75" customHeight="1">
      <c r="E8" s="365" t="s">
        <v>1217</v>
      </c>
      <c r="F8" s="365"/>
      <c r="G8" s="365"/>
      <c r="H8" s="365"/>
      <c r="I8" s="365"/>
      <c r="J8" s="365"/>
      <c r="K8" s="365"/>
      <c r="L8" s="365"/>
      <c r="T8" s="129" t="s">
        <v>145</v>
      </c>
      <c r="U8" s="129" t="s">
        <v>150</v>
      </c>
      <c r="CF8" s="10"/>
    </row>
    <row r="9" spans="2:143" ht="21.75" customHeight="1">
      <c r="E9" s="365" t="s">
        <v>1218</v>
      </c>
      <c r="F9" s="365"/>
      <c r="G9" s="365"/>
      <c r="H9" s="365"/>
      <c r="I9" s="365"/>
      <c r="J9" s="365"/>
      <c r="K9" s="365"/>
      <c r="L9" s="365"/>
      <c r="W9" s="129" t="s">
        <v>155</v>
      </c>
      <c r="X9" s="129" t="s">
        <v>159</v>
      </c>
      <c r="Y9" s="129" t="s">
        <v>168</v>
      </c>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F9" s="10"/>
    </row>
    <row r="10" spans="2:143" ht="28.5">
      <c r="E10" s="365" t="s">
        <v>1219</v>
      </c>
      <c r="F10" s="365"/>
      <c r="G10" s="365"/>
      <c r="H10" s="365"/>
      <c r="I10" s="365"/>
      <c r="J10" s="365"/>
      <c r="K10" s="365"/>
      <c r="L10" s="365"/>
      <c r="M10" s="11"/>
      <c r="N10" s="11"/>
      <c r="O10" s="11"/>
      <c r="P10" s="11"/>
      <c r="Q10" s="11"/>
      <c r="R10" s="11"/>
      <c r="S10" s="11"/>
      <c r="T10" s="11"/>
      <c r="U10" s="11"/>
      <c r="V10" s="11"/>
      <c r="W10" s="11"/>
      <c r="X10" s="11"/>
      <c r="Y10" s="11"/>
      <c r="Z10" s="11"/>
      <c r="AA10" s="129" t="s">
        <v>177</v>
      </c>
      <c r="AB10" s="11"/>
      <c r="AC10" s="129" t="s">
        <v>180</v>
      </c>
      <c r="AD10" s="129" t="s">
        <v>186</v>
      </c>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29" t="s">
        <v>254</v>
      </c>
      <c r="BN10" s="11"/>
      <c r="BO10" s="129" t="s">
        <v>259</v>
      </c>
      <c r="BP10" s="258" t="s">
        <v>271</v>
      </c>
      <c r="BQ10" s="11"/>
      <c r="BR10" s="258" t="s">
        <v>275</v>
      </c>
      <c r="BS10" s="258" t="s">
        <v>280</v>
      </c>
      <c r="BT10" s="258" t="s">
        <v>284</v>
      </c>
      <c r="BU10" s="11"/>
      <c r="BV10" s="11"/>
      <c r="BW10" s="258" t="s">
        <v>288</v>
      </c>
      <c r="BX10" s="258" t="s">
        <v>291</v>
      </c>
      <c r="BY10" s="258" t="s">
        <v>294</v>
      </c>
      <c r="BZ10" s="11"/>
      <c r="CA10" s="258" t="s">
        <v>299</v>
      </c>
      <c r="CB10" s="11"/>
      <c r="CC10" s="11"/>
      <c r="CD10" s="11"/>
      <c r="CE10" s="258" t="s">
        <v>315</v>
      </c>
      <c r="CF10" s="258" t="s">
        <v>318</v>
      </c>
    </row>
    <row r="11" spans="2:143" ht="34.5" customHeight="1">
      <c r="E11" s="365" t="s">
        <v>1220</v>
      </c>
      <c r="F11" s="365"/>
      <c r="G11" s="365"/>
      <c r="H11" s="365"/>
      <c r="I11" s="365"/>
      <c r="J11" s="365"/>
      <c r="K11" s="365"/>
      <c r="L11" s="365"/>
      <c r="M11" s="11"/>
      <c r="N11" s="11"/>
      <c r="O11" s="11"/>
      <c r="P11" s="11"/>
      <c r="Q11" s="11"/>
      <c r="R11" s="11"/>
      <c r="S11" s="11"/>
      <c r="T11" s="11"/>
      <c r="U11" s="11"/>
      <c r="V11" s="11"/>
      <c r="W11" s="11"/>
      <c r="X11" s="11"/>
      <c r="Y11" s="11"/>
      <c r="Z11" s="11"/>
      <c r="AA11" s="11"/>
      <c r="AB11" s="11"/>
      <c r="AC11" s="11"/>
      <c r="AD11" s="11"/>
      <c r="AE11" s="129" t="s">
        <v>190</v>
      </c>
      <c r="AF11" s="129" t="s">
        <v>193</v>
      </c>
      <c r="AG11" s="11"/>
      <c r="AH11" s="129" t="s">
        <v>197</v>
      </c>
      <c r="AI11" s="129" t="s">
        <v>200</v>
      </c>
      <c r="AJ11" s="129" t="s">
        <v>203</v>
      </c>
      <c r="AK11" s="129" t="s">
        <v>210</v>
      </c>
      <c r="AL11" s="129" t="s">
        <v>1496</v>
      </c>
      <c r="AM11" s="11"/>
      <c r="AN11" s="129" t="s">
        <v>214</v>
      </c>
      <c r="AO11" s="129" t="s">
        <v>217</v>
      </c>
      <c r="AP11" s="129" t="s">
        <v>220</v>
      </c>
      <c r="AQ11" s="11"/>
      <c r="AR11" s="11"/>
      <c r="AS11" s="11"/>
      <c r="AT11" s="11"/>
      <c r="AU11" s="11"/>
      <c r="AV11" s="11"/>
      <c r="AW11" s="11"/>
      <c r="AX11" s="11"/>
      <c r="AY11" s="129" t="s">
        <v>224</v>
      </c>
      <c r="AZ11" s="129" t="s">
        <v>228</v>
      </c>
      <c r="BA11" s="129" t="s">
        <v>231</v>
      </c>
      <c r="BB11" s="11"/>
      <c r="BC11" s="129" t="s">
        <v>235</v>
      </c>
      <c r="BD11" s="129" t="s">
        <v>239</v>
      </c>
      <c r="BE11" s="129" t="s">
        <v>242</v>
      </c>
      <c r="BF11" s="129" t="s">
        <v>246</v>
      </c>
      <c r="BG11" s="11"/>
      <c r="BH11" s="11"/>
      <c r="BI11" s="11"/>
      <c r="BJ11" s="129" t="s">
        <v>249</v>
      </c>
      <c r="BK11" s="11"/>
      <c r="BL11" s="11"/>
      <c r="BM11" s="11"/>
      <c r="BN11" s="11"/>
      <c r="BO11" s="129" t="s">
        <v>263</v>
      </c>
      <c r="BP11" s="258" t="s">
        <v>268</v>
      </c>
      <c r="BQ11" s="258" t="s">
        <v>1497</v>
      </c>
      <c r="BR11" s="11"/>
      <c r="BS11" s="11"/>
      <c r="BT11" s="11"/>
      <c r="BU11" s="11"/>
      <c r="BV11" s="11"/>
      <c r="BW11" s="11"/>
      <c r="BX11" s="11"/>
      <c r="BY11" s="11"/>
      <c r="BZ11" s="11"/>
      <c r="CA11" s="11"/>
      <c r="CB11" s="258" t="s">
        <v>304</v>
      </c>
      <c r="CC11" s="11"/>
      <c r="CD11" s="11"/>
      <c r="CF11" s="10"/>
      <c r="CG11" s="258" t="s">
        <v>322</v>
      </c>
      <c r="CI11" s="258" t="s">
        <v>333</v>
      </c>
    </row>
    <row r="12" spans="2:143" ht="28.5">
      <c r="E12" s="367" t="s">
        <v>1216</v>
      </c>
      <c r="F12" s="367"/>
      <c r="G12" s="367"/>
      <c r="H12" s="367"/>
      <c r="I12" s="367"/>
      <c r="J12" s="367"/>
      <c r="K12" s="367"/>
      <c r="L12" s="367"/>
      <c r="M12" s="122"/>
      <c r="N12" s="122"/>
      <c r="O12" s="122"/>
      <c r="P12" s="122"/>
      <c r="Q12" s="122"/>
      <c r="R12" s="122"/>
      <c r="S12" s="122"/>
      <c r="T12" s="122"/>
      <c r="U12" s="122"/>
      <c r="V12" s="122"/>
      <c r="W12" s="122"/>
      <c r="X12" s="122"/>
      <c r="Y12" s="122"/>
      <c r="Z12" s="122"/>
      <c r="AA12" s="122"/>
      <c r="AB12" s="122"/>
      <c r="AC12" s="122"/>
      <c r="AD12" s="129" t="s">
        <v>1498</v>
      </c>
      <c r="AE12" s="122"/>
      <c r="AF12" s="122"/>
      <c r="AG12" s="129" t="s">
        <v>1499</v>
      </c>
      <c r="AH12" s="122"/>
      <c r="AI12" s="122"/>
      <c r="AJ12" s="122"/>
      <c r="AK12" s="216" t="s">
        <v>1500</v>
      </c>
      <c r="AL12" s="122"/>
      <c r="AM12" s="216" t="s">
        <v>1501</v>
      </c>
      <c r="AN12" s="216" t="s">
        <v>1502</v>
      </c>
      <c r="AO12" s="216" t="s">
        <v>1503</v>
      </c>
      <c r="AP12" s="122"/>
      <c r="AQ12" s="122"/>
      <c r="AR12" s="216" t="s">
        <v>1504</v>
      </c>
      <c r="AS12" s="122"/>
      <c r="AT12" s="122"/>
      <c r="AU12" s="122"/>
      <c r="AV12" s="122"/>
      <c r="AW12" s="122"/>
      <c r="AX12" s="122"/>
      <c r="AY12" s="129" t="s">
        <v>1505</v>
      </c>
      <c r="AZ12" s="122"/>
      <c r="BA12" s="122"/>
      <c r="BB12" s="122"/>
      <c r="BC12" s="129" t="s">
        <v>1506</v>
      </c>
      <c r="BD12" s="122"/>
      <c r="BE12" s="129" t="s">
        <v>1507</v>
      </c>
      <c r="BF12" s="122"/>
      <c r="BG12" s="122"/>
      <c r="BH12" s="122"/>
      <c r="BI12" s="122"/>
      <c r="BJ12" s="122"/>
      <c r="BK12" s="122"/>
      <c r="BL12" s="122"/>
      <c r="BM12" s="122"/>
      <c r="BN12" s="122"/>
      <c r="BO12" s="216" t="s">
        <v>1508</v>
      </c>
      <c r="BP12" s="122"/>
      <c r="BQ12" s="258" t="s">
        <v>1509</v>
      </c>
      <c r="BR12" s="258" t="s">
        <v>1510</v>
      </c>
      <c r="BS12" s="122"/>
      <c r="BT12" s="258" t="s">
        <v>1511</v>
      </c>
      <c r="BU12" s="122"/>
      <c r="BV12" s="122"/>
      <c r="BW12" s="122"/>
      <c r="BX12" s="122"/>
      <c r="BY12" s="122"/>
      <c r="BZ12" s="122"/>
      <c r="CA12" s="258" t="s">
        <v>1512</v>
      </c>
      <c r="CB12" s="122"/>
      <c r="CC12" s="122"/>
      <c r="CD12" s="122"/>
      <c r="CE12" s="123"/>
      <c r="CF12" s="10"/>
      <c r="CH12" s="258" t="s">
        <v>1513</v>
      </c>
    </row>
    <row r="13" spans="2:143">
      <c r="E13" s="12"/>
      <c r="CF13" s="10"/>
    </row>
    <row r="14" spans="2:143" s="13" customFormat="1" ht="39.75">
      <c r="E14" s="14"/>
      <c r="F14" s="15"/>
      <c r="G14" s="15"/>
      <c r="H14" s="15"/>
      <c r="I14" s="15"/>
      <c r="J14" s="15"/>
      <c r="K14" s="15"/>
      <c r="L14" s="15"/>
      <c r="M14" s="16"/>
      <c r="N14" s="16"/>
      <c r="O14" s="17"/>
      <c r="P14" s="17"/>
      <c r="Q14" s="17"/>
      <c r="R14" s="17"/>
      <c r="S14" s="17"/>
      <c r="T14" s="18"/>
      <c r="W14" s="16"/>
      <c r="X14" s="16"/>
      <c r="AB14" s="17"/>
      <c r="AC14" s="16"/>
      <c r="AG14" s="17"/>
      <c r="AI14" s="19"/>
      <c r="AJ14" s="19"/>
      <c r="AK14" s="19"/>
      <c r="AL14" s="16"/>
      <c r="AM14" s="16"/>
      <c r="AN14" s="17"/>
      <c r="AO14" s="17"/>
      <c r="AP14" s="17"/>
      <c r="AQ14" s="17"/>
      <c r="AR14" s="17"/>
      <c r="AV14" s="16"/>
      <c r="AW14" s="16"/>
      <c r="BA14" s="17"/>
      <c r="BB14" s="16"/>
      <c r="BF14" s="17"/>
      <c r="BH14" s="19"/>
      <c r="BI14" s="19"/>
      <c r="BJ14" s="19"/>
      <c r="BK14" s="16"/>
      <c r="BL14" s="16"/>
      <c r="BM14" s="17"/>
      <c r="BN14" s="17"/>
      <c r="BO14" s="17"/>
      <c r="BP14" s="17"/>
      <c r="BQ14" s="17"/>
      <c r="BU14" s="16"/>
      <c r="BV14" s="16"/>
      <c r="BZ14" s="17"/>
      <c r="CA14" s="16"/>
      <c r="CE14" s="20"/>
      <c r="CH14" s="21"/>
    </row>
    <row r="15" spans="2:143" ht="18">
      <c r="E15" s="22"/>
      <c r="F15" s="23"/>
      <c r="G15" s="23"/>
      <c r="H15" s="23"/>
      <c r="I15" s="23"/>
      <c r="J15" s="23"/>
      <c r="K15" s="23"/>
      <c r="L15" s="23"/>
      <c r="CE15" s="24"/>
      <c r="CH15" s="21"/>
    </row>
    <row r="16" spans="2:143" s="13" customFormat="1" ht="18">
      <c r="B16" s="25" t="s">
        <v>855</v>
      </c>
      <c r="C16" s="26" t="s">
        <v>856</v>
      </c>
      <c r="D16" s="27" t="s">
        <v>857</v>
      </c>
      <c r="E16" s="28" t="s">
        <v>859</v>
      </c>
      <c r="F16" s="28" t="s">
        <v>860</v>
      </c>
      <c r="G16" s="29" t="s">
        <v>861</v>
      </c>
      <c r="H16" s="29" t="s">
        <v>1230</v>
      </c>
      <c r="I16" s="29" t="s">
        <v>1231</v>
      </c>
      <c r="J16" s="29" t="s">
        <v>1516</v>
      </c>
      <c r="K16" s="29" t="s">
        <v>1232</v>
      </c>
      <c r="L16" s="29" t="s">
        <v>140</v>
      </c>
      <c r="M16" s="377" t="s">
        <v>1517</v>
      </c>
      <c r="N16" s="377"/>
      <c r="O16" s="377"/>
      <c r="P16" s="377"/>
      <c r="Q16" s="377"/>
      <c r="R16" s="368" t="s">
        <v>1518</v>
      </c>
      <c r="S16" s="368"/>
      <c r="T16" s="368"/>
      <c r="U16" s="368"/>
      <c r="V16" s="369"/>
      <c r="W16" s="362" t="s">
        <v>1519</v>
      </c>
      <c r="X16" s="363"/>
      <c r="Y16" s="363"/>
      <c r="Z16" s="363"/>
      <c r="AA16" s="364"/>
      <c r="AB16" s="359" t="s">
        <v>1520</v>
      </c>
      <c r="AC16" s="360"/>
      <c r="AD16" s="360"/>
      <c r="AE16" s="360"/>
      <c r="AF16" s="361"/>
      <c r="AG16" s="370" t="s">
        <v>1521</v>
      </c>
      <c r="AH16" s="371"/>
      <c r="AI16" s="371"/>
      <c r="AJ16" s="371"/>
      <c r="AK16" s="372"/>
      <c r="AL16" s="373" t="s">
        <v>1522</v>
      </c>
      <c r="AM16" s="374"/>
      <c r="AN16" s="374"/>
      <c r="AO16" s="374"/>
      <c r="AP16" s="374"/>
      <c r="AQ16" s="368" t="s">
        <v>1523</v>
      </c>
      <c r="AR16" s="368"/>
      <c r="AS16" s="368"/>
      <c r="AT16" s="368"/>
      <c r="AU16" s="369"/>
      <c r="AV16" s="362" t="s">
        <v>1524</v>
      </c>
      <c r="AW16" s="363"/>
      <c r="AX16" s="363"/>
      <c r="AY16" s="363"/>
      <c r="AZ16" s="364"/>
      <c r="BA16" s="359" t="s">
        <v>1525</v>
      </c>
      <c r="BB16" s="360"/>
      <c r="BC16" s="360"/>
      <c r="BD16" s="360"/>
      <c r="BE16" s="361"/>
      <c r="BF16" s="370" t="s">
        <v>1526</v>
      </c>
      <c r="BG16" s="371"/>
      <c r="BH16" s="371"/>
      <c r="BI16" s="371"/>
      <c r="BJ16" s="372"/>
      <c r="BK16" s="373" t="s">
        <v>1527</v>
      </c>
      <c r="BL16" s="374"/>
      <c r="BM16" s="374"/>
      <c r="BN16" s="374"/>
      <c r="BO16" s="374"/>
      <c r="BP16" s="368" t="s">
        <v>1528</v>
      </c>
      <c r="BQ16" s="368"/>
      <c r="BR16" s="368"/>
      <c r="BS16" s="368"/>
      <c r="BT16" s="369"/>
      <c r="BU16" s="362" t="s">
        <v>1529</v>
      </c>
      <c r="BV16" s="363"/>
      <c r="BW16" s="363"/>
      <c r="BX16" s="363"/>
      <c r="BY16" s="364"/>
      <c r="BZ16" s="359" t="s">
        <v>1530</v>
      </c>
      <c r="CA16" s="360"/>
      <c r="CB16" s="360"/>
      <c r="CC16" s="360"/>
      <c r="CD16" s="361"/>
      <c r="CE16" s="362" t="s">
        <v>1443</v>
      </c>
      <c r="CF16" s="363"/>
      <c r="CG16" s="363"/>
      <c r="CH16" s="363"/>
      <c r="CI16" s="364"/>
      <c r="CJ16" s="359" t="s">
        <v>1444</v>
      </c>
      <c r="CK16" s="360"/>
      <c r="CL16" s="360"/>
      <c r="CM16" s="360"/>
      <c r="CN16" s="361"/>
      <c r="CO16" s="370" t="s">
        <v>1445</v>
      </c>
      <c r="CP16" s="371"/>
      <c r="CQ16" s="371"/>
      <c r="CR16" s="371"/>
      <c r="CS16" s="372"/>
      <c r="CT16" s="373" t="s">
        <v>1446</v>
      </c>
      <c r="CU16" s="374"/>
      <c r="CV16" s="374"/>
      <c r="CW16" s="374"/>
      <c r="CX16" s="374"/>
      <c r="CY16" s="368" t="s">
        <v>1393</v>
      </c>
      <c r="CZ16" s="368"/>
      <c r="DA16" s="368"/>
      <c r="DB16" s="368"/>
      <c r="DC16" s="369"/>
      <c r="DD16" s="362" t="s">
        <v>1394</v>
      </c>
      <c r="DE16" s="363"/>
      <c r="DF16" s="363"/>
      <c r="DG16" s="363"/>
      <c r="DH16" s="364"/>
      <c r="DI16" s="359" t="s">
        <v>1395</v>
      </c>
      <c r="DJ16" s="360"/>
      <c r="DK16" s="360"/>
      <c r="DL16" s="360"/>
      <c r="DM16" s="361"/>
      <c r="DN16" s="370" t="s">
        <v>1396</v>
      </c>
      <c r="DO16" s="371"/>
      <c r="DP16" s="371"/>
      <c r="DQ16" s="371"/>
      <c r="DR16" s="372"/>
      <c r="DS16" s="373" t="s">
        <v>1397</v>
      </c>
      <c r="DT16" s="374"/>
      <c r="DU16" s="374"/>
      <c r="DV16" s="374"/>
      <c r="DW16" s="374"/>
      <c r="DX16" s="368" t="s">
        <v>1398</v>
      </c>
      <c r="DY16" s="368"/>
      <c r="DZ16" s="368"/>
      <c r="EA16" s="368"/>
      <c r="EB16" s="369"/>
      <c r="EC16" s="362" t="s">
        <v>1399</v>
      </c>
      <c r="ED16" s="363"/>
      <c r="EE16" s="363"/>
      <c r="EF16" s="363"/>
      <c r="EG16" s="364"/>
      <c r="EH16" s="359" t="s">
        <v>1354</v>
      </c>
      <c r="EI16" s="360"/>
      <c r="EJ16" s="360"/>
      <c r="EK16" s="360"/>
      <c r="EL16" s="361"/>
      <c r="EM16" s="375" t="s">
        <v>1440</v>
      </c>
    </row>
    <row r="17" spans="2:143" s="21" customFormat="1" ht="18">
      <c r="B17" s="30"/>
      <c r="C17" s="31"/>
      <c r="D17" s="32"/>
      <c r="E17" s="33"/>
      <c r="F17" s="33"/>
      <c r="G17" s="34"/>
      <c r="H17" s="34"/>
      <c r="I17" s="34"/>
      <c r="J17" s="29" t="s">
        <v>1531</v>
      </c>
      <c r="K17" s="29" t="s">
        <v>856</v>
      </c>
      <c r="L17" s="29" t="s">
        <v>1247</v>
      </c>
      <c r="M17" s="35" t="s">
        <v>1248</v>
      </c>
      <c r="N17" s="36" t="s">
        <v>1249</v>
      </c>
      <c r="O17" s="36" t="s">
        <v>1250</v>
      </c>
      <c r="P17" s="36" t="s">
        <v>1251</v>
      </c>
      <c r="Q17" s="36" t="s">
        <v>1252</v>
      </c>
      <c r="R17" s="37" t="s">
        <v>1248</v>
      </c>
      <c r="S17" s="38" t="s">
        <v>1249</v>
      </c>
      <c r="T17" s="38" t="s">
        <v>1250</v>
      </c>
      <c r="U17" s="38" t="s">
        <v>1251</v>
      </c>
      <c r="V17" s="38" t="s">
        <v>1252</v>
      </c>
      <c r="W17" s="39" t="s">
        <v>1248</v>
      </c>
      <c r="X17" s="40" t="s">
        <v>1249</v>
      </c>
      <c r="Y17" s="40" t="s">
        <v>1250</v>
      </c>
      <c r="Z17" s="40" t="s">
        <v>1251</v>
      </c>
      <c r="AA17" s="39" t="s">
        <v>1252</v>
      </c>
      <c r="AB17" s="41" t="s">
        <v>1248</v>
      </c>
      <c r="AC17" s="42" t="s">
        <v>1249</v>
      </c>
      <c r="AD17" s="42" t="s">
        <v>1250</v>
      </c>
      <c r="AE17" s="42" t="s">
        <v>1251</v>
      </c>
      <c r="AF17" s="42" t="s">
        <v>1252</v>
      </c>
      <c r="AG17" s="43" t="s">
        <v>1248</v>
      </c>
      <c r="AH17" s="44" t="s">
        <v>1249</v>
      </c>
      <c r="AI17" s="44" t="s">
        <v>1250</v>
      </c>
      <c r="AJ17" s="44" t="s">
        <v>1251</v>
      </c>
      <c r="AK17" s="44" t="s">
        <v>1252</v>
      </c>
      <c r="AL17" s="35" t="s">
        <v>1248</v>
      </c>
      <c r="AM17" s="36" t="s">
        <v>1249</v>
      </c>
      <c r="AN17" s="36" t="s">
        <v>1250</v>
      </c>
      <c r="AO17" s="36" t="s">
        <v>1251</v>
      </c>
      <c r="AP17" s="36" t="s">
        <v>1252</v>
      </c>
      <c r="AQ17" s="37" t="s">
        <v>1248</v>
      </c>
      <c r="AR17" s="38" t="s">
        <v>1249</v>
      </c>
      <c r="AS17" s="38" t="s">
        <v>1250</v>
      </c>
      <c r="AT17" s="38" t="s">
        <v>1251</v>
      </c>
      <c r="AU17" s="38" t="s">
        <v>1252</v>
      </c>
      <c r="AV17" s="39" t="s">
        <v>1248</v>
      </c>
      <c r="AW17" s="40" t="s">
        <v>1249</v>
      </c>
      <c r="AX17" s="40" t="s">
        <v>1250</v>
      </c>
      <c r="AY17" s="40" t="s">
        <v>1251</v>
      </c>
      <c r="AZ17" s="39" t="s">
        <v>1252</v>
      </c>
      <c r="BA17" s="41" t="s">
        <v>1248</v>
      </c>
      <c r="BB17" s="42" t="s">
        <v>1249</v>
      </c>
      <c r="BC17" s="42" t="s">
        <v>1250</v>
      </c>
      <c r="BD17" s="42" t="s">
        <v>1251</v>
      </c>
      <c r="BE17" s="42" t="s">
        <v>1252</v>
      </c>
      <c r="BF17" s="45" t="s">
        <v>1248</v>
      </c>
      <c r="BG17" s="46" t="s">
        <v>1249</v>
      </c>
      <c r="BH17" s="44" t="s">
        <v>1250</v>
      </c>
      <c r="BI17" s="44" t="s">
        <v>1251</v>
      </c>
      <c r="BJ17" s="44" t="s">
        <v>1252</v>
      </c>
      <c r="BK17" s="35" t="s">
        <v>1248</v>
      </c>
      <c r="BL17" s="36" t="s">
        <v>1249</v>
      </c>
      <c r="BM17" s="36" t="s">
        <v>1250</v>
      </c>
      <c r="BN17" s="36" t="s">
        <v>1251</v>
      </c>
      <c r="BO17" s="36" t="s">
        <v>1252</v>
      </c>
      <c r="BP17" s="37" t="s">
        <v>1248</v>
      </c>
      <c r="BQ17" s="38" t="s">
        <v>1249</v>
      </c>
      <c r="BR17" s="38" t="s">
        <v>1250</v>
      </c>
      <c r="BS17" s="38" t="s">
        <v>1251</v>
      </c>
      <c r="BT17" s="38" t="s">
        <v>1252</v>
      </c>
      <c r="BU17" s="39" t="s">
        <v>1248</v>
      </c>
      <c r="BV17" s="40" t="s">
        <v>1249</v>
      </c>
      <c r="BW17" s="40" t="s">
        <v>1250</v>
      </c>
      <c r="BX17" s="40" t="s">
        <v>1251</v>
      </c>
      <c r="BY17" s="39" t="s">
        <v>1252</v>
      </c>
      <c r="BZ17" s="41" t="s">
        <v>1248</v>
      </c>
      <c r="CA17" s="42" t="s">
        <v>1249</v>
      </c>
      <c r="CB17" s="42" t="s">
        <v>1250</v>
      </c>
      <c r="CC17" s="42" t="s">
        <v>1251</v>
      </c>
      <c r="CD17" s="42" t="s">
        <v>1252</v>
      </c>
      <c r="CE17" s="39" t="s">
        <v>1248</v>
      </c>
      <c r="CF17" s="40" t="s">
        <v>1249</v>
      </c>
      <c r="CG17" s="40" t="s">
        <v>1250</v>
      </c>
      <c r="CH17" s="40" t="s">
        <v>1251</v>
      </c>
      <c r="CI17" s="39" t="s">
        <v>1252</v>
      </c>
      <c r="CJ17" s="41" t="s">
        <v>1248</v>
      </c>
      <c r="CK17" s="42" t="s">
        <v>1249</v>
      </c>
      <c r="CL17" s="42" t="s">
        <v>1250</v>
      </c>
      <c r="CM17" s="42" t="s">
        <v>1251</v>
      </c>
      <c r="CN17" s="42" t="s">
        <v>1252</v>
      </c>
      <c r="CO17" s="43" t="s">
        <v>1248</v>
      </c>
      <c r="CP17" s="44" t="s">
        <v>1249</v>
      </c>
      <c r="CQ17" s="44" t="s">
        <v>1250</v>
      </c>
      <c r="CR17" s="44" t="s">
        <v>1251</v>
      </c>
      <c r="CS17" s="44" t="s">
        <v>1252</v>
      </c>
      <c r="CT17" s="35" t="s">
        <v>1248</v>
      </c>
      <c r="CU17" s="36" t="s">
        <v>1249</v>
      </c>
      <c r="CV17" s="36" t="s">
        <v>1250</v>
      </c>
      <c r="CW17" s="36" t="s">
        <v>1251</v>
      </c>
      <c r="CX17" s="36" t="s">
        <v>1252</v>
      </c>
      <c r="CY17" s="37" t="s">
        <v>1248</v>
      </c>
      <c r="CZ17" s="38" t="s">
        <v>1249</v>
      </c>
      <c r="DA17" s="38" t="s">
        <v>1250</v>
      </c>
      <c r="DB17" s="38" t="s">
        <v>1251</v>
      </c>
      <c r="DC17" s="38" t="s">
        <v>1252</v>
      </c>
      <c r="DD17" s="39" t="s">
        <v>1248</v>
      </c>
      <c r="DE17" s="40" t="s">
        <v>1249</v>
      </c>
      <c r="DF17" s="40" t="s">
        <v>1250</v>
      </c>
      <c r="DG17" s="40" t="s">
        <v>1251</v>
      </c>
      <c r="DH17" s="39" t="s">
        <v>1252</v>
      </c>
      <c r="DI17" s="41" t="s">
        <v>1248</v>
      </c>
      <c r="DJ17" s="42" t="s">
        <v>1249</v>
      </c>
      <c r="DK17" s="42" t="s">
        <v>1250</v>
      </c>
      <c r="DL17" s="42" t="s">
        <v>1251</v>
      </c>
      <c r="DM17" s="42" t="s">
        <v>1252</v>
      </c>
      <c r="DN17" s="45" t="s">
        <v>1248</v>
      </c>
      <c r="DO17" s="46" t="s">
        <v>1249</v>
      </c>
      <c r="DP17" s="44" t="s">
        <v>1250</v>
      </c>
      <c r="DQ17" s="44" t="s">
        <v>1251</v>
      </c>
      <c r="DR17" s="44" t="s">
        <v>1252</v>
      </c>
      <c r="DS17" s="35" t="s">
        <v>1248</v>
      </c>
      <c r="DT17" s="36" t="s">
        <v>1249</v>
      </c>
      <c r="DU17" s="36" t="s">
        <v>1250</v>
      </c>
      <c r="DV17" s="36" t="s">
        <v>1251</v>
      </c>
      <c r="DW17" s="36" t="s">
        <v>1252</v>
      </c>
      <c r="DX17" s="37" t="s">
        <v>1248</v>
      </c>
      <c r="DY17" s="38" t="s">
        <v>1249</v>
      </c>
      <c r="DZ17" s="38" t="s">
        <v>1250</v>
      </c>
      <c r="EA17" s="38" t="s">
        <v>1251</v>
      </c>
      <c r="EB17" s="38" t="s">
        <v>1252</v>
      </c>
      <c r="EC17" s="39" t="s">
        <v>1248</v>
      </c>
      <c r="ED17" s="40" t="s">
        <v>1249</v>
      </c>
      <c r="EE17" s="40" t="s">
        <v>1250</v>
      </c>
      <c r="EF17" s="40" t="s">
        <v>1251</v>
      </c>
      <c r="EG17" s="39" t="s">
        <v>1252</v>
      </c>
      <c r="EH17" s="41" t="s">
        <v>1248</v>
      </c>
      <c r="EI17" s="42" t="s">
        <v>1249</v>
      </c>
      <c r="EJ17" s="42" t="s">
        <v>1250</v>
      </c>
      <c r="EK17" s="42" t="s">
        <v>1251</v>
      </c>
      <c r="EL17" s="42" t="s">
        <v>1252</v>
      </c>
      <c r="EM17" s="376"/>
    </row>
    <row r="18" spans="2:143" ht="45" hidden="1">
      <c r="B18" s="47" t="s">
        <v>899</v>
      </c>
      <c r="C18" s="48" t="s">
        <v>1539</v>
      </c>
      <c r="D18" s="49" t="s">
        <v>918</v>
      </c>
      <c r="E18" s="70" t="s">
        <v>919</v>
      </c>
      <c r="F18" s="271">
        <v>45282</v>
      </c>
      <c r="G18" s="272">
        <v>45303</v>
      </c>
      <c r="H18" s="272">
        <v>45324</v>
      </c>
      <c r="I18" s="272">
        <v>45369</v>
      </c>
      <c r="J18" s="49" t="s">
        <v>33</v>
      </c>
      <c r="K18" s="49" t="s">
        <v>303</v>
      </c>
      <c r="L18" s="49" t="s">
        <v>1535</v>
      </c>
      <c r="M18" s="72"/>
      <c r="N18" s="73"/>
      <c r="O18" s="73"/>
      <c r="P18" s="73"/>
      <c r="Q18" s="73"/>
      <c r="R18" s="56"/>
      <c r="S18" s="56"/>
      <c r="T18" s="56"/>
      <c r="U18" s="56"/>
      <c r="V18" s="56"/>
      <c r="W18" s="57"/>
      <c r="X18" s="58"/>
      <c r="Y18" s="58"/>
      <c r="Z18" s="221"/>
      <c r="AA18" s="57"/>
      <c r="AB18" s="60"/>
      <c r="AC18" s="61"/>
      <c r="AD18" s="61"/>
      <c r="AE18" s="61"/>
      <c r="AF18" s="61"/>
      <c r="AG18" s="63"/>
      <c r="AH18" s="64"/>
      <c r="AI18" s="64"/>
      <c r="AJ18" s="64"/>
      <c r="AK18" s="64"/>
      <c r="AL18" s="72"/>
      <c r="AM18" s="64"/>
      <c r="AN18" s="73"/>
      <c r="AO18" s="73"/>
      <c r="AP18" s="73"/>
      <c r="AQ18" s="66"/>
      <c r="AR18" s="56"/>
      <c r="AS18" s="56"/>
      <c r="AT18" s="56"/>
      <c r="AU18" s="56"/>
      <c r="AV18" s="57"/>
      <c r="AW18" s="58"/>
      <c r="AX18" s="58"/>
      <c r="AY18" s="58"/>
      <c r="AZ18" s="57"/>
      <c r="BA18" s="60"/>
      <c r="BB18" s="61"/>
      <c r="BC18" s="61"/>
      <c r="BD18" s="61"/>
      <c r="BE18" s="61"/>
      <c r="BF18" s="63"/>
      <c r="BG18" s="64"/>
      <c r="BH18" s="64"/>
      <c r="BI18" s="64"/>
      <c r="BJ18" s="64"/>
      <c r="BK18" s="72"/>
      <c r="BL18" s="73"/>
      <c r="BM18" s="61"/>
      <c r="BN18" s="73"/>
      <c r="BO18" s="73"/>
      <c r="BP18" s="66"/>
      <c r="BQ18" s="56"/>
      <c r="BR18" s="56"/>
      <c r="BS18" s="56"/>
      <c r="BT18" s="56"/>
      <c r="BU18" s="57"/>
      <c r="BV18" s="58"/>
      <c r="BW18" s="58"/>
      <c r="BX18" s="58"/>
      <c r="BY18" s="57"/>
      <c r="BZ18" s="60"/>
      <c r="CA18" s="61"/>
      <c r="CB18" s="61"/>
      <c r="CC18" s="138" t="s">
        <v>860</v>
      </c>
      <c r="CD18" s="61"/>
      <c r="CE18" s="64"/>
      <c r="CF18" s="266"/>
      <c r="CG18" s="64"/>
      <c r="CH18" s="269" t="s">
        <v>861</v>
      </c>
      <c r="CI18" s="57"/>
      <c r="CJ18" s="60"/>
      <c r="CK18" s="61"/>
      <c r="CL18" s="61"/>
      <c r="CM18" s="56"/>
      <c r="CN18" s="61"/>
      <c r="CO18" s="63"/>
      <c r="CP18" s="64"/>
      <c r="CQ18" s="64"/>
      <c r="CR18" s="64"/>
      <c r="CS18" s="213"/>
      <c r="CT18" s="72"/>
      <c r="CU18" s="64"/>
      <c r="CV18" s="73"/>
      <c r="CW18" s="73"/>
      <c r="CX18" s="73"/>
      <c r="CY18" s="66"/>
      <c r="CZ18" s="56"/>
      <c r="DA18" s="56"/>
      <c r="DB18" s="56"/>
      <c r="DC18" s="56"/>
      <c r="DD18" s="57"/>
      <c r="DE18" s="58"/>
      <c r="DF18" s="58"/>
      <c r="DG18" s="58"/>
      <c r="DH18" s="57"/>
      <c r="DI18" s="60"/>
      <c r="DJ18" s="61"/>
      <c r="DK18" s="61"/>
      <c r="DL18" s="61"/>
      <c r="DM18" s="61"/>
      <c r="DN18" s="63"/>
      <c r="DO18" s="64"/>
      <c r="DP18" s="64"/>
      <c r="DQ18" s="64"/>
      <c r="DR18" s="64"/>
      <c r="DS18" s="72"/>
      <c r="DT18" s="73"/>
      <c r="DU18" s="73"/>
      <c r="DV18" s="73"/>
      <c r="DW18" s="73"/>
      <c r="DX18" s="66"/>
      <c r="DY18" s="56"/>
      <c r="DZ18" s="56"/>
      <c r="EA18" s="56"/>
      <c r="EB18" s="56"/>
      <c r="EC18" s="57"/>
      <c r="ED18" s="58"/>
      <c r="EE18" s="58"/>
      <c r="EF18" s="58"/>
      <c r="EG18" s="57"/>
      <c r="EH18" s="60"/>
      <c r="EI18" s="61"/>
      <c r="EJ18" s="61"/>
      <c r="EK18" s="61"/>
      <c r="EL18" s="61"/>
      <c r="EM18" s="74"/>
    </row>
    <row r="19" spans="2:143" ht="36.75" hidden="1" customHeight="1">
      <c r="B19" s="47" t="s">
        <v>899</v>
      </c>
      <c r="C19" s="48" t="s">
        <v>1539</v>
      </c>
      <c r="D19" s="49" t="s">
        <v>923</v>
      </c>
      <c r="E19" s="70" t="s">
        <v>924</v>
      </c>
      <c r="F19" s="271">
        <v>45282</v>
      </c>
      <c r="G19" s="272">
        <v>45303</v>
      </c>
      <c r="H19" s="272">
        <v>45324</v>
      </c>
      <c r="I19" s="272">
        <v>45369</v>
      </c>
      <c r="J19" s="49" t="s">
        <v>33</v>
      </c>
      <c r="K19" s="49" t="s">
        <v>303</v>
      </c>
      <c r="L19" s="49" t="s">
        <v>1535</v>
      </c>
      <c r="M19" s="72"/>
      <c r="N19" s="73"/>
      <c r="O19" s="73"/>
      <c r="P19" s="73"/>
      <c r="Q19" s="73"/>
      <c r="R19" s="56"/>
      <c r="S19" s="56"/>
      <c r="T19" s="56"/>
      <c r="U19" s="56"/>
      <c r="V19" s="56"/>
      <c r="W19" s="57"/>
      <c r="X19" s="76"/>
      <c r="Y19" s="77"/>
      <c r="Z19" s="96"/>
      <c r="AA19" s="57"/>
      <c r="AB19" s="60"/>
      <c r="AC19" s="61"/>
      <c r="AD19" s="61"/>
      <c r="AE19" s="61"/>
      <c r="AF19" s="61"/>
      <c r="AG19" s="63"/>
      <c r="AH19" s="64"/>
      <c r="AI19" s="64"/>
      <c r="AJ19" s="64"/>
      <c r="AK19" s="64"/>
      <c r="AL19" s="72"/>
      <c r="AM19" s="73"/>
      <c r="AN19" s="73"/>
      <c r="AO19" s="64"/>
      <c r="AP19" s="73"/>
      <c r="AQ19" s="66"/>
      <c r="AR19" s="56"/>
      <c r="AS19" s="56"/>
      <c r="AT19" s="56"/>
      <c r="AU19" s="56"/>
      <c r="AV19" s="57"/>
      <c r="AW19" s="76"/>
      <c r="AX19" s="77"/>
      <c r="AY19" s="77"/>
      <c r="AZ19" s="57"/>
      <c r="BA19" s="60"/>
      <c r="BB19" s="61"/>
      <c r="BC19" s="61"/>
      <c r="BD19" s="61"/>
      <c r="BE19" s="61"/>
      <c r="BF19" s="63"/>
      <c r="BG19" s="64"/>
      <c r="BH19" s="64"/>
      <c r="BI19" s="64"/>
      <c r="BJ19" s="64"/>
      <c r="BK19" s="72"/>
      <c r="BL19" s="73"/>
      <c r="BM19" s="73"/>
      <c r="BN19" s="73"/>
      <c r="BO19" s="73"/>
      <c r="BP19" s="66"/>
      <c r="BQ19" s="56"/>
      <c r="BR19" s="56"/>
      <c r="BS19" s="56"/>
      <c r="BT19" s="56"/>
      <c r="BU19" s="57"/>
      <c r="BV19" s="76"/>
      <c r="BW19" s="77"/>
      <c r="BX19" s="77"/>
      <c r="BY19" s="57"/>
      <c r="BZ19" s="60"/>
      <c r="CA19" s="61"/>
      <c r="CB19" s="61"/>
      <c r="CC19" s="138" t="s">
        <v>860</v>
      </c>
      <c r="CD19" s="61"/>
      <c r="CE19" s="64"/>
      <c r="CF19" s="267"/>
      <c r="CG19" s="64"/>
      <c r="CH19" s="269" t="s">
        <v>861</v>
      </c>
      <c r="CI19" s="57"/>
      <c r="CJ19" s="60"/>
      <c r="CK19" s="61"/>
      <c r="CL19" s="61"/>
      <c r="CM19" s="56"/>
      <c r="CN19" s="61"/>
      <c r="CO19" s="63"/>
      <c r="CP19" s="64"/>
      <c r="CQ19" s="64"/>
      <c r="CR19" s="64"/>
      <c r="CS19" s="213"/>
      <c r="CT19" s="72"/>
      <c r="CU19" s="73"/>
      <c r="CV19" s="73"/>
      <c r="CW19" s="64"/>
      <c r="CX19" s="73"/>
      <c r="CY19" s="66"/>
      <c r="CZ19" s="56"/>
      <c r="DA19" s="56"/>
      <c r="DB19" s="56"/>
      <c r="DC19" s="56"/>
      <c r="DD19" s="57"/>
      <c r="DE19" s="76"/>
      <c r="DF19" s="77"/>
      <c r="DG19" s="77"/>
      <c r="DH19" s="57"/>
      <c r="DI19" s="60"/>
      <c r="DJ19" s="61"/>
      <c r="DK19" s="61"/>
      <c r="DL19" s="61"/>
      <c r="DM19" s="61"/>
      <c r="DN19" s="63"/>
      <c r="DO19" s="64"/>
      <c r="DP19" s="64"/>
      <c r="DQ19" s="64"/>
      <c r="DR19" s="64"/>
      <c r="DS19" s="72"/>
      <c r="DT19" s="73"/>
      <c r="DU19" s="73"/>
      <c r="DV19" s="73"/>
      <c r="DW19" s="73"/>
      <c r="DX19" s="66"/>
      <c r="DY19" s="56"/>
      <c r="DZ19" s="56"/>
      <c r="EA19" s="56"/>
      <c r="EB19" s="56"/>
      <c r="EC19" s="57"/>
      <c r="ED19" s="76"/>
      <c r="EE19" s="77"/>
      <c r="EF19" s="77"/>
      <c r="EG19" s="57"/>
      <c r="EH19" s="60"/>
      <c r="EI19" s="61"/>
      <c r="EJ19" s="61"/>
      <c r="EK19" s="61"/>
      <c r="EL19" s="61"/>
    </row>
    <row r="20" spans="2:143" ht="45" hidden="1">
      <c r="B20" s="47" t="s">
        <v>899</v>
      </c>
      <c r="C20" s="48" t="s">
        <v>1539</v>
      </c>
      <c r="D20" s="49" t="s">
        <v>1463</v>
      </c>
      <c r="E20" s="70" t="s">
        <v>1464</v>
      </c>
      <c r="F20" s="271">
        <v>45282</v>
      </c>
      <c r="G20" s="272">
        <v>45303</v>
      </c>
      <c r="H20" s="272">
        <v>45324</v>
      </c>
      <c r="I20" s="272" t="s">
        <v>1299</v>
      </c>
      <c r="J20" s="49" t="s">
        <v>33</v>
      </c>
      <c r="K20" s="49" t="s">
        <v>303</v>
      </c>
      <c r="L20" s="49" t="s">
        <v>1535</v>
      </c>
      <c r="M20" s="72"/>
      <c r="N20" s="73"/>
      <c r="O20" s="73"/>
      <c r="P20" s="73"/>
      <c r="Q20" s="73"/>
      <c r="R20" s="56"/>
      <c r="S20" s="56"/>
      <c r="T20" s="56"/>
      <c r="U20" s="56"/>
      <c r="V20" s="56"/>
      <c r="W20" s="77"/>
      <c r="X20" s="77"/>
      <c r="Y20" s="77"/>
      <c r="Z20" s="96"/>
      <c r="AA20" s="57"/>
      <c r="AB20" s="60"/>
      <c r="AC20" s="61"/>
      <c r="AD20" s="61"/>
      <c r="AE20" s="61"/>
      <c r="AF20" s="61"/>
      <c r="AG20" s="63"/>
      <c r="AH20" s="64"/>
      <c r="AI20" s="64"/>
      <c r="AJ20" s="64"/>
      <c r="AK20" s="64"/>
      <c r="AL20" s="72"/>
      <c r="AM20" s="73"/>
      <c r="AN20" s="73"/>
      <c r="AO20" s="64"/>
      <c r="AP20" s="73"/>
      <c r="AQ20" s="66"/>
      <c r="AR20" s="56"/>
      <c r="AS20" s="56"/>
      <c r="AT20" s="56"/>
      <c r="AU20" s="56"/>
      <c r="AV20" s="77"/>
      <c r="AW20" s="77"/>
      <c r="AX20" s="77"/>
      <c r="AY20" s="77"/>
      <c r="AZ20" s="57"/>
      <c r="BA20" s="60"/>
      <c r="BB20" s="61"/>
      <c r="BC20" s="61"/>
      <c r="BD20" s="61"/>
      <c r="BE20" s="61"/>
      <c r="BF20" s="63"/>
      <c r="BG20" s="64"/>
      <c r="BH20" s="64"/>
      <c r="BI20" s="64"/>
      <c r="BJ20" s="64"/>
      <c r="BK20" s="72"/>
      <c r="BL20" s="73"/>
      <c r="BM20" s="73"/>
      <c r="BN20" s="73"/>
      <c r="BO20" s="73"/>
      <c r="BP20" s="66"/>
      <c r="BQ20" s="56"/>
      <c r="BR20" s="56"/>
      <c r="BS20" s="56"/>
      <c r="BT20" s="56"/>
      <c r="BU20" s="77"/>
      <c r="BV20" s="77"/>
      <c r="BW20" s="77"/>
      <c r="BX20" s="77"/>
      <c r="BY20" s="57"/>
      <c r="BZ20" s="60"/>
      <c r="CA20" s="61"/>
      <c r="CB20" s="61"/>
      <c r="CC20" s="138" t="s">
        <v>860</v>
      </c>
      <c r="CD20" s="61"/>
      <c r="CE20" s="64"/>
      <c r="CF20" s="260"/>
      <c r="CG20" s="64"/>
      <c r="CH20" s="269" t="s">
        <v>861</v>
      </c>
      <c r="CI20" s="57"/>
      <c r="CJ20" s="60"/>
      <c r="CK20" s="61"/>
      <c r="CL20" s="61"/>
      <c r="CM20" s="56"/>
      <c r="CN20" s="61"/>
      <c r="CO20" s="63"/>
      <c r="CP20" s="64"/>
      <c r="CQ20" s="64"/>
      <c r="CR20" s="64"/>
      <c r="CS20" s="213"/>
      <c r="CT20" s="72"/>
      <c r="CU20" s="73"/>
      <c r="CV20" s="73"/>
      <c r="CW20" s="64"/>
      <c r="CX20" s="73"/>
      <c r="CY20" s="66"/>
      <c r="CZ20" s="56"/>
      <c r="DA20" s="56"/>
      <c r="DB20" s="56"/>
      <c r="DC20" s="56"/>
      <c r="DD20" s="77"/>
      <c r="DE20" s="77"/>
      <c r="DF20" s="77"/>
      <c r="DG20" s="77"/>
      <c r="DH20" s="57"/>
      <c r="DI20" s="60"/>
      <c r="DJ20" s="61"/>
      <c r="DK20" s="61"/>
      <c r="DL20" s="61"/>
      <c r="DM20" s="61"/>
      <c r="DN20" s="63"/>
      <c r="DO20" s="64"/>
      <c r="DP20" s="64"/>
      <c r="DQ20" s="64"/>
      <c r="DR20" s="64"/>
      <c r="DS20" s="72"/>
      <c r="DT20" s="73"/>
      <c r="DU20" s="73"/>
      <c r="DV20" s="73"/>
      <c r="DW20" s="73"/>
      <c r="DX20" s="66"/>
      <c r="DY20" s="56"/>
      <c r="DZ20" s="56"/>
      <c r="EA20" s="56"/>
      <c r="EB20" s="56"/>
      <c r="EC20" s="77"/>
      <c r="ED20" s="77"/>
      <c r="EE20" s="77"/>
      <c r="EF20" s="77"/>
      <c r="EG20" s="57"/>
      <c r="EH20" s="60"/>
      <c r="EI20" s="61"/>
      <c r="EJ20" s="61"/>
      <c r="EK20" s="61"/>
      <c r="EL20" s="61"/>
    </row>
    <row r="21" spans="2:143" ht="45" hidden="1">
      <c r="B21" s="47" t="s">
        <v>899</v>
      </c>
      <c r="C21" s="48" t="s">
        <v>1539</v>
      </c>
      <c r="D21" s="49" t="s">
        <v>932</v>
      </c>
      <c r="E21" s="70" t="s">
        <v>933</v>
      </c>
      <c r="F21" s="271">
        <v>45282</v>
      </c>
      <c r="G21" s="272">
        <v>45303</v>
      </c>
      <c r="H21" s="272">
        <v>45324</v>
      </c>
      <c r="I21" s="272" t="s">
        <v>1299</v>
      </c>
      <c r="J21" s="49" t="s">
        <v>33</v>
      </c>
      <c r="K21" s="49" t="s">
        <v>303</v>
      </c>
      <c r="L21" s="49" t="s">
        <v>1535</v>
      </c>
      <c r="M21" s="72"/>
      <c r="N21" s="73"/>
      <c r="O21" s="73"/>
      <c r="P21" s="73"/>
      <c r="Q21" s="73"/>
      <c r="R21" s="56"/>
      <c r="S21" s="56"/>
      <c r="T21" s="56"/>
      <c r="U21" s="56"/>
      <c r="V21" s="56"/>
      <c r="W21" s="77"/>
      <c r="X21" s="77"/>
      <c r="Y21" s="77"/>
      <c r="Z21" s="96"/>
      <c r="AA21" s="57"/>
      <c r="AB21" s="60"/>
      <c r="AC21" s="61"/>
      <c r="AD21" s="61"/>
      <c r="AE21" s="61"/>
      <c r="AF21" s="61"/>
      <c r="AG21" s="63"/>
      <c r="AH21" s="64"/>
      <c r="AI21" s="64"/>
      <c r="AJ21" s="64"/>
      <c r="AK21" s="64"/>
      <c r="AL21" s="72"/>
      <c r="AM21" s="73"/>
      <c r="AN21" s="73"/>
      <c r="AO21" s="64"/>
      <c r="AP21" s="73"/>
      <c r="AQ21" s="66"/>
      <c r="AR21" s="56"/>
      <c r="AS21" s="56"/>
      <c r="AT21" s="56"/>
      <c r="AU21" s="56"/>
      <c r="AV21" s="77"/>
      <c r="AW21" s="77"/>
      <c r="AX21" s="77"/>
      <c r="AY21" s="77"/>
      <c r="AZ21" s="57"/>
      <c r="BA21" s="60"/>
      <c r="BB21" s="61"/>
      <c r="BC21" s="61"/>
      <c r="BD21" s="61"/>
      <c r="BE21" s="61"/>
      <c r="BF21" s="63"/>
      <c r="BG21" s="64"/>
      <c r="BH21" s="64"/>
      <c r="BI21" s="64"/>
      <c r="BJ21" s="64"/>
      <c r="BK21" s="72"/>
      <c r="BL21" s="73"/>
      <c r="BM21" s="73"/>
      <c r="BN21" s="73"/>
      <c r="BO21" s="73"/>
      <c r="BP21" s="66"/>
      <c r="BQ21" s="56"/>
      <c r="BR21" s="56"/>
      <c r="BS21" s="56"/>
      <c r="BT21" s="56"/>
      <c r="BU21" s="77"/>
      <c r="BV21" s="77"/>
      <c r="BW21" s="77"/>
      <c r="BX21" s="77"/>
      <c r="BY21" s="57"/>
      <c r="BZ21" s="60"/>
      <c r="CA21" s="61"/>
      <c r="CB21" s="64"/>
      <c r="CC21" s="138" t="s">
        <v>860</v>
      </c>
      <c r="CD21" s="61"/>
      <c r="CE21" s="64"/>
      <c r="CF21" s="260"/>
      <c r="CG21" s="64"/>
      <c r="CH21" s="269" t="s">
        <v>861</v>
      </c>
      <c r="CI21" s="57"/>
      <c r="CJ21" s="60"/>
      <c r="CK21" s="61"/>
      <c r="CL21" s="61"/>
      <c r="CM21" s="56"/>
      <c r="CN21" s="61"/>
      <c r="CO21" s="63"/>
      <c r="CP21" s="64"/>
      <c r="CQ21" s="64"/>
      <c r="CR21" s="64"/>
      <c r="CS21" s="64"/>
      <c r="CT21" s="72"/>
      <c r="CU21" s="73"/>
      <c r="CV21" s="73"/>
      <c r="CW21" s="64"/>
      <c r="CX21" s="73"/>
      <c r="CY21" s="66"/>
      <c r="CZ21" s="56"/>
      <c r="DA21" s="56"/>
      <c r="DB21" s="56"/>
      <c r="DC21" s="56"/>
      <c r="DD21" s="77"/>
      <c r="DE21" s="77"/>
      <c r="DF21" s="77"/>
      <c r="DG21" s="77"/>
      <c r="DH21" s="57"/>
      <c r="DI21" s="60"/>
      <c r="DJ21" s="61"/>
      <c r="DK21" s="61"/>
      <c r="DL21" s="61"/>
      <c r="DM21" s="61"/>
      <c r="DN21" s="63"/>
      <c r="DO21" s="64"/>
      <c r="DP21" s="64"/>
      <c r="DQ21" s="64"/>
      <c r="DR21" s="64"/>
      <c r="DS21" s="72"/>
      <c r="DT21" s="73"/>
      <c r="DU21" s="73"/>
      <c r="DV21" s="73"/>
      <c r="DW21" s="73"/>
      <c r="DX21" s="66"/>
      <c r="DY21" s="56"/>
      <c r="DZ21" s="56"/>
      <c r="EA21" s="56"/>
      <c r="EB21" s="56"/>
      <c r="EC21" s="77"/>
      <c r="ED21" s="77"/>
      <c r="EE21" s="77"/>
      <c r="EF21" s="77"/>
      <c r="EG21" s="57"/>
      <c r="EH21" s="60"/>
      <c r="EI21" s="61"/>
      <c r="EJ21" s="61"/>
      <c r="EK21" s="61"/>
      <c r="EL21" s="61"/>
    </row>
    <row r="22" spans="2:143" ht="45" hidden="1">
      <c r="B22" s="47" t="s">
        <v>899</v>
      </c>
      <c r="C22" s="48" t="s">
        <v>1539</v>
      </c>
      <c r="D22" s="49" t="s">
        <v>934</v>
      </c>
      <c r="E22" s="70" t="s">
        <v>1456</v>
      </c>
      <c r="F22" s="271">
        <v>45282</v>
      </c>
      <c r="G22" s="272">
        <v>45303</v>
      </c>
      <c r="H22" s="272">
        <v>45324</v>
      </c>
      <c r="I22" s="272" t="s">
        <v>1299</v>
      </c>
      <c r="J22" s="49" t="s">
        <v>33</v>
      </c>
      <c r="K22" s="49" t="s">
        <v>303</v>
      </c>
      <c r="L22" s="49" t="s">
        <v>1535</v>
      </c>
      <c r="M22" s="72"/>
      <c r="N22" s="73"/>
      <c r="O22" s="73"/>
      <c r="P22" s="73"/>
      <c r="Q22" s="73"/>
      <c r="R22" s="56"/>
      <c r="S22" s="56"/>
      <c r="T22" s="56"/>
      <c r="U22" s="56"/>
      <c r="V22" s="56"/>
      <c r="W22" s="54"/>
      <c r="X22" s="77"/>
      <c r="Y22" s="77"/>
      <c r="Z22" s="96"/>
      <c r="AA22" s="80"/>
      <c r="AB22" s="60"/>
      <c r="AC22" s="61"/>
      <c r="AD22" s="61"/>
      <c r="AE22" s="61"/>
      <c r="AF22" s="61"/>
      <c r="AG22" s="63"/>
      <c r="AH22" s="64"/>
      <c r="AI22" s="64"/>
      <c r="AJ22" s="64"/>
      <c r="AK22" s="64"/>
      <c r="AL22" s="72"/>
      <c r="AM22" s="73"/>
      <c r="AN22" s="73"/>
      <c r="AO22" s="64"/>
      <c r="AP22" s="73"/>
      <c r="AQ22" s="66"/>
      <c r="AR22" s="56"/>
      <c r="AS22" s="56"/>
      <c r="AT22" s="56"/>
      <c r="AU22" s="56"/>
      <c r="AV22" s="77"/>
      <c r="AW22" s="77"/>
      <c r="AX22" s="77"/>
      <c r="AY22" s="77"/>
      <c r="AZ22" s="57"/>
      <c r="BA22" s="60"/>
      <c r="BB22" s="61"/>
      <c r="BC22" s="61"/>
      <c r="BD22" s="61"/>
      <c r="BE22" s="61"/>
      <c r="BF22" s="63"/>
      <c r="BG22" s="64"/>
      <c r="BH22" s="64"/>
      <c r="BI22" s="64"/>
      <c r="BJ22" s="64"/>
      <c r="BK22" s="72"/>
      <c r="BL22" s="73"/>
      <c r="BM22" s="73"/>
      <c r="BN22" s="73"/>
      <c r="BO22" s="73"/>
      <c r="BP22" s="66"/>
      <c r="BQ22" s="56"/>
      <c r="BR22" s="56"/>
      <c r="BS22" s="56"/>
      <c r="BT22" s="56"/>
      <c r="BU22" s="77"/>
      <c r="BV22" s="77"/>
      <c r="BW22" s="77"/>
      <c r="BX22" s="77"/>
      <c r="BY22" s="57"/>
      <c r="BZ22" s="60"/>
      <c r="CA22" s="61"/>
      <c r="CB22" s="64"/>
      <c r="CC22" s="141" t="s">
        <v>860</v>
      </c>
      <c r="CD22" s="61"/>
      <c r="CE22" s="64"/>
      <c r="CF22" s="260"/>
      <c r="CG22" s="77"/>
      <c r="CH22" s="79" t="s">
        <v>861</v>
      </c>
      <c r="CI22" s="80"/>
      <c r="CJ22" s="60"/>
      <c r="CK22" s="61"/>
      <c r="CL22" s="61"/>
      <c r="CM22" s="61"/>
      <c r="CN22" s="61"/>
      <c r="CO22" s="63"/>
      <c r="CP22" s="64"/>
      <c r="CQ22" s="64"/>
      <c r="CR22" s="64"/>
      <c r="CS22" s="64"/>
      <c r="CT22" s="72"/>
      <c r="CU22" s="73"/>
      <c r="CV22" s="73"/>
      <c r="CW22" s="64"/>
      <c r="CX22" s="73"/>
      <c r="CY22" s="66"/>
      <c r="CZ22" s="56"/>
      <c r="DA22" s="56"/>
      <c r="DB22" s="56"/>
      <c r="DC22" s="56"/>
      <c r="DD22" s="77"/>
      <c r="DE22" s="77"/>
      <c r="DF22" s="77"/>
      <c r="DG22" s="77"/>
      <c r="DH22" s="57"/>
      <c r="DI22" s="60"/>
      <c r="DJ22" s="61"/>
      <c r="DK22" s="61"/>
      <c r="DL22" s="61"/>
      <c r="DM22" s="61"/>
      <c r="DN22" s="63"/>
      <c r="DO22" s="64"/>
      <c r="DP22" s="64"/>
      <c r="DQ22" s="64"/>
      <c r="DR22" s="64"/>
      <c r="DS22" s="72"/>
      <c r="DT22" s="73"/>
      <c r="DU22" s="73"/>
      <c r="DV22" s="73"/>
      <c r="DW22" s="73"/>
      <c r="DX22" s="66"/>
      <c r="DY22" s="56"/>
      <c r="DZ22" s="56"/>
      <c r="EA22" s="56"/>
      <c r="EB22" s="56"/>
      <c r="EC22" s="77"/>
      <c r="ED22" s="77"/>
      <c r="EE22" s="77"/>
      <c r="EF22" s="77"/>
      <c r="EG22" s="57"/>
      <c r="EH22" s="60"/>
      <c r="EI22" s="61"/>
      <c r="EJ22" s="61"/>
      <c r="EK22" s="61"/>
      <c r="EL22" s="61"/>
    </row>
    <row r="23" spans="2:143" ht="45" hidden="1">
      <c r="B23" s="47" t="s">
        <v>899</v>
      </c>
      <c r="C23" s="48" t="s">
        <v>1540</v>
      </c>
      <c r="D23" s="49" t="s">
        <v>1465</v>
      </c>
      <c r="E23" s="70" t="s">
        <v>1466</v>
      </c>
      <c r="F23" s="271">
        <v>45282</v>
      </c>
      <c r="G23" s="272">
        <v>45303</v>
      </c>
      <c r="H23" s="272">
        <v>45324</v>
      </c>
      <c r="I23" s="272" t="s">
        <v>1299</v>
      </c>
      <c r="J23" s="49" t="s">
        <v>33</v>
      </c>
      <c r="K23" s="49" t="s">
        <v>303</v>
      </c>
      <c r="L23" s="49" t="s">
        <v>1535</v>
      </c>
      <c r="M23" s="72"/>
      <c r="N23" s="73"/>
      <c r="O23" s="73"/>
      <c r="P23" s="73"/>
      <c r="Q23" s="73"/>
      <c r="R23" s="56"/>
      <c r="S23" s="56"/>
      <c r="T23" s="56"/>
      <c r="U23" s="56"/>
      <c r="V23" s="56"/>
      <c r="W23" s="54"/>
      <c r="X23" s="77"/>
      <c r="Y23" s="77"/>
      <c r="Z23" s="77"/>
      <c r="AA23" s="57"/>
      <c r="AB23" s="60"/>
      <c r="AC23" s="61"/>
      <c r="AD23" s="61"/>
      <c r="AE23" s="61"/>
      <c r="AF23" s="61"/>
      <c r="AG23" s="63"/>
      <c r="AH23" s="64"/>
      <c r="AI23" s="64"/>
      <c r="AJ23" s="64"/>
      <c r="AK23" s="64"/>
      <c r="AL23" s="72"/>
      <c r="AM23" s="73"/>
      <c r="AN23" s="73"/>
      <c r="AO23" s="64"/>
      <c r="AP23" s="73"/>
      <c r="AQ23" s="66"/>
      <c r="AR23" s="56"/>
      <c r="AS23" s="56"/>
      <c r="AT23" s="56"/>
      <c r="AU23" s="56"/>
      <c r="AV23" s="77"/>
      <c r="AW23" s="77"/>
      <c r="AX23" s="77"/>
      <c r="AY23" s="77"/>
      <c r="AZ23" s="57"/>
      <c r="BA23" s="60"/>
      <c r="BB23" s="61"/>
      <c r="BC23" s="61"/>
      <c r="BD23" s="61"/>
      <c r="BE23" s="215"/>
      <c r="BF23" s="63"/>
      <c r="BG23" s="64"/>
      <c r="BH23" s="64"/>
      <c r="BI23" s="64"/>
      <c r="BJ23" s="64"/>
      <c r="BK23" s="72"/>
      <c r="BL23" s="73"/>
      <c r="BM23" s="73"/>
      <c r="BN23" s="73"/>
      <c r="BO23" s="73"/>
      <c r="BP23" s="66"/>
      <c r="BQ23" s="56"/>
      <c r="BR23" s="56"/>
      <c r="BS23" s="56"/>
      <c r="BT23" s="56"/>
      <c r="BU23" s="77"/>
      <c r="BV23" s="77"/>
      <c r="BW23" s="77"/>
      <c r="BX23" s="77"/>
      <c r="BY23" s="57"/>
      <c r="BZ23" s="60"/>
      <c r="CA23" s="61"/>
      <c r="CB23" s="64"/>
      <c r="CC23" s="141" t="s">
        <v>860</v>
      </c>
      <c r="CD23" s="61"/>
      <c r="CE23" s="64"/>
      <c r="CF23" s="260"/>
      <c r="CG23" s="77"/>
      <c r="CH23" s="79" t="s">
        <v>861</v>
      </c>
      <c r="CI23" s="57"/>
      <c r="CJ23" s="60"/>
      <c r="CK23" s="215"/>
      <c r="CL23" s="61"/>
      <c r="CM23" s="61"/>
      <c r="CN23" s="61"/>
      <c r="CO23" s="63"/>
      <c r="CP23" s="64"/>
      <c r="CQ23" s="64"/>
      <c r="CR23" s="64"/>
      <c r="CS23" s="64"/>
      <c r="CT23" s="72"/>
      <c r="CU23" s="73"/>
      <c r="CV23" s="73"/>
      <c r="CW23" s="64"/>
      <c r="CX23" s="73"/>
      <c r="CY23" s="66"/>
      <c r="CZ23" s="56"/>
      <c r="DA23" s="56"/>
      <c r="DB23" s="56"/>
      <c r="DC23" s="56"/>
      <c r="DD23" s="77"/>
      <c r="DE23" s="77"/>
      <c r="DF23" s="77"/>
      <c r="DG23" s="77"/>
      <c r="DH23" s="57"/>
      <c r="DI23" s="60"/>
      <c r="DJ23" s="61"/>
      <c r="DK23" s="61"/>
      <c r="DL23" s="61"/>
      <c r="DM23" s="215"/>
      <c r="DN23" s="63"/>
      <c r="DO23" s="64"/>
      <c r="DP23" s="64"/>
      <c r="DQ23" s="64"/>
      <c r="DR23" s="64"/>
      <c r="DS23" s="72"/>
      <c r="DT23" s="73"/>
      <c r="DU23" s="73"/>
      <c r="DV23" s="73"/>
      <c r="DW23" s="73"/>
      <c r="DX23" s="66"/>
      <c r="DY23" s="56"/>
      <c r="DZ23" s="56"/>
      <c r="EA23" s="56"/>
      <c r="EB23" s="56"/>
      <c r="EC23" s="77"/>
      <c r="ED23" s="77"/>
      <c r="EE23" s="77"/>
      <c r="EF23" s="77"/>
      <c r="EG23" s="57"/>
      <c r="EH23" s="60"/>
      <c r="EI23" s="61"/>
      <c r="EJ23" s="61"/>
      <c r="EK23" s="61"/>
      <c r="EL23" s="61"/>
    </row>
    <row r="24" spans="2:143" ht="45" hidden="1">
      <c r="B24" s="47" t="s">
        <v>899</v>
      </c>
      <c r="C24" s="48" t="s">
        <v>1539</v>
      </c>
      <c r="D24" s="49" t="s">
        <v>901</v>
      </c>
      <c r="E24" s="70" t="s">
        <v>902</v>
      </c>
      <c r="F24" s="271">
        <v>45282</v>
      </c>
      <c r="G24" s="272">
        <v>45303</v>
      </c>
      <c r="H24" s="272">
        <v>45324</v>
      </c>
      <c r="I24" s="272" t="s">
        <v>1299</v>
      </c>
      <c r="J24" s="49" t="s">
        <v>33</v>
      </c>
      <c r="K24" s="49" t="s">
        <v>303</v>
      </c>
      <c r="L24" s="49" t="s">
        <v>1535</v>
      </c>
      <c r="M24" s="72"/>
      <c r="N24" s="73"/>
      <c r="O24" s="73"/>
      <c r="P24" s="73"/>
      <c r="Q24" s="73"/>
      <c r="R24" s="54"/>
      <c r="S24" s="56"/>
      <c r="T24" s="56"/>
      <c r="U24" s="56"/>
      <c r="V24" s="80"/>
      <c r="W24" s="77"/>
      <c r="X24" s="77"/>
      <c r="Y24" s="77"/>
      <c r="Z24" s="96"/>
      <c r="AA24" s="57"/>
      <c r="AB24" s="60"/>
      <c r="AC24" s="61"/>
      <c r="AD24" s="61"/>
      <c r="AE24" s="61"/>
      <c r="AF24" s="61"/>
      <c r="AG24" s="63"/>
      <c r="AH24" s="64"/>
      <c r="AI24" s="64"/>
      <c r="AJ24" s="64"/>
      <c r="AK24" s="64"/>
      <c r="AL24" s="72"/>
      <c r="AM24" s="73"/>
      <c r="AN24" s="73"/>
      <c r="AO24" s="73"/>
      <c r="AP24" s="73"/>
      <c r="AQ24" s="64"/>
      <c r="AR24" s="56"/>
      <c r="AS24" s="56"/>
      <c r="AT24" s="56"/>
      <c r="AU24" s="56"/>
      <c r="AV24" s="77"/>
      <c r="AW24" s="77"/>
      <c r="AX24" s="77"/>
      <c r="AY24" s="77"/>
      <c r="AZ24" s="57"/>
      <c r="BA24" s="60"/>
      <c r="BB24" s="61"/>
      <c r="BC24" s="61"/>
      <c r="BD24" s="61"/>
      <c r="BE24" s="61"/>
      <c r="BF24" s="63"/>
      <c r="BG24" s="64"/>
      <c r="BH24" s="64"/>
      <c r="BI24" s="64"/>
      <c r="BJ24" s="64"/>
      <c r="BK24" s="72"/>
      <c r="BL24" s="73"/>
      <c r="BM24" s="73"/>
      <c r="BN24" s="73"/>
      <c r="BO24" s="73"/>
      <c r="BP24" s="66"/>
      <c r="BQ24" s="56"/>
      <c r="BR24" s="56"/>
      <c r="BS24" s="56"/>
      <c r="BT24" s="56"/>
      <c r="BU24" s="77"/>
      <c r="BV24" s="77"/>
      <c r="BW24" s="77"/>
      <c r="BX24" s="77"/>
      <c r="BY24" s="57"/>
      <c r="BZ24" s="60"/>
      <c r="CA24" s="61"/>
      <c r="CB24" s="64"/>
      <c r="CC24" s="141" t="s">
        <v>860</v>
      </c>
      <c r="CD24" s="61"/>
      <c r="CE24" s="64"/>
      <c r="CF24" s="260"/>
      <c r="CG24" s="77"/>
      <c r="CH24" s="79" t="s">
        <v>861</v>
      </c>
      <c r="CI24" s="57"/>
      <c r="CJ24" s="60"/>
      <c r="CK24" s="61"/>
      <c r="CL24" s="61"/>
      <c r="CM24" s="61"/>
      <c r="CN24" s="61"/>
      <c r="CO24" s="63"/>
      <c r="CP24" s="64"/>
      <c r="CQ24" s="64"/>
      <c r="CR24" s="64"/>
      <c r="CS24" s="64"/>
      <c r="CT24" s="72"/>
      <c r="CU24" s="73"/>
      <c r="CV24" s="73"/>
      <c r="CW24" s="73"/>
      <c r="CX24" s="73"/>
      <c r="CY24" s="64"/>
      <c r="CZ24" s="56"/>
      <c r="DA24" s="56"/>
      <c r="DB24" s="56"/>
      <c r="DC24" s="56"/>
      <c r="DD24" s="77"/>
      <c r="DE24" s="77"/>
      <c r="DF24" s="77"/>
      <c r="DG24" s="77"/>
      <c r="DH24" s="57"/>
      <c r="DI24" s="60"/>
      <c r="DJ24" s="61"/>
      <c r="DK24" s="61"/>
      <c r="DL24" s="61"/>
      <c r="DM24" s="61"/>
      <c r="DN24" s="63"/>
      <c r="DO24" s="64"/>
      <c r="DP24" s="64"/>
      <c r="DQ24" s="64"/>
      <c r="DR24" s="64"/>
      <c r="DS24" s="72"/>
      <c r="DT24" s="73"/>
      <c r="DU24" s="73"/>
      <c r="DV24" s="73"/>
      <c r="DW24" s="73"/>
      <c r="DX24" s="66"/>
      <c r="DY24" s="56"/>
      <c r="DZ24" s="56"/>
      <c r="EA24" s="56"/>
      <c r="EB24" s="56"/>
      <c r="EC24" s="77"/>
      <c r="ED24" s="77"/>
      <c r="EE24" s="77"/>
      <c r="EF24" s="77"/>
      <c r="EG24" s="57"/>
      <c r="EH24" s="60"/>
      <c r="EI24" s="61"/>
      <c r="EJ24" s="61"/>
      <c r="EK24" s="61"/>
      <c r="EL24" s="61"/>
    </row>
    <row r="25" spans="2:143" ht="45" hidden="1">
      <c r="B25" s="47" t="s">
        <v>899</v>
      </c>
      <c r="C25" s="48" t="s">
        <v>1539</v>
      </c>
      <c r="D25" s="49" t="s">
        <v>1418</v>
      </c>
      <c r="E25" s="70" t="s">
        <v>921</v>
      </c>
      <c r="F25" s="271">
        <v>45282</v>
      </c>
      <c r="G25" s="272">
        <v>45303</v>
      </c>
      <c r="H25" s="272">
        <v>45324</v>
      </c>
      <c r="I25" s="272" t="s">
        <v>1299</v>
      </c>
      <c r="J25" s="49" t="s">
        <v>33</v>
      </c>
      <c r="K25" s="49" t="s">
        <v>303</v>
      </c>
      <c r="L25" s="49" t="s">
        <v>1535</v>
      </c>
      <c r="M25" s="72"/>
      <c r="N25" s="73"/>
      <c r="O25" s="73"/>
      <c r="P25" s="73"/>
      <c r="Q25" s="73"/>
      <c r="R25" s="54"/>
      <c r="S25" s="56"/>
      <c r="T25" s="56"/>
      <c r="U25" s="56"/>
      <c r="V25" s="80"/>
      <c r="W25" s="77"/>
      <c r="X25" s="77"/>
      <c r="Y25" s="77"/>
      <c r="Z25" s="96"/>
      <c r="AA25" s="57"/>
      <c r="AB25" s="60"/>
      <c r="AC25" s="61"/>
      <c r="AD25" s="61"/>
      <c r="AE25" s="61"/>
      <c r="AF25" s="61"/>
      <c r="AG25" s="63"/>
      <c r="AH25" s="64"/>
      <c r="AI25" s="64"/>
      <c r="AJ25" s="64"/>
      <c r="AK25" s="64"/>
      <c r="AL25" s="72"/>
      <c r="AM25" s="73"/>
      <c r="AN25" s="73"/>
      <c r="AO25" s="73"/>
      <c r="AP25" s="73"/>
      <c r="AQ25" s="64"/>
      <c r="AR25" s="56"/>
      <c r="AS25" s="56"/>
      <c r="AT25" s="56"/>
      <c r="AU25" s="56"/>
      <c r="AV25" s="77"/>
      <c r="AW25" s="77"/>
      <c r="AX25" s="77"/>
      <c r="AY25" s="77"/>
      <c r="AZ25" s="57"/>
      <c r="BA25" s="60"/>
      <c r="BB25" s="61"/>
      <c r="BC25" s="61"/>
      <c r="BD25" s="61"/>
      <c r="BE25" s="61"/>
      <c r="BF25" s="63"/>
      <c r="BG25" s="64"/>
      <c r="BH25" s="64"/>
      <c r="BI25" s="64"/>
      <c r="BJ25" s="64"/>
      <c r="BK25" s="72"/>
      <c r="BL25" s="73"/>
      <c r="BM25" s="73"/>
      <c r="BN25" s="73"/>
      <c r="BO25" s="73"/>
      <c r="BP25" s="66"/>
      <c r="BQ25" s="56"/>
      <c r="BR25" s="56"/>
      <c r="BS25" s="56"/>
      <c r="BT25" s="56"/>
      <c r="BU25" s="77"/>
      <c r="BV25" s="77"/>
      <c r="BW25" s="77"/>
      <c r="BX25" s="77"/>
      <c r="BY25" s="57"/>
      <c r="BZ25" s="60"/>
      <c r="CA25" s="61"/>
      <c r="CB25" s="64"/>
      <c r="CC25" s="138" t="s">
        <v>860</v>
      </c>
      <c r="CD25" s="61"/>
      <c r="CE25" s="77"/>
      <c r="CF25" s="213"/>
      <c r="CG25" s="64"/>
      <c r="CH25" s="269" t="s">
        <v>861</v>
      </c>
      <c r="CI25" s="57"/>
      <c r="CJ25" s="60"/>
      <c r="CK25" s="61"/>
      <c r="CL25" s="61"/>
      <c r="CM25" s="56"/>
      <c r="CN25" s="61"/>
      <c r="CO25" s="63"/>
      <c r="CP25" s="64"/>
      <c r="CQ25" s="64"/>
      <c r="CR25" s="64"/>
      <c r="CS25" s="64"/>
      <c r="CT25" s="72"/>
      <c r="CU25" s="73"/>
      <c r="CV25" s="73"/>
      <c r="CW25" s="73"/>
      <c r="CX25" s="73"/>
      <c r="CY25" s="64"/>
      <c r="CZ25" s="56"/>
      <c r="DA25" s="56"/>
      <c r="DB25" s="56"/>
      <c r="DC25" s="56"/>
      <c r="DD25" s="77"/>
      <c r="DE25" s="77"/>
      <c r="DF25" s="77"/>
      <c r="DG25" s="77"/>
      <c r="DH25" s="57"/>
      <c r="DI25" s="60"/>
      <c r="DJ25" s="61"/>
      <c r="DK25" s="61"/>
      <c r="DL25" s="61"/>
      <c r="DM25" s="61"/>
      <c r="DN25" s="63"/>
      <c r="DO25" s="64"/>
      <c r="DP25" s="64"/>
      <c r="DQ25" s="64"/>
      <c r="DR25" s="64"/>
      <c r="DS25" s="72"/>
      <c r="DT25" s="73"/>
      <c r="DU25" s="73"/>
      <c r="DV25" s="73"/>
      <c r="DW25" s="73"/>
      <c r="DX25" s="66"/>
      <c r="DY25" s="56"/>
      <c r="DZ25" s="56"/>
      <c r="EA25" s="56"/>
      <c r="EB25" s="56"/>
      <c r="EC25" s="77"/>
      <c r="ED25" s="77"/>
      <c r="EE25" s="77"/>
      <c r="EF25" s="77"/>
      <c r="EG25" s="57"/>
      <c r="EH25" s="60"/>
      <c r="EI25" s="61"/>
      <c r="EJ25" s="61"/>
      <c r="EK25" s="61"/>
      <c r="EL25" s="61"/>
    </row>
    <row r="26" spans="2:143" ht="45" hidden="1">
      <c r="B26" s="47" t="s">
        <v>899</v>
      </c>
      <c r="C26" s="48" t="s">
        <v>1539</v>
      </c>
      <c r="D26" s="49" t="s">
        <v>936</v>
      </c>
      <c r="E26" s="70" t="s">
        <v>937</v>
      </c>
      <c r="F26" s="271">
        <v>45282</v>
      </c>
      <c r="G26" s="272">
        <v>45303</v>
      </c>
      <c r="H26" s="272">
        <v>45324</v>
      </c>
      <c r="I26" s="272">
        <v>45369</v>
      </c>
      <c r="J26" s="49" t="s">
        <v>33</v>
      </c>
      <c r="K26" s="49" t="s">
        <v>303</v>
      </c>
      <c r="L26" s="49" t="s">
        <v>1535</v>
      </c>
      <c r="M26" s="72"/>
      <c r="N26" s="73"/>
      <c r="O26" s="73"/>
      <c r="P26" s="73"/>
      <c r="Q26" s="73"/>
      <c r="R26" s="56"/>
      <c r="S26" s="56"/>
      <c r="T26" s="56"/>
      <c r="U26" s="56"/>
      <c r="V26" s="56"/>
      <c r="W26" s="77"/>
      <c r="X26" s="77"/>
      <c r="Y26" s="77"/>
      <c r="Z26" s="96"/>
      <c r="AA26" s="57"/>
      <c r="AB26" s="60"/>
      <c r="AC26" s="61"/>
      <c r="AD26" s="61"/>
      <c r="AE26" s="61"/>
      <c r="AF26" s="61"/>
      <c r="AG26" s="63"/>
      <c r="AH26" s="64"/>
      <c r="AI26" s="64"/>
      <c r="AJ26" s="64"/>
      <c r="AK26" s="64"/>
      <c r="AL26" s="72"/>
      <c r="AM26" s="73"/>
      <c r="AN26" s="73"/>
      <c r="AO26" s="73"/>
      <c r="AP26" s="73"/>
      <c r="AQ26" s="64"/>
      <c r="AR26" s="56"/>
      <c r="AS26" s="56"/>
      <c r="AT26" s="56"/>
      <c r="AU26" s="56"/>
      <c r="AV26" s="77"/>
      <c r="AW26" s="77"/>
      <c r="AX26" s="77"/>
      <c r="AY26" s="77"/>
      <c r="AZ26" s="57"/>
      <c r="BA26" s="60"/>
      <c r="BB26" s="61"/>
      <c r="BC26" s="61"/>
      <c r="BD26" s="61"/>
      <c r="BE26" s="61"/>
      <c r="BF26" s="63"/>
      <c r="BG26" s="64"/>
      <c r="BH26" s="64"/>
      <c r="BI26" s="64"/>
      <c r="BJ26" s="64"/>
      <c r="BK26" s="72"/>
      <c r="BL26" s="73"/>
      <c r="BM26" s="73"/>
      <c r="BN26" s="73"/>
      <c r="BO26" s="73"/>
      <c r="BP26" s="66"/>
      <c r="BQ26" s="56"/>
      <c r="BR26" s="56"/>
      <c r="BS26" s="56"/>
      <c r="BT26" s="56"/>
      <c r="BU26" s="77"/>
      <c r="BV26" s="77"/>
      <c r="BW26" s="77"/>
      <c r="BX26" s="77"/>
      <c r="BY26" s="57"/>
      <c r="BZ26" s="60"/>
      <c r="CA26" s="61"/>
      <c r="CB26" s="61"/>
      <c r="CC26" s="141" t="s">
        <v>860</v>
      </c>
      <c r="CD26" s="61"/>
      <c r="CE26" s="64"/>
      <c r="CF26" s="260"/>
      <c r="CG26" s="77"/>
      <c r="CH26" s="79" t="s">
        <v>861</v>
      </c>
      <c r="CI26" s="57"/>
      <c r="CJ26" s="60"/>
      <c r="CK26" s="61"/>
      <c r="CL26" s="61"/>
      <c r="CM26" s="61"/>
      <c r="CN26" s="61"/>
      <c r="CO26" s="63"/>
      <c r="CP26" s="64"/>
      <c r="CQ26" s="64"/>
      <c r="CR26" s="64"/>
      <c r="CS26" s="213"/>
      <c r="CT26" s="72"/>
      <c r="CU26" s="73"/>
      <c r="CV26" s="73"/>
      <c r="CW26" s="73"/>
      <c r="CX26" s="73"/>
      <c r="CY26" s="64"/>
      <c r="CZ26" s="56"/>
      <c r="DA26" s="56"/>
      <c r="DB26" s="56"/>
      <c r="DC26" s="56"/>
      <c r="DD26" s="77"/>
      <c r="DE26" s="77"/>
      <c r="DF26" s="77"/>
      <c r="DG26" s="77"/>
      <c r="DH26" s="57"/>
      <c r="DI26" s="60"/>
      <c r="DJ26" s="61"/>
      <c r="DK26" s="61"/>
      <c r="DL26" s="61"/>
      <c r="DM26" s="61"/>
      <c r="DN26" s="63"/>
      <c r="DO26" s="64"/>
      <c r="DP26" s="64"/>
      <c r="DQ26" s="64"/>
      <c r="DR26" s="64"/>
      <c r="DS26" s="72"/>
      <c r="DT26" s="73"/>
      <c r="DU26" s="73"/>
      <c r="DV26" s="73"/>
      <c r="DW26" s="73"/>
      <c r="DX26" s="66"/>
      <c r="DY26" s="56"/>
      <c r="DZ26" s="56"/>
      <c r="EA26" s="56"/>
      <c r="EB26" s="56"/>
      <c r="EC26" s="77"/>
      <c r="ED26" s="77"/>
      <c r="EE26" s="77"/>
      <c r="EF26" s="77"/>
      <c r="EG26" s="57"/>
      <c r="EH26" s="60"/>
      <c r="EI26" s="61"/>
      <c r="EJ26" s="61"/>
      <c r="EK26" s="61"/>
      <c r="EL26" s="61"/>
    </row>
    <row r="27" spans="2:143" ht="45" hidden="1">
      <c r="B27" s="47" t="s">
        <v>899</v>
      </c>
      <c r="C27" s="48" t="s">
        <v>1539</v>
      </c>
      <c r="D27" s="49" t="s">
        <v>938</v>
      </c>
      <c r="E27" s="70" t="s">
        <v>1461</v>
      </c>
      <c r="F27" s="271">
        <v>45282</v>
      </c>
      <c r="G27" s="272">
        <v>45303</v>
      </c>
      <c r="H27" s="272">
        <v>45324</v>
      </c>
      <c r="I27" s="272">
        <v>45369</v>
      </c>
      <c r="J27" s="49" t="s">
        <v>33</v>
      </c>
      <c r="K27" s="49" t="s">
        <v>303</v>
      </c>
      <c r="L27" s="49" t="s">
        <v>1535</v>
      </c>
      <c r="M27" s="72"/>
      <c r="N27" s="73"/>
      <c r="O27" s="73"/>
      <c r="P27" s="73"/>
      <c r="Q27" s="73"/>
      <c r="R27" s="56"/>
      <c r="S27" s="56"/>
      <c r="T27" s="56"/>
      <c r="U27" s="56"/>
      <c r="V27" s="56"/>
      <c r="W27" s="77"/>
      <c r="X27" s="77"/>
      <c r="Y27" s="77"/>
      <c r="Z27" s="96"/>
      <c r="AA27" s="57"/>
      <c r="AB27" s="60"/>
      <c r="AC27" s="61"/>
      <c r="AD27" s="54"/>
      <c r="AE27" s="61"/>
      <c r="AF27" s="61"/>
      <c r="AG27" s="63"/>
      <c r="AH27" s="80"/>
      <c r="AI27" s="64"/>
      <c r="AJ27" s="64"/>
      <c r="AK27" s="64"/>
      <c r="AL27" s="72"/>
      <c r="AM27" s="73"/>
      <c r="AN27" s="73"/>
      <c r="AO27" s="73"/>
      <c r="AP27" s="73"/>
      <c r="AQ27" s="64"/>
      <c r="AR27" s="56"/>
      <c r="AS27" s="56"/>
      <c r="AT27" s="56"/>
      <c r="AU27" s="56"/>
      <c r="AV27" s="77"/>
      <c r="AW27" s="77"/>
      <c r="AX27" s="77"/>
      <c r="AY27" s="77"/>
      <c r="AZ27" s="57"/>
      <c r="BA27" s="60"/>
      <c r="BB27" s="61"/>
      <c r="BC27" s="61"/>
      <c r="BD27" s="61"/>
      <c r="BE27" s="61"/>
      <c r="BF27" s="63"/>
      <c r="BG27" s="64"/>
      <c r="BH27" s="64"/>
      <c r="BI27" s="64"/>
      <c r="BJ27" s="64"/>
      <c r="BK27" s="72"/>
      <c r="BL27" s="73"/>
      <c r="BM27" s="73"/>
      <c r="BN27" s="73"/>
      <c r="BO27" s="73"/>
      <c r="BP27" s="66"/>
      <c r="BQ27" s="56"/>
      <c r="BR27" s="56"/>
      <c r="BS27" s="56"/>
      <c r="BT27" s="56"/>
      <c r="BU27" s="77"/>
      <c r="BV27" s="77"/>
      <c r="BW27" s="77"/>
      <c r="BX27" s="77"/>
      <c r="BY27" s="57"/>
      <c r="BZ27" s="60"/>
      <c r="CA27" s="61"/>
      <c r="CB27" s="61"/>
      <c r="CC27" s="141" t="s">
        <v>860</v>
      </c>
      <c r="CD27" s="61"/>
      <c r="CE27" s="64"/>
      <c r="CF27" s="260"/>
      <c r="CG27" s="77"/>
      <c r="CH27" s="79" t="s">
        <v>861</v>
      </c>
      <c r="CI27" s="57"/>
      <c r="CJ27" s="60"/>
      <c r="CK27" s="61"/>
      <c r="CL27" s="61"/>
      <c r="CM27" s="61"/>
      <c r="CN27" s="61"/>
      <c r="CO27" s="63"/>
      <c r="CP27" s="80"/>
      <c r="CQ27" s="64"/>
      <c r="CR27" s="64"/>
      <c r="CS27" s="64"/>
      <c r="CT27" s="72"/>
      <c r="CU27" s="73"/>
      <c r="CV27" s="73"/>
      <c r="CW27" s="73"/>
      <c r="CX27" s="73"/>
      <c r="CY27" s="64"/>
      <c r="CZ27" s="56"/>
      <c r="DA27" s="56"/>
      <c r="DB27" s="56"/>
      <c r="DC27" s="56"/>
      <c r="DD27" s="77"/>
      <c r="DE27" s="77"/>
      <c r="DF27" s="77"/>
      <c r="DG27" s="77"/>
      <c r="DH27" s="57"/>
      <c r="DI27" s="60"/>
      <c r="DJ27" s="61"/>
      <c r="DK27" s="61"/>
      <c r="DL27" s="61"/>
      <c r="DM27" s="61"/>
      <c r="DN27" s="63"/>
      <c r="DO27" s="64"/>
      <c r="DP27" s="64"/>
      <c r="DQ27" s="64"/>
      <c r="DR27" s="64"/>
      <c r="DS27" s="72"/>
      <c r="DT27" s="73"/>
      <c r="DU27" s="73"/>
      <c r="DV27" s="73"/>
      <c r="DW27" s="73"/>
      <c r="DX27" s="66"/>
      <c r="DY27" s="56"/>
      <c r="DZ27" s="56"/>
      <c r="EA27" s="56"/>
      <c r="EB27" s="56"/>
      <c r="EC27" s="77"/>
      <c r="ED27" s="77"/>
      <c r="EE27" s="77"/>
      <c r="EF27" s="77"/>
      <c r="EG27" s="57"/>
      <c r="EH27" s="60"/>
      <c r="EI27" s="61"/>
      <c r="EJ27" s="61"/>
      <c r="EK27" s="61"/>
      <c r="EL27" s="61"/>
    </row>
    <row r="28" spans="2:143" ht="45" hidden="1">
      <c r="B28" s="47" t="s">
        <v>899</v>
      </c>
      <c r="C28" s="48" t="s">
        <v>1541</v>
      </c>
      <c r="D28" s="49" t="s">
        <v>1452</v>
      </c>
      <c r="E28" s="70" t="s">
        <v>916</v>
      </c>
      <c r="F28" s="271">
        <v>45282</v>
      </c>
      <c r="G28" s="272">
        <v>45303</v>
      </c>
      <c r="H28" s="272">
        <v>45324</v>
      </c>
      <c r="I28" s="272">
        <v>45369</v>
      </c>
      <c r="J28" s="49" t="s">
        <v>33</v>
      </c>
      <c r="K28" s="49" t="s">
        <v>303</v>
      </c>
      <c r="L28" s="49" t="s">
        <v>1535</v>
      </c>
      <c r="M28" s="72"/>
      <c r="N28" s="73"/>
      <c r="O28" s="73"/>
      <c r="P28" s="73"/>
      <c r="Q28" s="73"/>
      <c r="R28" s="56"/>
      <c r="S28" s="56"/>
      <c r="T28" s="56"/>
      <c r="U28" s="56"/>
      <c r="V28" s="56"/>
      <c r="W28" s="77"/>
      <c r="X28" s="77"/>
      <c r="Y28" s="77"/>
      <c r="Z28" s="77"/>
      <c r="AA28" s="57"/>
      <c r="AB28" s="60"/>
      <c r="AC28" s="61"/>
      <c r="AD28" s="54"/>
      <c r="AE28" s="61"/>
      <c r="AF28" s="61"/>
      <c r="AG28" s="63"/>
      <c r="AH28" s="80"/>
      <c r="AI28" s="64"/>
      <c r="AJ28" s="64"/>
      <c r="AK28" s="64"/>
      <c r="AL28" s="72"/>
      <c r="AM28" s="73"/>
      <c r="AN28" s="73"/>
      <c r="AO28" s="73"/>
      <c r="AP28" s="73"/>
      <c r="AQ28" s="213"/>
      <c r="AR28" s="56"/>
      <c r="AS28" s="56"/>
      <c r="AT28" s="56"/>
      <c r="AU28" s="56"/>
      <c r="AV28" s="77"/>
      <c r="AW28" s="77"/>
      <c r="AX28" s="77"/>
      <c r="AY28" s="77"/>
      <c r="AZ28" s="57"/>
      <c r="BA28" s="60"/>
      <c r="BB28" s="61"/>
      <c r="BC28" s="61"/>
      <c r="BD28" s="61"/>
      <c r="BE28" s="61"/>
      <c r="BF28" s="63"/>
      <c r="BG28" s="64"/>
      <c r="BH28" s="64"/>
      <c r="BI28" s="64"/>
      <c r="BJ28" s="64"/>
      <c r="BK28" s="72"/>
      <c r="BL28" s="73"/>
      <c r="BM28" s="73"/>
      <c r="BN28" s="73"/>
      <c r="BO28" s="73"/>
      <c r="BP28" s="66"/>
      <c r="BQ28" s="56"/>
      <c r="BR28" s="56"/>
      <c r="BS28" s="56"/>
      <c r="BT28" s="56"/>
      <c r="BU28" s="77"/>
      <c r="BV28" s="77"/>
      <c r="BW28" s="77"/>
      <c r="BX28" s="77"/>
      <c r="BY28" s="57"/>
      <c r="BZ28" s="60"/>
      <c r="CA28" s="61"/>
      <c r="CB28" s="215"/>
      <c r="CC28" s="141" t="s">
        <v>860</v>
      </c>
      <c r="CD28" s="61"/>
      <c r="CE28" s="64"/>
      <c r="CF28" s="260"/>
      <c r="CG28" s="77"/>
      <c r="CH28" s="79" t="s">
        <v>861</v>
      </c>
      <c r="CI28" s="57"/>
      <c r="CJ28" s="60"/>
      <c r="CK28" s="61"/>
      <c r="CL28" s="61"/>
      <c r="CM28" s="61"/>
      <c r="CN28" s="61"/>
      <c r="CO28" s="63"/>
      <c r="CP28" s="80"/>
      <c r="CQ28" s="64"/>
      <c r="CR28" s="64"/>
      <c r="CS28" s="64"/>
      <c r="CT28" s="72"/>
      <c r="CU28" s="73"/>
      <c r="CV28" s="73"/>
      <c r="CW28" s="73"/>
      <c r="CX28" s="73"/>
      <c r="CY28" s="213"/>
      <c r="CZ28" s="56"/>
      <c r="DA28" s="56"/>
      <c r="DB28" s="56"/>
      <c r="DC28" s="56"/>
      <c r="DD28" s="77"/>
      <c r="DE28" s="77"/>
      <c r="DF28" s="77"/>
      <c r="DG28" s="77"/>
      <c r="DH28" s="57"/>
      <c r="DI28" s="60"/>
      <c r="DJ28" s="61"/>
      <c r="DK28" s="61"/>
      <c r="DL28" s="61"/>
      <c r="DM28" s="61"/>
      <c r="DN28" s="63"/>
      <c r="DO28" s="64"/>
      <c r="DP28" s="64"/>
      <c r="DQ28" s="64"/>
      <c r="DR28" s="64"/>
      <c r="DS28" s="72"/>
      <c r="DT28" s="73"/>
      <c r="DU28" s="73"/>
      <c r="DV28" s="73"/>
      <c r="DW28" s="73"/>
      <c r="DX28" s="66"/>
      <c r="DY28" s="56"/>
      <c r="DZ28" s="56"/>
      <c r="EA28" s="56"/>
      <c r="EB28" s="56"/>
      <c r="EC28" s="77"/>
      <c r="ED28" s="77"/>
      <c r="EE28" s="77"/>
      <c r="EF28" s="77"/>
      <c r="EG28" s="57"/>
      <c r="EH28" s="60"/>
      <c r="EI28" s="61"/>
      <c r="EJ28" s="61"/>
      <c r="EK28" s="61"/>
      <c r="EL28" s="61"/>
    </row>
    <row r="29" spans="2:143" ht="45" hidden="1">
      <c r="B29" s="47" t="s">
        <v>899</v>
      </c>
      <c r="C29" s="48" t="s">
        <v>1541</v>
      </c>
      <c r="D29" s="49" t="s">
        <v>1453</v>
      </c>
      <c r="E29" s="70" t="s">
        <v>1454</v>
      </c>
      <c r="F29" s="271">
        <v>45282</v>
      </c>
      <c r="G29" s="272">
        <v>45303</v>
      </c>
      <c r="H29" s="272">
        <v>45324</v>
      </c>
      <c r="I29" s="272" t="s">
        <v>1299</v>
      </c>
      <c r="J29" s="49" t="s">
        <v>33</v>
      </c>
      <c r="K29" s="49" t="s">
        <v>303</v>
      </c>
      <c r="L29" s="49" t="s">
        <v>1535</v>
      </c>
      <c r="M29" s="72"/>
      <c r="N29" s="73"/>
      <c r="O29" s="73"/>
      <c r="P29" s="73"/>
      <c r="Q29" s="73"/>
      <c r="R29" s="56"/>
      <c r="S29" s="56"/>
      <c r="T29" s="56"/>
      <c r="U29" s="56"/>
      <c r="V29" s="56"/>
      <c r="W29" s="77"/>
      <c r="X29" s="77"/>
      <c r="Y29" s="77"/>
      <c r="Z29" s="77"/>
      <c r="AA29" s="57"/>
      <c r="AB29" s="60"/>
      <c r="AC29" s="61"/>
      <c r="AD29" s="54"/>
      <c r="AE29" s="61"/>
      <c r="AF29" s="61"/>
      <c r="AG29" s="63"/>
      <c r="AH29" s="80"/>
      <c r="AI29" s="64"/>
      <c r="AJ29" s="64"/>
      <c r="AK29" s="64"/>
      <c r="AL29" s="72"/>
      <c r="AM29" s="73"/>
      <c r="AN29" s="73"/>
      <c r="AO29" s="73"/>
      <c r="AP29" s="73"/>
      <c r="AQ29" s="213"/>
      <c r="AR29" s="56"/>
      <c r="AS29" s="56"/>
      <c r="AT29" s="56"/>
      <c r="AU29" s="56"/>
      <c r="AV29" s="77"/>
      <c r="AW29" s="77"/>
      <c r="AX29" s="77"/>
      <c r="AY29" s="77"/>
      <c r="AZ29" s="57"/>
      <c r="BA29" s="60"/>
      <c r="BB29" s="61"/>
      <c r="BC29" s="61"/>
      <c r="BD29" s="61"/>
      <c r="BE29" s="61"/>
      <c r="BF29" s="63"/>
      <c r="BG29" s="64"/>
      <c r="BH29" s="64"/>
      <c r="BI29" s="64"/>
      <c r="BJ29" s="64"/>
      <c r="BK29" s="72"/>
      <c r="BL29" s="73"/>
      <c r="BM29" s="73"/>
      <c r="BN29" s="73"/>
      <c r="BO29" s="73"/>
      <c r="BP29" s="66"/>
      <c r="BQ29" s="56"/>
      <c r="BR29" s="56"/>
      <c r="BS29" s="56"/>
      <c r="BT29" s="56"/>
      <c r="BU29" s="77"/>
      <c r="BV29" s="77"/>
      <c r="BW29" s="77"/>
      <c r="BX29" s="77"/>
      <c r="BY29" s="57"/>
      <c r="BZ29" s="60"/>
      <c r="CA29" s="61"/>
      <c r="CB29" s="215"/>
      <c r="CC29" s="141" t="s">
        <v>860</v>
      </c>
      <c r="CD29" s="61"/>
      <c r="CE29" s="64"/>
      <c r="CF29" s="260"/>
      <c r="CG29" s="77"/>
      <c r="CH29" s="79" t="s">
        <v>861</v>
      </c>
      <c r="CI29" s="57"/>
      <c r="CJ29" s="60"/>
      <c r="CK29" s="61"/>
      <c r="CL29" s="61"/>
      <c r="CM29" s="61"/>
      <c r="CN29" s="61"/>
      <c r="CO29" s="63"/>
      <c r="CP29" s="80"/>
      <c r="CQ29" s="64"/>
      <c r="CR29" s="64"/>
      <c r="CS29" s="64"/>
      <c r="CT29" s="72"/>
      <c r="CU29" s="73"/>
      <c r="CV29" s="73"/>
      <c r="CW29" s="73"/>
      <c r="CX29" s="73"/>
      <c r="CY29" s="213"/>
      <c r="CZ29" s="56"/>
      <c r="DA29" s="56"/>
      <c r="DB29" s="56"/>
      <c r="DC29" s="56"/>
      <c r="DD29" s="77"/>
      <c r="DE29" s="77"/>
      <c r="DF29" s="77"/>
      <c r="DG29" s="77"/>
      <c r="DH29" s="57"/>
      <c r="DI29" s="60"/>
      <c r="DJ29" s="61"/>
      <c r="DK29" s="61"/>
      <c r="DL29" s="61"/>
      <c r="DM29" s="61"/>
      <c r="DN29" s="63"/>
      <c r="DO29" s="64"/>
      <c r="DP29" s="64"/>
      <c r="DQ29" s="64"/>
      <c r="DR29" s="64"/>
      <c r="DS29" s="72"/>
      <c r="DT29" s="73"/>
      <c r="DU29" s="73"/>
      <c r="DV29" s="73"/>
      <c r="DW29" s="73"/>
      <c r="DX29" s="66"/>
      <c r="DY29" s="56"/>
      <c r="DZ29" s="56"/>
      <c r="EA29" s="56"/>
      <c r="EB29" s="56"/>
      <c r="EC29" s="77"/>
      <c r="ED29" s="77"/>
      <c r="EE29" s="77"/>
      <c r="EF29" s="77"/>
      <c r="EG29" s="57"/>
      <c r="EH29" s="60"/>
      <c r="EI29" s="61"/>
      <c r="EJ29" s="61"/>
      <c r="EK29" s="61"/>
      <c r="EL29" s="61"/>
    </row>
    <row r="30" spans="2:143" ht="45" hidden="1">
      <c r="B30" s="47" t="s">
        <v>899</v>
      </c>
      <c r="C30" s="48" t="s">
        <v>1541</v>
      </c>
      <c r="D30" s="49" t="s">
        <v>940</v>
      </c>
      <c r="E30" s="70" t="s">
        <v>1451</v>
      </c>
      <c r="F30" s="271">
        <v>45282</v>
      </c>
      <c r="G30" s="272">
        <v>45303</v>
      </c>
      <c r="H30" s="272">
        <v>45324</v>
      </c>
      <c r="I30" s="272">
        <v>45369</v>
      </c>
      <c r="J30" s="49" t="s">
        <v>33</v>
      </c>
      <c r="K30" s="49" t="s">
        <v>303</v>
      </c>
      <c r="L30" s="49" t="s">
        <v>1535</v>
      </c>
      <c r="M30" s="72"/>
      <c r="N30" s="73"/>
      <c r="O30" s="73"/>
      <c r="P30" s="73"/>
      <c r="Q30" s="73"/>
      <c r="R30" s="56"/>
      <c r="S30" s="56"/>
      <c r="T30" s="56"/>
      <c r="U30" s="56"/>
      <c r="V30" s="56"/>
      <c r="W30" s="77"/>
      <c r="X30" s="77"/>
      <c r="Y30" s="77"/>
      <c r="Z30" s="77"/>
      <c r="AA30" s="93"/>
      <c r="AB30" s="60"/>
      <c r="AC30" s="61"/>
      <c r="AD30" s="54"/>
      <c r="AE30" s="61"/>
      <c r="AF30" s="61"/>
      <c r="AG30" s="63"/>
      <c r="AH30" s="64"/>
      <c r="AI30" s="64"/>
      <c r="AJ30" s="64"/>
      <c r="AK30" s="64"/>
      <c r="AL30" s="72"/>
      <c r="AM30" s="73"/>
      <c r="AN30" s="73"/>
      <c r="AO30" s="73"/>
      <c r="AP30" s="73"/>
      <c r="AQ30" s="64"/>
      <c r="AR30" s="56"/>
      <c r="AS30" s="56"/>
      <c r="AT30" s="56"/>
      <c r="AU30" s="56"/>
      <c r="AV30" s="77"/>
      <c r="AW30" s="77"/>
      <c r="AX30" s="77"/>
      <c r="AY30" s="77"/>
      <c r="AZ30" s="57"/>
      <c r="BA30" s="60"/>
      <c r="BB30" s="61"/>
      <c r="BC30" s="61"/>
      <c r="BD30" s="61"/>
      <c r="BE30" s="61"/>
      <c r="BF30" s="63"/>
      <c r="BG30" s="64"/>
      <c r="BH30" s="64"/>
      <c r="BI30" s="64"/>
      <c r="BJ30" s="64"/>
      <c r="BK30" s="72"/>
      <c r="BL30" s="73"/>
      <c r="BM30" s="264"/>
      <c r="BN30" s="73"/>
      <c r="BO30" s="73"/>
      <c r="BP30" s="66"/>
      <c r="BQ30" s="259"/>
      <c r="BR30" s="56"/>
      <c r="BS30" s="56"/>
      <c r="BT30" s="56"/>
      <c r="BU30" s="77"/>
      <c r="BV30" s="77"/>
      <c r="BW30" s="77"/>
      <c r="BX30" s="77"/>
      <c r="BY30" s="57"/>
      <c r="BZ30" s="60"/>
      <c r="CA30" s="61"/>
      <c r="CB30" s="61"/>
      <c r="CC30" s="141" t="s">
        <v>860</v>
      </c>
      <c r="CD30" s="61"/>
      <c r="CE30" s="64"/>
      <c r="CF30" s="260"/>
      <c r="CG30" s="77"/>
      <c r="CH30" s="79" t="s">
        <v>861</v>
      </c>
      <c r="CI30" s="57"/>
      <c r="CJ30" s="60"/>
      <c r="CK30" s="61"/>
      <c r="CL30" s="61"/>
      <c r="CM30" s="61"/>
      <c r="CN30" s="61"/>
      <c r="CO30" s="63"/>
      <c r="CP30" s="80"/>
      <c r="CQ30" s="64"/>
      <c r="CR30" s="64"/>
      <c r="CS30" s="64"/>
      <c r="CT30" s="72"/>
      <c r="CU30" s="73"/>
      <c r="CV30" s="73"/>
      <c r="CW30" s="73"/>
      <c r="CX30" s="73"/>
      <c r="CY30" s="64"/>
      <c r="CZ30" s="56"/>
      <c r="DA30" s="56"/>
      <c r="DB30" s="56"/>
      <c r="DC30" s="56"/>
      <c r="DD30" s="77"/>
      <c r="DE30" s="77"/>
      <c r="DF30" s="77"/>
      <c r="DG30" s="77"/>
      <c r="DH30" s="57"/>
      <c r="DI30" s="60"/>
      <c r="DJ30" s="61"/>
      <c r="DK30" s="61"/>
      <c r="DL30" s="61"/>
      <c r="DM30" s="61"/>
      <c r="DN30" s="63"/>
      <c r="DO30" s="64"/>
      <c r="DP30" s="64"/>
      <c r="DQ30" s="64"/>
      <c r="DR30" s="64"/>
      <c r="DS30" s="72"/>
      <c r="DT30" s="73"/>
      <c r="DU30" s="73"/>
      <c r="DV30" s="73"/>
      <c r="DW30" s="73"/>
      <c r="DX30" s="66"/>
      <c r="DY30" s="56"/>
      <c r="DZ30" s="56"/>
      <c r="EA30" s="56"/>
      <c r="EB30" s="56"/>
      <c r="EC30" s="77"/>
      <c r="ED30" s="77"/>
      <c r="EE30" s="77"/>
      <c r="EF30" s="77"/>
      <c r="EG30" s="57"/>
      <c r="EH30" s="60"/>
      <c r="EI30" s="61"/>
      <c r="EJ30" s="61"/>
      <c r="EK30" s="61"/>
      <c r="EL30" s="61"/>
    </row>
    <row r="31" spans="2:143" ht="45" hidden="1">
      <c r="B31" s="47" t="s">
        <v>899</v>
      </c>
      <c r="C31" s="48" t="s">
        <v>1541</v>
      </c>
      <c r="D31" s="49" t="s">
        <v>942</v>
      </c>
      <c r="E31" s="70" t="s">
        <v>943</v>
      </c>
      <c r="F31" s="271">
        <v>45282</v>
      </c>
      <c r="G31" s="272">
        <v>45303</v>
      </c>
      <c r="H31" s="272">
        <v>45324</v>
      </c>
      <c r="I31" s="272">
        <v>45369</v>
      </c>
      <c r="J31" s="49" t="s">
        <v>33</v>
      </c>
      <c r="K31" s="49" t="s">
        <v>303</v>
      </c>
      <c r="L31" s="49" t="s">
        <v>1535</v>
      </c>
      <c r="M31" s="72"/>
      <c r="N31" s="73"/>
      <c r="O31" s="73"/>
      <c r="P31" s="73"/>
      <c r="Q31" s="73"/>
      <c r="R31" s="56"/>
      <c r="S31" s="56"/>
      <c r="T31" s="56"/>
      <c r="U31" s="56"/>
      <c r="V31" s="56"/>
      <c r="W31" s="87"/>
      <c r="X31" s="77"/>
      <c r="Y31" s="77"/>
      <c r="Z31" s="77"/>
      <c r="AA31" s="57"/>
      <c r="AB31" s="60"/>
      <c r="AC31" s="61"/>
      <c r="AD31" s="54"/>
      <c r="AE31" s="61"/>
      <c r="AF31" s="61"/>
      <c r="AG31" s="63"/>
      <c r="AH31" s="64"/>
      <c r="AI31" s="64"/>
      <c r="AJ31" s="64"/>
      <c r="AK31" s="64"/>
      <c r="AL31" s="72"/>
      <c r="AM31" s="73"/>
      <c r="AN31" s="73"/>
      <c r="AO31" s="73"/>
      <c r="AP31" s="73"/>
      <c r="AQ31" s="213"/>
      <c r="AR31" s="56"/>
      <c r="AS31" s="56"/>
      <c r="AT31" s="56"/>
      <c r="AU31" s="56"/>
      <c r="AV31" s="77"/>
      <c r="AW31" s="77"/>
      <c r="AX31" s="77"/>
      <c r="AY31" s="77"/>
      <c r="AZ31" s="57"/>
      <c r="BA31" s="60"/>
      <c r="BB31" s="61"/>
      <c r="BC31" s="61"/>
      <c r="BD31" s="61"/>
      <c r="BE31" s="61"/>
      <c r="BF31" s="63"/>
      <c r="BG31" s="64"/>
      <c r="BH31" s="64"/>
      <c r="BI31" s="64"/>
      <c r="BJ31" s="64"/>
      <c r="BK31" s="72"/>
      <c r="BL31" s="73"/>
      <c r="BM31" s="73"/>
      <c r="BN31" s="73"/>
      <c r="BO31" s="73"/>
      <c r="BP31" s="66"/>
      <c r="BQ31" s="56"/>
      <c r="BR31" s="56"/>
      <c r="BS31" s="56"/>
      <c r="BT31" s="56"/>
      <c r="BU31" s="77"/>
      <c r="BV31" s="77"/>
      <c r="BW31" s="77"/>
      <c r="BX31" s="77"/>
      <c r="BY31" s="57"/>
      <c r="BZ31" s="60"/>
      <c r="CA31" s="61"/>
      <c r="CB31" s="215"/>
      <c r="CC31" s="138" t="s">
        <v>860</v>
      </c>
      <c r="CD31" s="61"/>
      <c r="CE31" s="87"/>
      <c r="CF31" s="213"/>
      <c r="CG31" s="64"/>
      <c r="CH31" s="269" t="s">
        <v>861</v>
      </c>
      <c r="CI31" s="57"/>
      <c r="CJ31" s="60"/>
      <c r="CK31" s="61"/>
      <c r="CL31" s="61"/>
      <c r="CM31" s="56"/>
      <c r="CN31" s="61"/>
      <c r="CO31" s="63"/>
      <c r="CP31" s="64"/>
      <c r="CQ31" s="64"/>
      <c r="CR31" s="64"/>
      <c r="CS31" s="213"/>
      <c r="CT31" s="72"/>
      <c r="CU31" s="73"/>
      <c r="CV31" s="73"/>
      <c r="CW31" s="73"/>
      <c r="CX31" s="73"/>
      <c r="CY31" s="213"/>
      <c r="CZ31" s="56"/>
      <c r="DA31" s="56"/>
      <c r="DB31" s="56"/>
      <c r="DC31" s="56"/>
      <c r="DD31" s="77"/>
      <c r="DE31" s="77"/>
      <c r="DF31" s="77"/>
      <c r="DG31" s="77"/>
      <c r="DH31" s="57"/>
      <c r="DI31" s="60"/>
      <c r="DJ31" s="61"/>
      <c r="DK31" s="61"/>
      <c r="DL31" s="61"/>
      <c r="DM31" s="61"/>
      <c r="DN31" s="63"/>
      <c r="DO31" s="64"/>
      <c r="DP31" s="64"/>
      <c r="DQ31" s="64"/>
      <c r="DR31" s="64"/>
      <c r="DS31" s="72"/>
      <c r="DT31" s="73"/>
      <c r="DU31" s="73"/>
      <c r="DV31" s="73"/>
      <c r="DW31" s="73"/>
      <c r="DX31" s="66"/>
      <c r="DY31" s="56"/>
      <c r="DZ31" s="56"/>
      <c r="EA31" s="56"/>
      <c r="EB31" s="56"/>
      <c r="EC31" s="77"/>
      <c r="ED31" s="77"/>
      <c r="EE31" s="77"/>
      <c r="EF31" s="77"/>
      <c r="EG31" s="57"/>
      <c r="EH31" s="60"/>
      <c r="EI31" s="61"/>
      <c r="EJ31" s="61"/>
      <c r="EK31" s="61"/>
      <c r="EL31" s="61"/>
    </row>
    <row r="32" spans="2:143" ht="60" hidden="1">
      <c r="B32" s="47" t="s">
        <v>899</v>
      </c>
      <c r="C32" s="48" t="s">
        <v>1541</v>
      </c>
      <c r="D32" s="49" t="s">
        <v>1323</v>
      </c>
      <c r="E32" s="70" t="s">
        <v>992</v>
      </c>
      <c r="F32" s="271">
        <v>45282</v>
      </c>
      <c r="G32" s="272">
        <v>45303</v>
      </c>
      <c r="H32" s="272">
        <v>45324</v>
      </c>
      <c r="I32" s="272" t="s">
        <v>1299</v>
      </c>
      <c r="J32" s="49" t="s">
        <v>33</v>
      </c>
      <c r="K32" s="49" t="s">
        <v>303</v>
      </c>
      <c r="L32" s="49" t="s">
        <v>1535</v>
      </c>
      <c r="M32" s="72"/>
      <c r="N32" s="73"/>
      <c r="O32" s="73"/>
      <c r="P32" s="73"/>
      <c r="Q32" s="73"/>
      <c r="R32" s="56"/>
      <c r="S32" s="56"/>
      <c r="T32" s="56"/>
      <c r="U32" s="56"/>
      <c r="V32" s="56"/>
      <c r="W32" s="77"/>
      <c r="X32" s="77"/>
      <c r="Y32" s="77"/>
      <c r="Z32" s="96"/>
      <c r="AA32" s="103"/>
      <c r="AB32" s="60"/>
      <c r="AC32" s="54"/>
      <c r="AD32" s="54"/>
      <c r="AE32" s="61"/>
      <c r="AF32" s="61"/>
      <c r="AG32" s="63"/>
      <c r="AH32" s="64"/>
      <c r="AI32" s="64"/>
      <c r="AJ32" s="64"/>
      <c r="AK32" s="64"/>
      <c r="AL32" s="72"/>
      <c r="AM32" s="73"/>
      <c r="AN32" s="73"/>
      <c r="AO32" s="73"/>
      <c r="AP32" s="73"/>
      <c r="AQ32" s="64"/>
      <c r="AR32" s="56"/>
      <c r="AS32" s="56"/>
      <c r="AT32" s="56"/>
      <c r="AU32" s="56"/>
      <c r="AV32" s="77"/>
      <c r="AW32" s="77"/>
      <c r="AX32" s="77"/>
      <c r="AY32" s="77"/>
      <c r="AZ32" s="57"/>
      <c r="BA32" s="60"/>
      <c r="BB32" s="61"/>
      <c r="BC32" s="61"/>
      <c r="BD32" s="61"/>
      <c r="BE32" s="61"/>
      <c r="BF32" s="63"/>
      <c r="BG32" s="64"/>
      <c r="BH32" s="64"/>
      <c r="BI32" s="64"/>
      <c r="BJ32" s="64"/>
      <c r="BK32" s="72"/>
      <c r="BL32" s="73"/>
      <c r="BM32" s="73"/>
      <c r="BN32" s="73"/>
      <c r="BO32" s="73"/>
      <c r="BP32" s="66"/>
      <c r="BQ32" s="56"/>
      <c r="BR32" s="56"/>
      <c r="BS32" s="56"/>
      <c r="BT32" s="56"/>
      <c r="BU32" s="77"/>
      <c r="BV32" s="77"/>
      <c r="BW32" s="77"/>
      <c r="BX32" s="77"/>
      <c r="BY32" s="57"/>
      <c r="BZ32" s="60"/>
      <c r="CA32" s="61"/>
      <c r="CB32" s="215"/>
      <c r="CC32" s="138" t="s">
        <v>860</v>
      </c>
      <c r="CD32" s="61"/>
      <c r="CE32" s="77"/>
      <c r="CF32" s="213"/>
      <c r="CG32" s="64"/>
      <c r="CH32" s="269" t="s">
        <v>861</v>
      </c>
      <c r="CI32" s="57"/>
      <c r="CJ32" s="60"/>
      <c r="CK32" s="61"/>
      <c r="CL32" s="61"/>
      <c r="CM32" s="56"/>
      <c r="CN32" s="61"/>
      <c r="CO32" s="63"/>
      <c r="CP32" s="64"/>
      <c r="CQ32" s="64"/>
      <c r="CR32" s="64"/>
      <c r="CS32" s="64"/>
      <c r="CT32" s="72"/>
      <c r="CU32" s="73"/>
      <c r="CV32" s="73"/>
      <c r="CW32" s="73"/>
      <c r="CX32" s="73"/>
      <c r="CY32" s="64"/>
      <c r="CZ32" s="56"/>
      <c r="DA32" s="56"/>
      <c r="DB32" s="56"/>
      <c r="DC32" s="56"/>
      <c r="DD32" s="77"/>
      <c r="DE32" s="77"/>
      <c r="DF32" s="77"/>
      <c r="DG32" s="77"/>
      <c r="DH32" s="57"/>
      <c r="DI32" s="60"/>
      <c r="DJ32" s="61"/>
      <c r="DK32" s="61"/>
      <c r="DL32" s="61"/>
      <c r="DM32" s="61"/>
      <c r="DN32" s="63"/>
      <c r="DO32" s="64"/>
      <c r="DP32" s="64"/>
      <c r="DQ32" s="64"/>
      <c r="DR32" s="64"/>
      <c r="DS32" s="72"/>
      <c r="DT32" s="73"/>
      <c r="DU32" s="73"/>
      <c r="DV32" s="73"/>
      <c r="DW32" s="73"/>
      <c r="DX32" s="66"/>
      <c r="DY32" s="56"/>
      <c r="DZ32" s="56"/>
      <c r="EA32" s="56"/>
      <c r="EB32" s="56"/>
      <c r="EC32" s="77"/>
      <c r="ED32" s="77"/>
      <c r="EE32" s="77"/>
      <c r="EF32" s="77"/>
      <c r="EG32" s="57"/>
      <c r="EH32" s="60"/>
      <c r="EI32" s="61"/>
      <c r="EJ32" s="61"/>
      <c r="EK32" s="61"/>
      <c r="EL32" s="61"/>
    </row>
    <row r="33" spans="2:142" ht="45" hidden="1">
      <c r="B33" s="47" t="s">
        <v>899</v>
      </c>
      <c r="C33" s="48" t="s">
        <v>1542</v>
      </c>
      <c r="D33" s="49" t="s">
        <v>1457</v>
      </c>
      <c r="E33" s="70" t="s">
        <v>1458</v>
      </c>
      <c r="F33" s="271">
        <v>45282</v>
      </c>
      <c r="G33" s="272">
        <v>45303</v>
      </c>
      <c r="H33" s="272">
        <v>45324</v>
      </c>
      <c r="I33" s="272" t="s">
        <v>1299</v>
      </c>
      <c r="J33" s="49" t="s">
        <v>33</v>
      </c>
      <c r="K33" s="49" t="s">
        <v>303</v>
      </c>
      <c r="L33" s="49" t="s">
        <v>1535</v>
      </c>
      <c r="M33" s="72"/>
      <c r="N33" s="73"/>
      <c r="O33" s="73"/>
      <c r="P33" s="73"/>
      <c r="Q33" s="73"/>
      <c r="R33" s="56"/>
      <c r="S33" s="56"/>
      <c r="T33" s="56"/>
      <c r="U33" s="56"/>
      <c r="V33" s="56"/>
      <c r="W33" s="77"/>
      <c r="X33" s="77"/>
      <c r="Y33" s="77"/>
      <c r="Z33" s="96"/>
      <c r="AA33" s="77"/>
      <c r="AB33" s="60"/>
      <c r="AC33" s="61"/>
      <c r="AD33" s="54"/>
      <c r="AE33" s="54"/>
      <c r="AF33" s="61"/>
      <c r="AG33" s="54"/>
      <c r="AH33" s="64"/>
      <c r="AI33" s="64"/>
      <c r="AJ33" s="64"/>
      <c r="AK33" s="64"/>
      <c r="AL33" s="72"/>
      <c r="AM33" s="73"/>
      <c r="AN33" s="73"/>
      <c r="AO33" s="73"/>
      <c r="AP33" s="73"/>
      <c r="AQ33" s="66"/>
      <c r="AR33" s="56"/>
      <c r="AS33" s="64"/>
      <c r="AT33" s="56"/>
      <c r="AU33" s="56"/>
      <c r="AV33" s="77"/>
      <c r="AW33" s="77"/>
      <c r="AX33" s="77"/>
      <c r="AY33" s="77"/>
      <c r="AZ33" s="57"/>
      <c r="BA33" s="60"/>
      <c r="BB33" s="61"/>
      <c r="BC33" s="61"/>
      <c r="BD33" s="61"/>
      <c r="BE33" s="61"/>
      <c r="BF33" s="63"/>
      <c r="BG33" s="64"/>
      <c r="BH33" s="64"/>
      <c r="BI33" s="64"/>
      <c r="BJ33" s="64"/>
      <c r="BK33" s="72"/>
      <c r="BL33" s="73"/>
      <c r="BM33" s="73"/>
      <c r="BN33" s="73"/>
      <c r="BO33" s="73"/>
      <c r="BP33" s="66"/>
      <c r="BQ33" s="56"/>
      <c r="BR33" s="56"/>
      <c r="BS33" s="56"/>
      <c r="BT33" s="56"/>
      <c r="BU33" s="77"/>
      <c r="BV33" s="77"/>
      <c r="BW33" s="77"/>
      <c r="BX33" s="77"/>
      <c r="BY33" s="57"/>
      <c r="BZ33" s="60"/>
      <c r="CA33" s="61"/>
      <c r="CB33" s="61"/>
      <c r="CC33" s="141" t="s">
        <v>860</v>
      </c>
      <c r="CD33" s="61"/>
      <c r="CE33" s="64"/>
      <c r="CF33" s="260"/>
      <c r="CG33" s="77"/>
      <c r="CH33" s="79" t="s">
        <v>861</v>
      </c>
      <c r="CI33" s="77"/>
      <c r="CJ33" s="60"/>
      <c r="CK33" s="61"/>
      <c r="CL33" s="54"/>
      <c r="CM33" s="54"/>
      <c r="CN33" s="61"/>
      <c r="CO33" s="54"/>
      <c r="CP33" s="64"/>
      <c r="CQ33" s="64"/>
      <c r="CR33" s="64"/>
      <c r="CS33" s="64"/>
      <c r="CT33" s="72"/>
      <c r="CU33" s="73"/>
      <c r="CV33" s="73"/>
      <c r="CW33" s="73"/>
      <c r="CX33" s="73"/>
      <c r="CY33" s="66"/>
      <c r="CZ33" s="56"/>
      <c r="DA33" s="64"/>
      <c r="DB33" s="56"/>
      <c r="DC33" s="56"/>
      <c r="DD33" s="77"/>
      <c r="DE33" s="77"/>
      <c r="DF33" s="77"/>
      <c r="DG33" s="77"/>
      <c r="DH33" s="57"/>
      <c r="DI33" s="60"/>
      <c r="DJ33" s="61"/>
      <c r="DK33" s="61"/>
      <c r="DL33" s="61"/>
      <c r="DM33" s="61"/>
      <c r="DN33" s="63"/>
      <c r="DO33" s="64"/>
      <c r="DP33" s="64"/>
      <c r="DQ33" s="64"/>
      <c r="DR33" s="64"/>
      <c r="DS33" s="72"/>
      <c r="DT33" s="73"/>
      <c r="DU33" s="73"/>
      <c r="DV33" s="73"/>
      <c r="DW33" s="73"/>
      <c r="DX33" s="66"/>
      <c r="DY33" s="56"/>
      <c r="DZ33" s="56"/>
      <c r="EA33" s="56"/>
      <c r="EB33" s="56"/>
      <c r="EC33" s="77"/>
      <c r="ED33" s="77"/>
      <c r="EE33" s="77"/>
      <c r="EF33" s="77"/>
      <c r="EG33" s="57"/>
      <c r="EH33" s="60"/>
      <c r="EI33" s="61"/>
      <c r="EJ33" s="61"/>
      <c r="EK33" s="61"/>
      <c r="EL33" s="61"/>
    </row>
    <row r="34" spans="2:142" ht="45" hidden="1">
      <c r="B34" s="47" t="s">
        <v>899</v>
      </c>
      <c r="C34" s="48" t="s">
        <v>1541</v>
      </c>
      <c r="D34" s="49" t="s">
        <v>929</v>
      </c>
      <c r="E34" s="70" t="s">
        <v>930</v>
      </c>
      <c r="F34" s="271">
        <v>45282</v>
      </c>
      <c r="G34" s="272">
        <v>45303</v>
      </c>
      <c r="H34" s="272">
        <v>45324</v>
      </c>
      <c r="I34" s="272">
        <v>45369</v>
      </c>
      <c r="J34" s="49" t="s">
        <v>33</v>
      </c>
      <c r="K34" s="49" t="s">
        <v>303</v>
      </c>
      <c r="L34" s="49" t="s">
        <v>1535</v>
      </c>
      <c r="M34" s="72"/>
      <c r="N34" s="73"/>
      <c r="O34" s="73"/>
      <c r="P34" s="73"/>
      <c r="Q34" s="73"/>
      <c r="R34" s="56"/>
      <c r="S34" s="56"/>
      <c r="T34" s="56"/>
      <c r="U34" s="56"/>
      <c r="V34" s="56"/>
      <c r="W34" s="77"/>
      <c r="X34" s="77"/>
      <c r="Y34" s="77"/>
      <c r="Z34" s="96"/>
      <c r="AA34" s="54"/>
      <c r="AB34" s="60"/>
      <c r="AC34" s="54"/>
      <c r="AD34" s="54"/>
      <c r="AE34" s="80"/>
      <c r="AF34" s="61"/>
      <c r="AG34" s="64"/>
      <c r="AH34" s="64"/>
      <c r="AI34" s="64"/>
      <c r="AJ34" s="64"/>
      <c r="AK34" s="64"/>
      <c r="AL34" s="72"/>
      <c r="AM34" s="73"/>
      <c r="AN34" s="73"/>
      <c r="AO34" s="73"/>
      <c r="AP34" s="73"/>
      <c r="AQ34" s="66"/>
      <c r="AR34" s="56"/>
      <c r="AS34" s="56"/>
      <c r="AT34" s="56"/>
      <c r="AU34" s="56"/>
      <c r="AV34" s="77"/>
      <c r="AW34" s="77"/>
      <c r="AX34" s="77"/>
      <c r="AY34" s="77"/>
      <c r="AZ34" s="57"/>
      <c r="BA34" s="60"/>
      <c r="BB34" s="61"/>
      <c r="BC34" s="61"/>
      <c r="BD34" s="61"/>
      <c r="BE34" s="64"/>
      <c r="BF34" s="63"/>
      <c r="BG34" s="64"/>
      <c r="BH34" s="64"/>
      <c r="BI34" s="64"/>
      <c r="BJ34" s="64"/>
      <c r="BK34" s="72"/>
      <c r="BL34" s="73"/>
      <c r="BM34" s="73"/>
      <c r="BN34" s="73"/>
      <c r="BO34" s="73"/>
      <c r="BP34" s="66"/>
      <c r="BQ34" s="56"/>
      <c r="BR34" s="56"/>
      <c r="BS34" s="56"/>
      <c r="BT34" s="56"/>
      <c r="BU34" s="77"/>
      <c r="BV34" s="77"/>
      <c r="BW34" s="77"/>
      <c r="BX34" s="77"/>
      <c r="BY34" s="57"/>
      <c r="BZ34" s="60"/>
      <c r="CA34" s="61"/>
      <c r="CB34" s="215"/>
      <c r="CC34" s="138" t="s">
        <v>860</v>
      </c>
      <c r="CD34" s="61"/>
      <c r="CE34" s="77"/>
      <c r="CF34" s="213"/>
      <c r="CG34" s="64"/>
      <c r="CH34" s="269" t="s">
        <v>861</v>
      </c>
      <c r="CI34" s="57"/>
      <c r="CJ34" s="60"/>
      <c r="CK34" s="61"/>
      <c r="CL34" s="61"/>
      <c r="CM34" s="56"/>
      <c r="CN34" s="61"/>
      <c r="CO34" s="64"/>
      <c r="CP34" s="64"/>
      <c r="CQ34" s="64"/>
      <c r="CR34" s="64"/>
      <c r="CS34" s="64"/>
      <c r="CT34" s="72"/>
      <c r="CU34" s="73"/>
      <c r="CV34" s="73"/>
      <c r="CW34" s="73"/>
      <c r="CX34" s="73"/>
      <c r="CY34" s="66"/>
      <c r="CZ34" s="56"/>
      <c r="DA34" s="56"/>
      <c r="DB34" s="56"/>
      <c r="DC34" s="56"/>
      <c r="DD34" s="77"/>
      <c r="DE34" s="77"/>
      <c r="DF34" s="77"/>
      <c r="DG34" s="77"/>
      <c r="DH34" s="57"/>
      <c r="DI34" s="60"/>
      <c r="DJ34" s="61"/>
      <c r="DK34" s="61"/>
      <c r="DL34" s="61"/>
      <c r="DM34" s="64"/>
      <c r="DN34" s="63"/>
      <c r="DO34" s="64"/>
      <c r="DP34" s="64"/>
      <c r="DQ34" s="64"/>
      <c r="DR34" s="64"/>
      <c r="DS34" s="72"/>
      <c r="DT34" s="73"/>
      <c r="DU34" s="73"/>
      <c r="DV34" s="73"/>
      <c r="DW34" s="73"/>
      <c r="DX34" s="66"/>
      <c r="DY34" s="56"/>
      <c r="DZ34" s="56"/>
      <c r="EA34" s="56"/>
      <c r="EB34" s="56"/>
      <c r="EC34" s="77"/>
      <c r="ED34" s="77"/>
      <c r="EE34" s="77"/>
      <c r="EF34" s="77"/>
      <c r="EG34" s="57"/>
      <c r="EH34" s="60"/>
      <c r="EI34" s="61"/>
      <c r="EJ34" s="61"/>
      <c r="EK34" s="61"/>
      <c r="EL34" s="61"/>
    </row>
    <row r="35" spans="2:142" ht="45" hidden="1">
      <c r="B35" s="47" t="s">
        <v>899</v>
      </c>
      <c r="C35" s="48" t="s">
        <v>1542</v>
      </c>
      <c r="D35" s="49" t="s">
        <v>1459</v>
      </c>
      <c r="E35" s="70" t="s">
        <v>1460</v>
      </c>
      <c r="F35" s="271">
        <v>45282</v>
      </c>
      <c r="G35" s="272">
        <v>45303</v>
      </c>
      <c r="H35" s="272">
        <v>45324</v>
      </c>
      <c r="I35" s="272" t="s">
        <v>1299</v>
      </c>
      <c r="J35" s="49" t="s">
        <v>33</v>
      </c>
      <c r="K35" s="49" t="s">
        <v>303</v>
      </c>
      <c r="L35" s="49" t="s">
        <v>1535</v>
      </c>
      <c r="M35" s="72"/>
      <c r="N35" s="73"/>
      <c r="O35" s="73"/>
      <c r="P35" s="73"/>
      <c r="Q35" s="73"/>
      <c r="R35" s="56"/>
      <c r="S35" s="56"/>
      <c r="T35" s="56"/>
      <c r="U35" s="56"/>
      <c r="V35" s="56"/>
      <c r="W35" s="77"/>
      <c r="X35" s="77"/>
      <c r="Y35" s="77"/>
      <c r="Z35" s="96"/>
      <c r="AA35" s="54"/>
      <c r="AB35" s="60"/>
      <c r="AC35" s="54"/>
      <c r="AD35" s="61"/>
      <c r="AE35" s="54"/>
      <c r="AF35" s="61"/>
      <c r="AG35" s="64"/>
      <c r="AH35" s="64"/>
      <c r="AI35" s="64"/>
      <c r="AJ35" s="64"/>
      <c r="AK35" s="64"/>
      <c r="AL35" s="72"/>
      <c r="AM35" s="73"/>
      <c r="AN35" s="73"/>
      <c r="AO35" s="73"/>
      <c r="AP35" s="73"/>
      <c r="AQ35" s="66"/>
      <c r="AR35" s="56"/>
      <c r="AS35" s="56"/>
      <c r="AT35" s="56"/>
      <c r="AU35" s="56"/>
      <c r="AV35" s="77"/>
      <c r="AW35" s="77"/>
      <c r="AX35" s="77"/>
      <c r="AY35" s="77"/>
      <c r="AZ35" s="57"/>
      <c r="BA35" s="60"/>
      <c r="BB35" s="61"/>
      <c r="BC35" s="61"/>
      <c r="BD35" s="61"/>
      <c r="BE35" s="61"/>
      <c r="BF35" s="63"/>
      <c r="BG35" s="64"/>
      <c r="BH35" s="64"/>
      <c r="BI35" s="64"/>
      <c r="BJ35" s="64"/>
      <c r="BK35" s="72"/>
      <c r="BL35" s="73"/>
      <c r="BM35" s="73"/>
      <c r="BN35" s="73"/>
      <c r="BO35" s="73"/>
      <c r="BP35" s="66"/>
      <c r="BQ35" s="56"/>
      <c r="BR35" s="56"/>
      <c r="BS35" s="56"/>
      <c r="BT35" s="56"/>
      <c r="BU35" s="77"/>
      <c r="BV35" s="77"/>
      <c r="BW35" s="77"/>
      <c r="BX35" s="77"/>
      <c r="BY35" s="57"/>
      <c r="BZ35" s="60"/>
      <c r="CA35" s="61"/>
      <c r="CB35" s="61"/>
      <c r="CC35" s="138" t="s">
        <v>860</v>
      </c>
      <c r="CD35" s="61"/>
      <c r="CE35" s="77"/>
      <c r="CF35" s="213"/>
      <c r="CG35" s="64"/>
      <c r="CH35" s="269" t="s">
        <v>861</v>
      </c>
      <c r="CI35" s="57"/>
      <c r="CJ35" s="60"/>
      <c r="CK35" s="61"/>
      <c r="CL35" s="61"/>
      <c r="CM35" s="56"/>
      <c r="CN35" s="61"/>
      <c r="CO35" s="64"/>
      <c r="CP35" s="64"/>
      <c r="CQ35" s="64"/>
      <c r="CR35" s="64"/>
      <c r="CS35" s="64"/>
      <c r="CT35" s="72"/>
      <c r="CU35" s="73"/>
      <c r="CV35" s="73"/>
      <c r="CW35" s="73"/>
      <c r="CX35" s="73"/>
      <c r="CY35" s="66"/>
      <c r="CZ35" s="56"/>
      <c r="DA35" s="56"/>
      <c r="DB35" s="56"/>
      <c r="DC35" s="56"/>
      <c r="DD35" s="77"/>
      <c r="DE35" s="77"/>
      <c r="DF35" s="77"/>
      <c r="DG35" s="77"/>
      <c r="DH35" s="57"/>
      <c r="DI35" s="60"/>
      <c r="DJ35" s="61"/>
      <c r="DK35" s="61"/>
      <c r="DL35" s="61"/>
      <c r="DM35" s="61"/>
      <c r="DN35" s="63"/>
      <c r="DO35" s="64"/>
      <c r="DP35" s="64"/>
      <c r="DQ35" s="64"/>
      <c r="DR35" s="64"/>
      <c r="DS35" s="72"/>
      <c r="DT35" s="73"/>
      <c r="DU35" s="73"/>
      <c r="DV35" s="73"/>
      <c r="DW35" s="73"/>
      <c r="DX35" s="66"/>
      <c r="DY35" s="56"/>
      <c r="DZ35" s="56"/>
      <c r="EA35" s="56"/>
      <c r="EB35" s="56"/>
      <c r="EC35" s="77"/>
      <c r="ED35" s="77"/>
      <c r="EE35" s="77"/>
      <c r="EF35" s="77"/>
      <c r="EG35" s="57"/>
      <c r="EH35" s="60"/>
      <c r="EI35" s="61"/>
      <c r="EJ35" s="61"/>
      <c r="EK35" s="61"/>
      <c r="EL35" s="61"/>
    </row>
    <row r="36" spans="2:142" ht="45" hidden="1">
      <c r="B36" s="47" t="s">
        <v>899</v>
      </c>
      <c r="C36" s="48" t="s">
        <v>1541</v>
      </c>
      <c r="D36" s="49" t="s">
        <v>944</v>
      </c>
      <c r="E36" s="70" t="s">
        <v>945</v>
      </c>
      <c r="F36" s="271">
        <v>45282</v>
      </c>
      <c r="G36" s="272">
        <v>45303</v>
      </c>
      <c r="H36" s="272">
        <v>45324</v>
      </c>
      <c r="I36" s="272">
        <v>45369</v>
      </c>
      <c r="J36" s="49" t="s">
        <v>33</v>
      </c>
      <c r="K36" s="49" t="s">
        <v>303</v>
      </c>
      <c r="L36" s="49" t="s">
        <v>1535</v>
      </c>
      <c r="M36" s="72"/>
      <c r="N36" s="73"/>
      <c r="O36" s="73"/>
      <c r="P36" s="73"/>
      <c r="Q36" s="73"/>
      <c r="R36" s="66"/>
      <c r="S36" s="56"/>
      <c r="T36" s="56"/>
      <c r="U36" s="56"/>
      <c r="V36" s="56"/>
      <c r="W36" s="54"/>
      <c r="X36" s="77"/>
      <c r="Y36" s="77"/>
      <c r="Z36" s="77"/>
      <c r="AA36" s="80"/>
      <c r="AB36" s="60"/>
      <c r="AC36" s="61"/>
      <c r="AD36" s="54"/>
      <c r="AE36" s="61"/>
      <c r="AF36" s="61"/>
      <c r="AG36" s="63"/>
      <c r="AH36" s="64"/>
      <c r="AI36" s="64"/>
      <c r="AJ36" s="64"/>
      <c r="AK36" s="64"/>
      <c r="AL36" s="72"/>
      <c r="AM36" s="73"/>
      <c r="AN36" s="73"/>
      <c r="AO36" s="73"/>
      <c r="AP36" s="73"/>
      <c r="AQ36" s="214"/>
      <c r="AR36" s="56"/>
      <c r="AS36" s="56"/>
      <c r="AT36" s="56"/>
      <c r="AU36" s="56"/>
      <c r="AV36" s="77"/>
      <c r="AW36" s="77"/>
      <c r="AX36" s="77"/>
      <c r="AY36" s="77"/>
      <c r="AZ36" s="57"/>
      <c r="BA36" s="60"/>
      <c r="BB36" s="61"/>
      <c r="BC36" s="61"/>
      <c r="BD36" s="61"/>
      <c r="BE36" s="61"/>
      <c r="BF36" s="63"/>
      <c r="BG36" s="64"/>
      <c r="BH36" s="64"/>
      <c r="BI36" s="64"/>
      <c r="BJ36" s="64"/>
      <c r="BK36" s="72"/>
      <c r="BL36" s="73"/>
      <c r="BM36" s="73"/>
      <c r="BN36" s="73"/>
      <c r="BO36" s="73"/>
      <c r="BP36" s="66"/>
      <c r="BQ36" s="56"/>
      <c r="BR36" s="56"/>
      <c r="BS36" s="56"/>
      <c r="BT36" s="56"/>
      <c r="BU36" s="77"/>
      <c r="BV36" s="77"/>
      <c r="BW36" s="77"/>
      <c r="BX36" s="77"/>
      <c r="BY36" s="57"/>
      <c r="BZ36" s="60"/>
      <c r="CA36" s="61"/>
      <c r="CB36" s="215"/>
      <c r="CC36" s="138" t="s">
        <v>860</v>
      </c>
      <c r="CD36" s="61"/>
      <c r="CE36" s="54"/>
      <c r="CF36" s="260"/>
      <c r="CG36" s="64"/>
      <c r="CH36" s="269" t="s">
        <v>861</v>
      </c>
      <c r="CI36" s="57"/>
      <c r="CJ36" s="60"/>
      <c r="CK36" s="61"/>
      <c r="CL36" s="61"/>
      <c r="CM36" s="56"/>
      <c r="CN36" s="61"/>
      <c r="CO36" s="63"/>
      <c r="CP36" s="64"/>
      <c r="CQ36" s="64"/>
      <c r="CR36" s="64"/>
      <c r="CS36" s="213"/>
      <c r="CT36" s="72"/>
      <c r="CU36" s="73"/>
      <c r="CV36" s="73"/>
      <c r="CW36" s="73"/>
      <c r="CX36" s="73"/>
      <c r="CY36" s="214"/>
      <c r="CZ36" s="56"/>
      <c r="DA36" s="56"/>
      <c r="DB36" s="56"/>
      <c r="DC36" s="56"/>
      <c r="DD36" s="77"/>
      <c r="DE36" s="77"/>
      <c r="DF36" s="77"/>
      <c r="DG36" s="77"/>
      <c r="DH36" s="57"/>
      <c r="DI36" s="60"/>
      <c r="DJ36" s="61"/>
      <c r="DK36" s="61"/>
      <c r="DL36" s="61"/>
      <c r="DM36" s="61"/>
      <c r="DN36" s="63"/>
      <c r="DO36" s="64"/>
      <c r="DP36" s="64"/>
      <c r="DQ36" s="64"/>
      <c r="DR36" s="64"/>
      <c r="DS36" s="72"/>
      <c r="DT36" s="73"/>
      <c r="DU36" s="73"/>
      <c r="DV36" s="73"/>
      <c r="DW36" s="73"/>
      <c r="DX36" s="66"/>
      <c r="DY36" s="56"/>
      <c r="DZ36" s="56"/>
      <c r="EA36" s="56"/>
      <c r="EB36" s="56"/>
      <c r="EC36" s="77"/>
      <c r="ED36" s="77"/>
      <c r="EE36" s="77"/>
      <c r="EF36" s="77"/>
      <c r="EG36" s="57"/>
      <c r="EH36" s="60"/>
      <c r="EI36" s="61"/>
      <c r="EJ36" s="61"/>
      <c r="EK36" s="61"/>
      <c r="EL36" s="61"/>
    </row>
    <row r="37" spans="2:142" ht="45" hidden="1">
      <c r="B37" s="47" t="s">
        <v>899</v>
      </c>
      <c r="C37" s="48" t="s">
        <v>1543</v>
      </c>
      <c r="D37" s="49" t="s">
        <v>1333</v>
      </c>
      <c r="E37" s="70" t="s">
        <v>1467</v>
      </c>
      <c r="F37" s="271">
        <v>45282</v>
      </c>
      <c r="G37" s="272">
        <v>45303</v>
      </c>
      <c r="H37" s="272">
        <v>45324</v>
      </c>
      <c r="I37" s="272" t="s">
        <v>1299</v>
      </c>
      <c r="J37" s="49" t="s">
        <v>33</v>
      </c>
      <c r="K37" s="49" t="s">
        <v>303</v>
      </c>
      <c r="L37" s="49" t="s">
        <v>1535</v>
      </c>
      <c r="M37" s="72"/>
      <c r="N37" s="73"/>
      <c r="O37" s="73"/>
      <c r="P37" s="73"/>
      <c r="Q37" s="73"/>
      <c r="R37" s="66"/>
      <c r="S37" s="56"/>
      <c r="T37" s="56"/>
      <c r="U37" s="56"/>
      <c r="V37" s="56"/>
      <c r="W37" s="54"/>
      <c r="X37" s="77"/>
      <c r="Y37" s="77"/>
      <c r="Z37" s="77"/>
      <c r="AA37" s="80"/>
      <c r="AB37" s="60"/>
      <c r="AC37" s="61"/>
      <c r="AD37" s="54"/>
      <c r="AE37" s="61"/>
      <c r="AF37" s="61"/>
      <c r="AG37" s="63"/>
      <c r="AH37" s="64"/>
      <c r="AI37" s="64"/>
      <c r="AJ37" s="64"/>
      <c r="AK37" s="64"/>
      <c r="AL37" s="72"/>
      <c r="AM37" s="73"/>
      <c r="AN37" s="73"/>
      <c r="AO37" s="73"/>
      <c r="AP37" s="73"/>
      <c r="AQ37" s="214"/>
      <c r="AR37" s="56"/>
      <c r="AS37" s="56"/>
      <c r="AT37" s="56"/>
      <c r="AU37" s="56"/>
      <c r="AV37" s="77"/>
      <c r="AW37" s="77"/>
      <c r="AX37" s="77"/>
      <c r="AY37" s="77"/>
      <c r="AZ37" s="57"/>
      <c r="BA37" s="60"/>
      <c r="BB37" s="61"/>
      <c r="BC37" s="61"/>
      <c r="BD37" s="61"/>
      <c r="BE37" s="61"/>
      <c r="BF37" s="63"/>
      <c r="BG37" s="64"/>
      <c r="BH37" s="64"/>
      <c r="BI37" s="64"/>
      <c r="BJ37" s="64"/>
      <c r="BK37" s="72"/>
      <c r="BL37" s="73"/>
      <c r="BM37" s="73"/>
      <c r="BN37" s="73"/>
      <c r="BO37" s="73"/>
      <c r="BP37" s="66"/>
      <c r="BQ37" s="56"/>
      <c r="BR37" s="56"/>
      <c r="BS37" s="56"/>
      <c r="BT37" s="56"/>
      <c r="BU37" s="77"/>
      <c r="BV37" s="77"/>
      <c r="BW37" s="77"/>
      <c r="BX37" s="77"/>
      <c r="BY37" s="57"/>
      <c r="BZ37" s="60"/>
      <c r="CA37" s="61"/>
      <c r="CB37" s="61"/>
      <c r="CC37" s="138" t="s">
        <v>860</v>
      </c>
      <c r="CD37" s="61"/>
      <c r="CE37" s="54"/>
      <c r="CF37" s="260"/>
      <c r="CG37" s="64"/>
      <c r="CH37" s="269" t="s">
        <v>861</v>
      </c>
      <c r="CI37" s="57"/>
      <c r="CJ37" s="60"/>
      <c r="CK37" s="61"/>
      <c r="CL37" s="61"/>
      <c r="CM37" s="259"/>
      <c r="CN37" s="61"/>
      <c r="CO37" s="63"/>
      <c r="CP37" s="64"/>
      <c r="CQ37" s="64"/>
      <c r="CR37" s="64"/>
      <c r="CS37" s="64"/>
      <c r="CT37" s="72"/>
      <c r="CU37" s="73"/>
      <c r="CV37" s="73"/>
      <c r="CW37" s="73"/>
      <c r="CX37" s="73"/>
      <c r="CY37" s="214"/>
      <c r="CZ37" s="56"/>
      <c r="DA37" s="56"/>
      <c r="DB37" s="56"/>
      <c r="DC37" s="56"/>
      <c r="DD37" s="77"/>
      <c r="DE37" s="77"/>
      <c r="DF37" s="77"/>
      <c r="DG37" s="77"/>
      <c r="DH37" s="57"/>
      <c r="DI37" s="60"/>
      <c r="DJ37" s="61"/>
      <c r="DK37" s="61"/>
      <c r="DL37" s="61"/>
      <c r="DM37" s="61"/>
      <c r="DN37" s="63"/>
      <c r="DO37" s="64"/>
      <c r="DP37" s="64"/>
      <c r="DQ37" s="64"/>
      <c r="DR37" s="64"/>
      <c r="DS37" s="72"/>
      <c r="DT37" s="73"/>
      <c r="DU37" s="73"/>
      <c r="DV37" s="73"/>
      <c r="DW37" s="73"/>
      <c r="DX37" s="66"/>
      <c r="DY37" s="56"/>
      <c r="DZ37" s="56"/>
      <c r="EA37" s="56"/>
      <c r="EB37" s="56"/>
      <c r="EC37" s="77"/>
      <c r="ED37" s="77"/>
      <c r="EE37" s="77"/>
      <c r="EF37" s="77"/>
      <c r="EG37" s="57"/>
      <c r="EH37" s="60"/>
      <c r="EI37" s="61"/>
      <c r="EJ37" s="61"/>
      <c r="EK37" s="61"/>
      <c r="EL37" s="61"/>
    </row>
    <row r="38" spans="2:142" ht="45" hidden="1">
      <c r="B38" s="47" t="s">
        <v>899</v>
      </c>
      <c r="C38" s="48" t="s">
        <v>1544</v>
      </c>
      <c r="D38" s="49" t="s">
        <v>1545</v>
      </c>
      <c r="E38" s="70" t="s">
        <v>1546</v>
      </c>
      <c r="F38" s="271">
        <v>45282</v>
      </c>
      <c r="G38" s="272">
        <v>45303</v>
      </c>
      <c r="H38" s="272">
        <v>45324</v>
      </c>
      <c r="I38" s="272" t="s">
        <v>1299</v>
      </c>
      <c r="J38" s="49" t="s">
        <v>33</v>
      </c>
      <c r="K38" s="49" t="s">
        <v>303</v>
      </c>
      <c r="L38" s="49" t="s">
        <v>1535</v>
      </c>
      <c r="M38" s="72"/>
      <c r="N38" s="73"/>
      <c r="O38" s="73"/>
      <c r="P38" s="73"/>
      <c r="Q38" s="73"/>
      <c r="R38" s="66"/>
      <c r="S38" s="56"/>
      <c r="T38" s="56"/>
      <c r="U38" s="56"/>
      <c r="V38" s="56"/>
      <c r="W38" s="77"/>
      <c r="X38" s="77"/>
      <c r="Y38" s="77"/>
      <c r="Z38" s="80"/>
      <c r="AA38" s="57"/>
      <c r="AB38" s="60"/>
      <c r="AC38" s="61"/>
      <c r="AD38" s="54"/>
      <c r="AE38" s="61"/>
      <c r="AF38" s="61"/>
      <c r="AG38" s="63"/>
      <c r="AH38" s="64"/>
      <c r="AI38" s="64"/>
      <c r="AJ38" s="64"/>
      <c r="AK38" s="64"/>
      <c r="AL38" s="72"/>
      <c r="AM38" s="73"/>
      <c r="AN38" s="73"/>
      <c r="AO38" s="73"/>
      <c r="AP38" s="73"/>
      <c r="AQ38" s="214"/>
      <c r="AR38" s="56"/>
      <c r="AS38" s="56"/>
      <c r="AT38" s="56"/>
      <c r="AU38" s="56"/>
      <c r="AV38" s="77"/>
      <c r="AW38" s="77"/>
      <c r="AX38" s="77"/>
      <c r="AY38" s="77"/>
      <c r="AZ38" s="57"/>
      <c r="BA38" s="60"/>
      <c r="BB38" s="61"/>
      <c r="BC38" s="61"/>
      <c r="BD38" s="61"/>
      <c r="BE38" s="61"/>
      <c r="BF38" s="63"/>
      <c r="BG38" s="64"/>
      <c r="BH38" s="64"/>
      <c r="BI38" s="64"/>
      <c r="BJ38" s="64"/>
      <c r="BK38" s="72"/>
      <c r="BL38" s="73"/>
      <c r="BM38" s="73"/>
      <c r="BN38" s="73"/>
      <c r="BO38" s="73"/>
      <c r="BP38" s="66"/>
      <c r="BQ38" s="56"/>
      <c r="BR38" s="56"/>
      <c r="BS38" s="56"/>
      <c r="BT38" s="56"/>
      <c r="BU38" s="77"/>
      <c r="BV38" s="77"/>
      <c r="BW38" s="77"/>
      <c r="BX38" s="77"/>
      <c r="BY38" s="57"/>
      <c r="BZ38" s="60"/>
      <c r="CA38" s="61"/>
      <c r="CB38" s="61"/>
      <c r="CC38" s="138" t="s">
        <v>860</v>
      </c>
      <c r="CD38" s="61"/>
      <c r="CE38" s="77"/>
      <c r="CF38" s="260"/>
      <c r="CG38" s="64"/>
      <c r="CH38" s="269" t="s">
        <v>861</v>
      </c>
      <c r="CI38" s="57"/>
      <c r="CJ38" s="60"/>
      <c r="CK38" s="61"/>
      <c r="CL38" s="61"/>
      <c r="CM38" s="259"/>
      <c r="CN38" s="61"/>
      <c r="CO38" s="63"/>
      <c r="CP38" s="64"/>
      <c r="CQ38" s="64"/>
      <c r="CR38" s="64"/>
      <c r="CS38" s="64"/>
      <c r="CT38" s="72"/>
      <c r="CU38" s="73"/>
      <c r="CV38" s="73"/>
      <c r="CW38" s="73"/>
      <c r="CX38" s="73"/>
      <c r="CY38" s="214"/>
      <c r="CZ38" s="56"/>
      <c r="DA38" s="56"/>
      <c r="DB38" s="56"/>
      <c r="DC38" s="56"/>
      <c r="DD38" s="77"/>
      <c r="DE38" s="77"/>
      <c r="DF38" s="77"/>
      <c r="DG38" s="77"/>
      <c r="DH38" s="57"/>
      <c r="DI38" s="60"/>
      <c r="DJ38" s="61"/>
      <c r="DK38" s="61"/>
      <c r="DL38" s="61"/>
      <c r="DM38" s="61"/>
      <c r="DN38" s="63"/>
      <c r="DO38" s="64"/>
      <c r="DP38" s="64"/>
      <c r="DQ38" s="64"/>
      <c r="DR38" s="64"/>
      <c r="DS38" s="72"/>
      <c r="DT38" s="73"/>
      <c r="DU38" s="73"/>
      <c r="DV38" s="73"/>
      <c r="DW38" s="73"/>
      <c r="DX38" s="66"/>
      <c r="DY38" s="56"/>
      <c r="DZ38" s="56"/>
      <c r="EA38" s="56"/>
      <c r="EB38" s="56"/>
      <c r="EC38" s="77"/>
      <c r="ED38" s="77"/>
      <c r="EE38" s="77"/>
      <c r="EF38" s="77"/>
      <c r="EG38" s="57"/>
      <c r="EH38" s="60"/>
      <c r="EI38" s="61"/>
      <c r="EJ38" s="61"/>
      <c r="EK38" s="61"/>
      <c r="EL38" s="61"/>
    </row>
    <row r="39" spans="2:142" ht="45" hidden="1">
      <c r="B39" s="47" t="s">
        <v>899</v>
      </c>
      <c r="C39" s="48" t="s">
        <v>1544</v>
      </c>
      <c r="D39" s="49" t="s">
        <v>1547</v>
      </c>
      <c r="E39" s="81" t="s">
        <v>1548</v>
      </c>
      <c r="F39" s="271">
        <v>45282</v>
      </c>
      <c r="G39" s="272">
        <v>45303</v>
      </c>
      <c r="H39" s="272">
        <v>45324</v>
      </c>
      <c r="I39" s="272" t="s">
        <v>1299</v>
      </c>
      <c r="J39" s="49" t="s">
        <v>33</v>
      </c>
      <c r="K39" s="49" t="s">
        <v>303</v>
      </c>
      <c r="L39" s="49" t="s">
        <v>1535</v>
      </c>
      <c r="M39" s="99"/>
      <c r="N39" s="100"/>
      <c r="O39" s="100"/>
      <c r="P39" s="100"/>
      <c r="Q39" s="100"/>
      <c r="R39" s="101"/>
      <c r="S39" s="102"/>
      <c r="T39" s="102"/>
      <c r="U39" s="102"/>
      <c r="V39" s="102"/>
      <c r="W39" s="103"/>
      <c r="X39" s="104"/>
      <c r="Y39" s="105"/>
      <c r="Z39" s="105"/>
      <c r="AA39" s="103"/>
      <c r="AB39" s="106"/>
      <c r="AC39" s="107"/>
      <c r="AD39" s="54"/>
      <c r="AE39" s="54"/>
      <c r="AF39" s="107"/>
      <c r="AG39" s="64"/>
      <c r="AH39" s="64"/>
      <c r="AI39" s="64"/>
      <c r="AJ39" s="108"/>
      <c r="AK39" s="108"/>
      <c r="AL39" s="99"/>
      <c r="AM39" s="100"/>
      <c r="AN39" s="100"/>
      <c r="AO39" s="100"/>
      <c r="AP39" s="100"/>
      <c r="AQ39" s="217"/>
      <c r="AR39" s="56"/>
      <c r="AS39" s="102"/>
      <c r="AT39" s="102"/>
      <c r="AU39" s="56"/>
      <c r="AV39" s="103"/>
      <c r="AW39" s="104"/>
      <c r="AX39" s="105"/>
      <c r="AY39" s="105"/>
      <c r="AZ39" s="103"/>
      <c r="BA39" s="106"/>
      <c r="BB39" s="107"/>
      <c r="BC39" s="107"/>
      <c r="BD39" s="107"/>
      <c r="BE39" s="107"/>
      <c r="BF39" s="109"/>
      <c r="BG39" s="108"/>
      <c r="BH39" s="108"/>
      <c r="BI39" s="108"/>
      <c r="BJ39" s="108"/>
      <c r="BK39" s="99"/>
      <c r="BL39" s="100"/>
      <c r="BM39" s="100"/>
      <c r="BN39" s="100"/>
      <c r="BO39" s="100"/>
      <c r="BP39" s="101"/>
      <c r="BQ39" s="102"/>
      <c r="BR39" s="102"/>
      <c r="BS39" s="102"/>
      <c r="BT39" s="102"/>
      <c r="BU39" s="103"/>
      <c r="BV39" s="104"/>
      <c r="BW39" s="105"/>
      <c r="BX39" s="105"/>
      <c r="BY39" s="103"/>
      <c r="BZ39" s="106"/>
      <c r="CA39" s="107"/>
      <c r="CB39" s="107"/>
      <c r="CC39" s="223" t="s">
        <v>860</v>
      </c>
      <c r="CD39" s="107"/>
      <c r="CE39" s="103"/>
      <c r="CF39" s="268"/>
      <c r="CG39" s="64"/>
      <c r="CH39" s="269" t="s">
        <v>861</v>
      </c>
      <c r="CI39" s="57"/>
      <c r="CJ39" s="60"/>
      <c r="CK39" s="61"/>
      <c r="CL39" s="61"/>
      <c r="CM39" s="259"/>
      <c r="CN39" s="107"/>
      <c r="CO39" s="64"/>
      <c r="CP39" s="64"/>
      <c r="CQ39" s="64"/>
      <c r="CR39" s="108"/>
      <c r="CS39" s="108"/>
      <c r="CT39" s="99"/>
      <c r="CU39" s="100"/>
      <c r="CV39" s="100"/>
      <c r="CW39" s="100"/>
      <c r="CX39" s="100"/>
      <c r="CY39" s="217"/>
      <c r="CZ39" s="56"/>
      <c r="DA39" s="102"/>
      <c r="DB39" s="102"/>
      <c r="DC39" s="56"/>
      <c r="DD39" s="103"/>
      <c r="DE39" s="104"/>
      <c r="DF39" s="105"/>
      <c r="DG39" s="105"/>
      <c r="DH39" s="103"/>
      <c r="DI39" s="106"/>
      <c r="DJ39" s="107"/>
      <c r="DK39" s="107"/>
      <c r="DL39" s="107"/>
      <c r="DM39" s="107"/>
      <c r="DN39" s="109"/>
      <c r="DO39" s="108"/>
      <c r="DP39" s="108"/>
      <c r="DQ39" s="108"/>
      <c r="DR39" s="108"/>
      <c r="DS39" s="99"/>
      <c r="DT39" s="100"/>
      <c r="DU39" s="100"/>
      <c r="DV39" s="100"/>
      <c r="DW39" s="100"/>
      <c r="DX39" s="101"/>
      <c r="DY39" s="102"/>
      <c r="DZ39" s="102"/>
      <c r="EA39" s="102"/>
      <c r="EB39" s="102"/>
      <c r="EC39" s="103"/>
      <c r="ED39" s="104"/>
      <c r="EE39" s="105"/>
      <c r="EF39" s="105"/>
      <c r="EG39" s="103"/>
      <c r="EH39" s="106"/>
      <c r="EI39" s="107"/>
      <c r="EJ39" s="107"/>
      <c r="EK39" s="107"/>
      <c r="EL39" s="107"/>
    </row>
    <row r="40" spans="2:142" ht="45" hidden="1">
      <c r="B40" s="47" t="s">
        <v>899</v>
      </c>
      <c r="C40" s="48" t="s">
        <v>1549</v>
      </c>
      <c r="D40" s="49" t="s">
        <v>951</v>
      </c>
      <c r="E40" s="81" t="s">
        <v>952</v>
      </c>
      <c r="F40" s="271">
        <v>45282</v>
      </c>
      <c r="G40" s="272">
        <v>45303</v>
      </c>
      <c r="H40" s="272">
        <v>45324</v>
      </c>
      <c r="I40" s="272" t="s">
        <v>1299</v>
      </c>
      <c r="J40" s="49" t="s">
        <v>33</v>
      </c>
      <c r="K40" s="49" t="s">
        <v>303</v>
      </c>
      <c r="L40" s="49" t="s">
        <v>1535</v>
      </c>
      <c r="M40" s="99"/>
      <c r="N40" s="100"/>
      <c r="O40" s="100"/>
      <c r="P40" s="100"/>
      <c r="Q40" s="100"/>
      <c r="R40" s="101"/>
      <c r="S40" s="102"/>
      <c r="T40" s="102"/>
      <c r="U40" s="102"/>
      <c r="V40" s="102"/>
      <c r="W40" s="103"/>
      <c r="X40" s="104"/>
      <c r="Y40" s="105"/>
      <c r="Z40" s="115"/>
      <c r="AA40" s="103"/>
      <c r="AB40" s="106"/>
      <c r="AC40" s="107"/>
      <c r="AD40" s="107"/>
      <c r="AE40" s="107"/>
      <c r="AF40" s="107"/>
      <c r="AG40" s="54"/>
      <c r="AH40" s="64"/>
      <c r="AI40" s="108"/>
      <c r="AJ40" s="108"/>
      <c r="AK40" s="80"/>
      <c r="AL40" s="99"/>
      <c r="AM40" s="100"/>
      <c r="AN40" s="100"/>
      <c r="AO40" s="100"/>
      <c r="AP40" s="100"/>
      <c r="AQ40" s="101"/>
      <c r="AR40" s="102"/>
      <c r="AS40" s="102"/>
      <c r="AT40" s="102"/>
      <c r="AU40" s="108"/>
      <c r="AV40" s="103"/>
      <c r="AW40" s="104"/>
      <c r="AX40" s="105"/>
      <c r="AY40" s="105"/>
      <c r="AZ40" s="103"/>
      <c r="BA40" s="106"/>
      <c r="BB40" s="107"/>
      <c r="BC40" s="107"/>
      <c r="BD40" s="107"/>
      <c r="BE40" s="107"/>
      <c r="BF40" s="109"/>
      <c r="BG40" s="108"/>
      <c r="BH40" s="108"/>
      <c r="BI40" s="108"/>
      <c r="BJ40" s="108"/>
      <c r="BK40" s="99"/>
      <c r="BL40" s="100"/>
      <c r="BM40" s="100"/>
      <c r="BN40" s="100"/>
      <c r="BO40" s="100"/>
      <c r="BP40" s="101"/>
      <c r="BQ40" s="102"/>
      <c r="BR40" s="102"/>
      <c r="BS40" s="102"/>
      <c r="BT40" s="102"/>
      <c r="BU40" s="103"/>
      <c r="BV40" s="104"/>
      <c r="BW40" s="105"/>
      <c r="BX40" s="105"/>
      <c r="BY40" s="103"/>
      <c r="BZ40" s="106"/>
      <c r="CA40" s="107"/>
      <c r="CB40" s="107"/>
      <c r="CC40" s="223" t="s">
        <v>860</v>
      </c>
      <c r="CD40" s="107"/>
      <c r="CE40" s="103"/>
      <c r="CF40" s="268"/>
      <c r="CG40" s="64"/>
      <c r="CH40" s="269" t="s">
        <v>861</v>
      </c>
      <c r="CI40" s="57"/>
      <c r="CJ40" s="60"/>
      <c r="CK40" s="61"/>
      <c r="CL40" s="61"/>
      <c r="CM40" s="259"/>
      <c r="CN40" s="107"/>
      <c r="CO40" s="54"/>
      <c r="CP40" s="64"/>
      <c r="CQ40" s="64"/>
      <c r="CR40" s="108"/>
      <c r="CS40" s="80"/>
      <c r="CT40" s="99"/>
      <c r="CU40" s="100"/>
      <c r="CV40" s="100"/>
      <c r="CW40" s="100"/>
      <c r="CX40" s="100"/>
      <c r="CY40" s="101"/>
      <c r="CZ40" s="102"/>
      <c r="DA40" s="102"/>
      <c r="DB40" s="102"/>
      <c r="DC40" s="108"/>
      <c r="DD40" s="103"/>
      <c r="DE40" s="104"/>
      <c r="DF40" s="105"/>
      <c r="DG40" s="105"/>
      <c r="DH40" s="103"/>
      <c r="DI40" s="106"/>
      <c r="DJ40" s="107"/>
      <c r="DK40" s="107"/>
      <c r="DL40" s="107"/>
      <c r="DM40" s="107"/>
      <c r="DN40" s="109"/>
      <c r="DO40" s="108"/>
      <c r="DP40" s="108"/>
      <c r="DQ40" s="108"/>
      <c r="DR40" s="108"/>
      <c r="DS40" s="99"/>
      <c r="DT40" s="100"/>
      <c r="DU40" s="100"/>
      <c r="DV40" s="100"/>
      <c r="DW40" s="100"/>
      <c r="DX40" s="101"/>
      <c r="DY40" s="102"/>
      <c r="DZ40" s="102"/>
      <c r="EA40" s="102"/>
      <c r="EB40" s="102"/>
      <c r="EC40" s="103"/>
      <c r="ED40" s="104"/>
      <c r="EE40" s="105"/>
      <c r="EF40" s="105"/>
      <c r="EG40" s="103"/>
      <c r="EH40" s="106"/>
      <c r="EI40" s="107"/>
      <c r="EJ40" s="107"/>
      <c r="EK40" s="107"/>
      <c r="EL40" s="107"/>
    </row>
    <row r="41" spans="2:142" ht="45" hidden="1">
      <c r="B41" s="47" t="s">
        <v>899</v>
      </c>
      <c r="C41" s="48" t="s">
        <v>1549</v>
      </c>
      <c r="D41" s="112" t="s">
        <v>953</v>
      </c>
      <c r="E41" s="81" t="s">
        <v>954</v>
      </c>
      <c r="F41" s="280">
        <v>45282</v>
      </c>
      <c r="G41" s="281">
        <v>45303</v>
      </c>
      <c r="H41" s="281">
        <v>45324</v>
      </c>
      <c r="I41" s="281" t="s">
        <v>1299</v>
      </c>
      <c r="J41" s="49" t="s">
        <v>33</v>
      </c>
      <c r="K41" s="49" t="s">
        <v>303</v>
      </c>
      <c r="L41" s="49" t="s">
        <v>1535</v>
      </c>
      <c r="M41" s="99"/>
      <c r="N41" s="100"/>
      <c r="O41" s="100"/>
      <c r="P41" s="100"/>
      <c r="Q41" s="100"/>
      <c r="R41" s="101"/>
      <c r="S41" s="102"/>
      <c r="T41" s="102"/>
      <c r="U41" s="102"/>
      <c r="V41" s="102"/>
      <c r="W41" s="103"/>
      <c r="X41" s="104"/>
      <c r="Y41" s="105"/>
      <c r="Z41" s="105"/>
      <c r="AA41" s="103"/>
      <c r="AB41" s="106"/>
      <c r="AC41" s="107"/>
      <c r="AD41" s="107"/>
      <c r="AE41" s="107"/>
      <c r="AF41" s="107"/>
      <c r="AG41" s="54"/>
      <c r="AH41" s="64"/>
      <c r="AI41" s="108"/>
      <c r="AJ41" s="108"/>
      <c r="AK41" s="80"/>
      <c r="AL41" s="99"/>
      <c r="AM41" s="100"/>
      <c r="AN41" s="100"/>
      <c r="AO41" s="100"/>
      <c r="AP41" s="100"/>
      <c r="AQ41" s="101"/>
      <c r="AR41" s="102"/>
      <c r="AS41" s="102"/>
      <c r="AT41" s="102"/>
      <c r="AU41" s="108"/>
      <c r="AV41" s="103"/>
      <c r="AW41" s="104"/>
      <c r="AX41" s="105"/>
      <c r="AY41" s="105"/>
      <c r="AZ41" s="103"/>
      <c r="BA41" s="106"/>
      <c r="BB41" s="107"/>
      <c r="BC41" s="107"/>
      <c r="BD41" s="107"/>
      <c r="BE41" s="107"/>
      <c r="BF41" s="109"/>
      <c r="BG41" s="108"/>
      <c r="BH41" s="108"/>
      <c r="BI41" s="108"/>
      <c r="BJ41" s="108"/>
      <c r="BK41" s="99"/>
      <c r="BL41" s="100"/>
      <c r="BM41" s="100"/>
      <c r="BN41" s="100"/>
      <c r="BO41" s="100"/>
      <c r="BP41" s="101"/>
      <c r="BQ41" s="102"/>
      <c r="BR41" s="102"/>
      <c r="BS41" s="102"/>
      <c r="BT41" s="102"/>
      <c r="BU41" s="103"/>
      <c r="BV41" s="104"/>
      <c r="BW41" s="105"/>
      <c r="BX41" s="105"/>
      <c r="BY41" s="103"/>
      <c r="BZ41" s="106"/>
      <c r="CA41" s="107"/>
      <c r="CB41" s="107"/>
      <c r="CC41" s="223" t="s">
        <v>860</v>
      </c>
      <c r="CD41" s="107"/>
      <c r="CE41" s="103"/>
      <c r="CF41" s="268"/>
      <c r="CG41" s="64"/>
      <c r="CH41" s="269" t="s">
        <v>861</v>
      </c>
      <c r="CI41" s="57"/>
      <c r="CJ41" s="60"/>
      <c r="CK41" s="215"/>
      <c r="CL41" s="61"/>
      <c r="CM41" s="56"/>
      <c r="CN41" s="107"/>
      <c r="CO41" s="54"/>
      <c r="CP41" s="213"/>
      <c r="CQ41" s="64"/>
      <c r="CR41" s="108"/>
      <c r="CS41" s="80"/>
      <c r="CT41" s="99"/>
      <c r="CU41" s="100"/>
      <c r="CV41" s="100"/>
      <c r="CW41" s="100"/>
      <c r="CX41" s="100"/>
      <c r="CY41" s="101"/>
      <c r="CZ41" s="102"/>
      <c r="DA41" s="102"/>
      <c r="DB41" s="102"/>
      <c r="DC41" s="108"/>
      <c r="DD41" s="103"/>
      <c r="DE41" s="104"/>
      <c r="DF41" s="105"/>
      <c r="DG41" s="105"/>
      <c r="DH41" s="103"/>
      <c r="DI41" s="106"/>
      <c r="DJ41" s="107"/>
      <c r="DK41" s="107"/>
      <c r="DL41" s="107"/>
      <c r="DM41" s="107"/>
      <c r="DN41" s="109"/>
      <c r="DO41" s="108"/>
      <c r="DP41" s="108"/>
      <c r="DQ41" s="108"/>
      <c r="DR41" s="108"/>
      <c r="DS41" s="99"/>
      <c r="DT41" s="100"/>
      <c r="DU41" s="100"/>
      <c r="DV41" s="100"/>
      <c r="DW41" s="100"/>
      <c r="DX41" s="101"/>
      <c r="DY41" s="102"/>
      <c r="DZ41" s="102"/>
      <c r="EA41" s="102"/>
      <c r="EB41" s="102"/>
      <c r="EC41" s="103"/>
      <c r="ED41" s="104"/>
      <c r="EE41" s="105"/>
      <c r="EF41" s="105"/>
      <c r="EG41" s="103"/>
      <c r="EH41" s="106"/>
      <c r="EI41" s="107"/>
      <c r="EJ41" s="107"/>
      <c r="EK41" s="107"/>
      <c r="EL41" s="107"/>
    </row>
    <row r="42" spans="2:142" ht="45">
      <c r="B42" s="47" t="s">
        <v>864</v>
      </c>
      <c r="C42" s="48" t="s">
        <v>1310</v>
      </c>
      <c r="D42" s="49" t="s">
        <v>1311</v>
      </c>
      <c r="E42" s="81" t="s">
        <v>1312</v>
      </c>
      <c r="F42" s="271">
        <v>45309</v>
      </c>
      <c r="G42" s="272">
        <v>45344</v>
      </c>
      <c r="H42" s="272">
        <v>45365</v>
      </c>
      <c r="I42" s="272" t="s">
        <v>1299</v>
      </c>
      <c r="J42" s="49" t="s">
        <v>33</v>
      </c>
      <c r="K42" s="49" t="s">
        <v>332</v>
      </c>
      <c r="L42" s="49" t="s">
        <v>1550</v>
      </c>
      <c r="M42" s="99"/>
      <c r="N42" s="100"/>
      <c r="O42" s="100"/>
      <c r="P42" s="100"/>
      <c r="Q42" s="100"/>
      <c r="R42" s="217"/>
      <c r="S42" s="102"/>
      <c r="T42" s="102"/>
      <c r="U42" s="102"/>
      <c r="V42" s="218"/>
      <c r="W42" s="103"/>
      <c r="X42" s="104"/>
      <c r="Y42" s="105"/>
      <c r="Z42" s="105"/>
      <c r="AA42" s="103"/>
      <c r="AB42" s="106"/>
      <c r="AC42" s="107"/>
      <c r="AD42" s="107"/>
      <c r="AE42" s="107"/>
      <c r="AF42" s="107"/>
      <c r="AG42" s="54"/>
      <c r="AH42" s="64"/>
      <c r="AI42" s="108"/>
      <c r="AJ42" s="108"/>
      <c r="AK42" s="219"/>
      <c r="AL42" s="99"/>
      <c r="AM42" s="100"/>
      <c r="AN42" s="100"/>
      <c r="AO42" s="220"/>
      <c r="AP42" s="100"/>
      <c r="AQ42" s="101"/>
      <c r="AR42" s="102"/>
      <c r="AS42" s="102"/>
      <c r="AT42" s="102"/>
      <c r="AU42" s="108"/>
      <c r="AV42" s="103"/>
      <c r="AW42" s="104"/>
      <c r="AX42" s="105"/>
      <c r="AY42" s="105"/>
      <c r="AZ42" s="103"/>
      <c r="BA42" s="106"/>
      <c r="BB42" s="107"/>
      <c r="BC42" s="107"/>
      <c r="BD42" s="107"/>
      <c r="BE42" s="107"/>
      <c r="BF42" s="109"/>
      <c r="BG42" s="108"/>
      <c r="BH42" s="108"/>
      <c r="BI42" s="108"/>
      <c r="BJ42" s="108"/>
      <c r="BK42" s="99"/>
      <c r="BL42" s="100"/>
      <c r="BM42" s="100"/>
      <c r="BN42" s="100"/>
      <c r="BO42" s="100"/>
      <c r="BP42" s="101"/>
      <c r="BQ42" s="102"/>
      <c r="BR42" s="102"/>
      <c r="BS42" s="102"/>
      <c r="BT42" s="102"/>
      <c r="BU42" s="103"/>
      <c r="BV42" s="104"/>
      <c r="BW42" s="105"/>
      <c r="BX42" s="105"/>
      <c r="BY42" s="103"/>
      <c r="BZ42" s="106"/>
      <c r="CA42" s="107"/>
      <c r="CB42" s="107"/>
      <c r="CC42" s="64"/>
      <c r="CD42" s="107"/>
      <c r="CE42" s="103"/>
      <c r="CF42" s="103"/>
      <c r="CG42" s="141" t="s">
        <v>860</v>
      </c>
      <c r="CH42" s="221"/>
      <c r="CI42" s="57"/>
      <c r="CJ42" s="60"/>
      <c r="CK42" s="215"/>
      <c r="CL42" s="61"/>
      <c r="CM42" s="79" t="s">
        <v>861</v>
      </c>
      <c r="CN42" s="107"/>
      <c r="CO42" s="213"/>
      <c r="CP42" s="64"/>
      <c r="CQ42" s="108"/>
      <c r="CR42" s="108"/>
      <c r="CS42" s="80"/>
      <c r="CT42" s="99"/>
      <c r="CU42" s="100"/>
      <c r="CV42" s="100"/>
      <c r="CW42" s="220"/>
      <c r="CX42" s="100"/>
      <c r="CY42" s="101"/>
      <c r="CZ42" s="102"/>
      <c r="DA42" s="102"/>
      <c r="DB42" s="102"/>
      <c r="DC42" s="108"/>
      <c r="DD42" s="103"/>
      <c r="DE42" s="104"/>
      <c r="DF42" s="105"/>
      <c r="DG42" s="105"/>
      <c r="DH42" s="103"/>
      <c r="DI42" s="106"/>
      <c r="DJ42" s="107"/>
      <c r="DK42" s="107"/>
      <c r="DL42" s="107"/>
      <c r="DM42" s="107"/>
      <c r="DN42" s="109"/>
      <c r="DO42" s="108"/>
      <c r="DP42" s="108"/>
      <c r="DQ42" s="108"/>
      <c r="DR42" s="108"/>
      <c r="DS42" s="99"/>
      <c r="DT42" s="100"/>
      <c r="DU42" s="100"/>
      <c r="DV42" s="100"/>
      <c r="DW42" s="100"/>
      <c r="DX42" s="101"/>
      <c r="DY42" s="102"/>
      <c r="DZ42" s="102"/>
      <c r="EA42" s="102"/>
      <c r="EB42" s="102"/>
      <c r="EC42" s="103"/>
      <c r="ED42" s="104"/>
      <c r="EE42" s="105"/>
      <c r="EF42" s="105"/>
      <c r="EG42" s="103"/>
      <c r="EH42" s="106"/>
      <c r="EI42" s="107"/>
      <c r="EJ42" s="107"/>
      <c r="EK42" s="64"/>
      <c r="EL42" s="107"/>
    </row>
    <row r="43" spans="2:142" ht="45">
      <c r="B43" s="47" t="s">
        <v>864</v>
      </c>
      <c r="C43" s="48" t="s">
        <v>1310</v>
      </c>
      <c r="D43" s="49" t="s">
        <v>1424</v>
      </c>
      <c r="E43" s="81" t="s">
        <v>1425</v>
      </c>
      <c r="F43" s="271">
        <v>45309</v>
      </c>
      <c r="G43" s="272">
        <v>45344</v>
      </c>
      <c r="H43" s="272">
        <v>45365</v>
      </c>
      <c r="I43" s="272" t="s">
        <v>1299</v>
      </c>
      <c r="J43" s="49" t="s">
        <v>33</v>
      </c>
      <c r="K43" s="49" t="s">
        <v>332</v>
      </c>
      <c r="L43" s="49" t="s">
        <v>1550</v>
      </c>
      <c r="M43" s="99"/>
      <c r="N43" s="100"/>
      <c r="O43" s="100"/>
      <c r="P43" s="100"/>
      <c r="Q43" s="100"/>
      <c r="R43" s="217"/>
      <c r="S43" s="102"/>
      <c r="T43" s="102"/>
      <c r="U43" s="102"/>
      <c r="V43" s="218"/>
      <c r="W43" s="103"/>
      <c r="X43" s="104"/>
      <c r="Y43" s="105"/>
      <c r="Z43" s="105"/>
      <c r="AA43" s="103"/>
      <c r="AB43" s="106"/>
      <c r="AC43" s="107"/>
      <c r="AD43" s="107"/>
      <c r="AE43" s="107"/>
      <c r="AF43" s="107"/>
      <c r="AG43" s="54"/>
      <c r="AH43" s="64"/>
      <c r="AI43" s="108"/>
      <c r="AJ43" s="108"/>
      <c r="AK43" s="219"/>
      <c r="AL43" s="99"/>
      <c r="AM43" s="100"/>
      <c r="AN43" s="100"/>
      <c r="AO43" s="220"/>
      <c r="AP43" s="100"/>
      <c r="AQ43" s="101"/>
      <c r="AR43" s="102"/>
      <c r="AS43" s="102"/>
      <c r="AT43" s="102"/>
      <c r="AU43" s="108"/>
      <c r="AV43" s="103"/>
      <c r="AW43" s="104"/>
      <c r="AX43" s="105"/>
      <c r="AY43" s="105"/>
      <c r="AZ43" s="103"/>
      <c r="BA43" s="106"/>
      <c r="BB43" s="107"/>
      <c r="BC43" s="107"/>
      <c r="BD43" s="107"/>
      <c r="BE43" s="107"/>
      <c r="BF43" s="109"/>
      <c r="BG43" s="108"/>
      <c r="BH43" s="108"/>
      <c r="BI43" s="108"/>
      <c r="BJ43" s="108"/>
      <c r="BK43" s="99"/>
      <c r="BL43" s="100"/>
      <c r="BM43" s="100"/>
      <c r="BN43" s="100"/>
      <c r="BO43" s="100"/>
      <c r="BP43" s="101"/>
      <c r="BQ43" s="102"/>
      <c r="BR43" s="102"/>
      <c r="BS43" s="102"/>
      <c r="BT43" s="102"/>
      <c r="BU43" s="103"/>
      <c r="BV43" s="104"/>
      <c r="BW43" s="105"/>
      <c r="BX43" s="105"/>
      <c r="BY43" s="103"/>
      <c r="BZ43" s="106"/>
      <c r="CA43" s="107"/>
      <c r="CB43" s="107"/>
      <c r="CC43" s="64"/>
      <c r="CD43" s="107"/>
      <c r="CE43" s="103"/>
      <c r="CF43" s="103"/>
      <c r="CG43" s="141" t="s">
        <v>860</v>
      </c>
      <c r="CH43" s="221"/>
      <c r="CI43" s="57"/>
      <c r="CJ43" s="60"/>
      <c r="CK43" s="215"/>
      <c r="CL43" s="61"/>
      <c r="CM43" s="79" t="s">
        <v>861</v>
      </c>
      <c r="CN43" s="107"/>
      <c r="CO43" s="213"/>
      <c r="CP43" s="64"/>
      <c r="CQ43" s="108"/>
      <c r="CR43" s="108"/>
      <c r="CS43" s="80"/>
      <c r="CT43" s="99"/>
      <c r="CU43" s="100"/>
      <c r="CV43" s="100"/>
      <c r="CW43" s="220"/>
      <c r="CX43" s="100"/>
      <c r="CY43" s="101"/>
      <c r="CZ43" s="102"/>
      <c r="DA43" s="102"/>
      <c r="DB43" s="102"/>
      <c r="DC43" s="108"/>
      <c r="DD43" s="103"/>
      <c r="DE43" s="104"/>
      <c r="DF43" s="105"/>
      <c r="DG43" s="105"/>
      <c r="DH43" s="103"/>
      <c r="DI43" s="106"/>
      <c r="DJ43" s="107"/>
      <c r="DK43" s="107"/>
      <c r="DL43" s="107"/>
      <c r="DM43" s="107"/>
      <c r="DN43" s="109"/>
      <c r="DO43" s="108"/>
      <c r="DP43" s="108"/>
      <c r="DQ43" s="108"/>
      <c r="DR43" s="108"/>
      <c r="DS43" s="99"/>
      <c r="DT43" s="100"/>
      <c r="DU43" s="100"/>
      <c r="DV43" s="100"/>
      <c r="DW43" s="100"/>
      <c r="DX43" s="101"/>
      <c r="DY43" s="102"/>
      <c r="DZ43" s="102"/>
      <c r="EA43" s="102"/>
      <c r="EB43" s="102"/>
      <c r="EC43" s="103"/>
      <c r="ED43" s="104"/>
      <c r="EE43" s="105"/>
      <c r="EF43" s="105"/>
      <c r="EG43" s="103"/>
      <c r="EH43" s="106"/>
      <c r="EI43" s="107"/>
      <c r="EJ43" s="107"/>
      <c r="EK43" s="64"/>
      <c r="EL43" s="107"/>
    </row>
    <row r="44" spans="2:142" ht="45">
      <c r="B44" s="47" t="s">
        <v>864</v>
      </c>
      <c r="C44" s="48" t="s">
        <v>1310</v>
      </c>
      <c r="D44" s="49" t="s">
        <v>1426</v>
      </c>
      <c r="E44" s="81" t="s">
        <v>1427</v>
      </c>
      <c r="F44" s="273">
        <v>45309</v>
      </c>
      <c r="G44" s="274">
        <v>45344</v>
      </c>
      <c r="H44" s="274">
        <v>45365</v>
      </c>
      <c r="I44" s="274" t="s">
        <v>1299</v>
      </c>
      <c r="J44" s="49" t="s">
        <v>33</v>
      </c>
      <c r="K44" s="49" t="s">
        <v>332</v>
      </c>
      <c r="L44" s="49" t="s">
        <v>1550</v>
      </c>
      <c r="M44" s="99"/>
      <c r="N44" s="100"/>
      <c r="O44" s="100"/>
      <c r="P44" s="100"/>
      <c r="Q44" s="100"/>
      <c r="R44" s="101"/>
      <c r="S44" s="102"/>
      <c r="T44" s="102"/>
      <c r="U44" s="102"/>
      <c r="V44" s="102"/>
      <c r="W44" s="103"/>
      <c r="X44" s="104"/>
      <c r="Y44" s="105"/>
      <c r="Z44" s="105"/>
      <c r="AA44" s="103"/>
      <c r="AB44" s="106"/>
      <c r="AC44" s="107"/>
      <c r="AD44" s="107"/>
      <c r="AE44" s="107"/>
      <c r="AF44" s="107"/>
      <c r="AG44" s="54"/>
      <c r="AH44" s="64"/>
      <c r="AI44" s="108"/>
      <c r="AJ44" s="108"/>
      <c r="AK44" s="80"/>
      <c r="AL44" s="99"/>
      <c r="AM44" s="100"/>
      <c r="AN44" s="100"/>
      <c r="AO44" s="100"/>
      <c r="AP44" s="100"/>
      <c r="AQ44" s="217"/>
      <c r="AR44" s="102"/>
      <c r="AS44" s="102"/>
      <c r="AT44" s="102"/>
      <c r="AU44" s="108"/>
      <c r="AV44" s="103"/>
      <c r="AW44" s="104"/>
      <c r="AX44" s="105"/>
      <c r="AY44" s="105"/>
      <c r="AZ44" s="103"/>
      <c r="BA44" s="106"/>
      <c r="BB44" s="107"/>
      <c r="BC44" s="107"/>
      <c r="BD44" s="107"/>
      <c r="BE44" s="107"/>
      <c r="BF44" s="109"/>
      <c r="BG44" s="108"/>
      <c r="BH44" s="108"/>
      <c r="BI44" s="108"/>
      <c r="BJ44" s="108"/>
      <c r="BK44" s="99"/>
      <c r="BL44" s="100"/>
      <c r="BM44" s="100"/>
      <c r="BN44" s="100"/>
      <c r="BO44" s="100"/>
      <c r="BP44" s="101"/>
      <c r="BQ44" s="102"/>
      <c r="BR44" s="102"/>
      <c r="BS44" s="102"/>
      <c r="BT44" s="102"/>
      <c r="BU44" s="103"/>
      <c r="BV44" s="104"/>
      <c r="BW44" s="105"/>
      <c r="BX44" s="105"/>
      <c r="BY44" s="103"/>
      <c r="BZ44" s="106"/>
      <c r="CA44" s="107"/>
      <c r="CB44" s="107"/>
      <c r="CC44" s="64"/>
      <c r="CD44" s="61"/>
      <c r="CE44" s="64"/>
      <c r="CF44" s="77"/>
      <c r="CG44" s="145" t="s">
        <v>860</v>
      </c>
      <c r="CH44" s="262"/>
      <c r="CI44" s="103"/>
      <c r="CJ44" s="106"/>
      <c r="CK44" s="215"/>
      <c r="CL44" s="107"/>
      <c r="CM44" s="270" t="s">
        <v>861</v>
      </c>
      <c r="CN44" s="107"/>
      <c r="CO44" s="213"/>
      <c r="CP44" s="64"/>
      <c r="CQ44" s="108"/>
      <c r="CR44" s="108"/>
      <c r="CS44" s="80"/>
      <c r="CT44" s="99"/>
      <c r="CU44" s="100"/>
      <c r="CV44" s="100"/>
      <c r="CW44" s="100"/>
      <c r="CX44" s="100"/>
      <c r="CY44" s="217"/>
      <c r="CZ44" s="102"/>
      <c r="DA44" s="102"/>
      <c r="DB44" s="102"/>
      <c r="DC44" s="108"/>
      <c r="DD44" s="103"/>
      <c r="DE44" s="104"/>
      <c r="DF44" s="105"/>
      <c r="DG44" s="105"/>
      <c r="DH44" s="103"/>
      <c r="DI44" s="106"/>
      <c r="DJ44" s="107"/>
      <c r="DK44" s="107"/>
      <c r="DL44" s="107"/>
      <c r="DM44" s="107"/>
      <c r="DN44" s="109"/>
      <c r="DO44" s="108"/>
      <c r="DP44" s="108"/>
      <c r="DQ44" s="108"/>
      <c r="DR44" s="108"/>
      <c r="DS44" s="99"/>
      <c r="DT44" s="100"/>
      <c r="DU44" s="100"/>
      <c r="DV44" s="100"/>
      <c r="DW44" s="100"/>
      <c r="DX44" s="101"/>
      <c r="DY44" s="102"/>
      <c r="DZ44" s="102"/>
      <c r="EA44" s="102"/>
      <c r="EB44" s="102"/>
      <c r="EC44" s="103"/>
      <c r="ED44" s="104"/>
      <c r="EE44" s="105"/>
      <c r="EF44" s="105"/>
      <c r="EG44" s="103"/>
      <c r="EH44" s="106"/>
      <c r="EI44" s="107"/>
      <c r="EJ44" s="107"/>
      <c r="EK44" s="64"/>
      <c r="EL44" s="107"/>
    </row>
    <row r="45" spans="2:142" ht="45">
      <c r="B45" s="47" t="s">
        <v>864</v>
      </c>
      <c r="C45" s="48" t="s">
        <v>1428</v>
      </c>
      <c r="D45" s="49" t="s">
        <v>973</v>
      </c>
      <c r="E45" s="81" t="s">
        <v>974</v>
      </c>
      <c r="F45" s="271">
        <v>45309</v>
      </c>
      <c r="G45" s="272">
        <v>45344</v>
      </c>
      <c r="H45" s="272">
        <v>45365</v>
      </c>
      <c r="I45" s="272" t="s">
        <v>1299</v>
      </c>
      <c r="J45" s="49" t="s">
        <v>33</v>
      </c>
      <c r="K45" s="49" t="s">
        <v>332</v>
      </c>
      <c r="L45" s="49" t="s">
        <v>1550</v>
      </c>
      <c r="M45" s="99"/>
      <c r="N45" s="100"/>
      <c r="O45" s="100"/>
      <c r="P45" s="100"/>
      <c r="Q45" s="100"/>
      <c r="R45" s="101"/>
      <c r="S45" s="102"/>
      <c r="T45" s="102"/>
      <c r="U45" s="102"/>
      <c r="V45" s="102"/>
      <c r="W45" s="103"/>
      <c r="X45" s="104"/>
      <c r="Y45" s="105"/>
      <c r="Z45" s="105"/>
      <c r="AA45" s="103"/>
      <c r="AB45" s="106"/>
      <c r="AC45" s="107"/>
      <c r="AD45" s="107"/>
      <c r="AE45" s="107"/>
      <c r="AF45" s="107"/>
      <c r="AG45" s="54"/>
      <c r="AH45" s="64"/>
      <c r="AI45" s="108"/>
      <c r="AJ45" s="108"/>
      <c r="AK45" s="80"/>
      <c r="AL45" s="99"/>
      <c r="AM45" s="100"/>
      <c r="AN45" s="100"/>
      <c r="AO45" s="100"/>
      <c r="AP45" s="100"/>
      <c r="AQ45" s="217"/>
      <c r="AR45" s="102"/>
      <c r="AS45" s="102"/>
      <c r="AT45" s="102"/>
      <c r="AU45" s="108"/>
      <c r="AV45" s="103"/>
      <c r="AW45" s="104"/>
      <c r="AX45" s="105"/>
      <c r="AY45" s="105"/>
      <c r="AZ45" s="103"/>
      <c r="BA45" s="106"/>
      <c r="BB45" s="107"/>
      <c r="BC45" s="107"/>
      <c r="BD45" s="107"/>
      <c r="BE45" s="107"/>
      <c r="BF45" s="109"/>
      <c r="BG45" s="108"/>
      <c r="BH45" s="108"/>
      <c r="BI45" s="108"/>
      <c r="BJ45" s="108"/>
      <c r="BK45" s="99"/>
      <c r="BL45" s="100"/>
      <c r="BM45" s="100"/>
      <c r="BN45" s="100"/>
      <c r="BO45" s="100"/>
      <c r="BP45" s="101"/>
      <c r="BQ45" s="102"/>
      <c r="BR45" s="102"/>
      <c r="BS45" s="102"/>
      <c r="BT45" s="102"/>
      <c r="BU45" s="103"/>
      <c r="BV45" s="104"/>
      <c r="BW45" s="105"/>
      <c r="BX45" s="105"/>
      <c r="BY45" s="103"/>
      <c r="BZ45" s="106"/>
      <c r="CA45" s="107"/>
      <c r="CB45" s="107"/>
      <c r="CC45" s="64"/>
      <c r="CD45" s="107"/>
      <c r="CE45" s="103"/>
      <c r="CF45" s="103"/>
      <c r="CG45" s="141" t="s">
        <v>860</v>
      </c>
      <c r="CH45" s="221"/>
      <c r="CI45" s="57"/>
      <c r="CJ45" s="60"/>
      <c r="CK45" s="215"/>
      <c r="CL45" s="61"/>
      <c r="CM45" s="79" t="s">
        <v>861</v>
      </c>
      <c r="CN45" s="107"/>
      <c r="CO45" s="213"/>
      <c r="CP45" s="64"/>
      <c r="CQ45" s="108"/>
      <c r="CR45" s="108"/>
      <c r="CS45" s="80"/>
      <c r="CT45" s="99"/>
      <c r="CU45" s="100"/>
      <c r="CV45" s="100"/>
      <c r="CW45" s="100"/>
      <c r="CX45" s="100"/>
      <c r="CY45" s="217"/>
      <c r="CZ45" s="102"/>
      <c r="DA45" s="102"/>
      <c r="DB45" s="102"/>
      <c r="DC45" s="108"/>
      <c r="DD45" s="103"/>
      <c r="DE45" s="104"/>
      <c r="DF45" s="105"/>
      <c r="DG45" s="105"/>
      <c r="DH45" s="103"/>
      <c r="DI45" s="106"/>
      <c r="DJ45" s="107"/>
      <c r="DK45" s="107"/>
      <c r="DL45" s="107"/>
      <c r="DM45" s="107"/>
      <c r="DN45" s="109"/>
      <c r="DO45" s="108"/>
      <c r="DP45" s="108"/>
      <c r="DQ45" s="108"/>
      <c r="DR45" s="108"/>
      <c r="DS45" s="99"/>
      <c r="DT45" s="100"/>
      <c r="DU45" s="100"/>
      <c r="DV45" s="100"/>
      <c r="DW45" s="100"/>
      <c r="DX45" s="101"/>
      <c r="DY45" s="102"/>
      <c r="DZ45" s="102"/>
      <c r="EA45" s="102"/>
      <c r="EB45" s="102"/>
      <c r="EC45" s="103"/>
      <c r="ED45" s="104"/>
      <c r="EE45" s="105"/>
      <c r="EF45" s="105"/>
      <c r="EG45" s="103"/>
      <c r="EH45" s="106"/>
      <c r="EI45" s="107"/>
      <c r="EJ45" s="107"/>
      <c r="EK45" s="64"/>
      <c r="EL45" s="107"/>
    </row>
    <row r="46" spans="2:142" ht="45">
      <c r="B46" s="47" t="s">
        <v>864</v>
      </c>
      <c r="C46" s="48" t="s">
        <v>1432</v>
      </c>
      <c r="D46" s="49" t="s">
        <v>1433</v>
      </c>
      <c r="E46" s="81" t="s">
        <v>1434</v>
      </c>
      <c r="F46" s="271">
        <v>45309</v>
      </c>
      <c r="G46" s="272">
        <v>45344</v>
      </c>
      <c r="H46" s="272">
        <v>45365</v>
      </c>
      <c r="I46" s="272" t="s">
        <v>1299</v>
      </c>
      <c r="J46" s="49" t="s">
        <v>33</v>
      </c>
      <c r="K46" s="49" t="s">
        <v>332</v>
      </c>
      <c r="L46" s="49" t="s">
        <v>1550</v>
      </c>
      <c r="M46" s="99"/>
      <c r="N46" s="100"/>
      <c r="O46" s="100"/>
      <c r="P46" s="100"/>
      <c r="Q46" s="100"/>
      <c r="R46" s="101"/>
      <c r="S46" s="102"/>
      <c r="T46" s="102"/>
      <c r="U46" s="102"/>
      <c r="V46" s="102"/>
      <c r="W46" s="103"/>
      <c r="X46" s="104"/>
      <c r="Y46" s="105"/>
      <c r="Z46" s="105"/>
      <c r="AA46" s="103"/>
      <c r="AB46" s="106"/>
      <c r="AC46" s="107"/>
      <c r="AD46" s="107"/>
      <c r="AE46" s="107"/>
      <c r="AF46" s="107"/>
      <c r="AG46" s="54"/>
      <c r="AH46" s="64"/>
      <c r="AI46" s="108"/>
      <c r="AJ46" s="108"/>
      <c r="AK46" s="80"/>
      <c r="AL46" s="99"/>
      <c r="AM46" s="100"/>
      <c r="AN46" s="100"/>
      <c r="AO46" s="100"/>
      <c r="AP46" s="100"/>
      <c r="AQ46" s="217"/>
      <c r="AR46" s="102"/>
      <c r="AS46" s="102"/>
      <c r="AT46" s="102"/>
      <c r="AU46" s="108"/>
      <c r="AV46" s="103"/>
      <c r="AW46" s="104"/>
      <c r="AX46" s="105"/>
      <c r="AY46" s="105"/>
      <c r="AZ46" s="103"/>
      <c r="BA46" s="106"/>
      <c r="BB46" s="107"/>
      <c r="BC46" s="107"/>
      <c r="BD46" s="107"/>
      <c r="BE46" s="107"/>
      <c r="BF46" s="109"/>
      <c r="BG46" s="108"/>
      <c r="BH46" s="108"/>
      <c r="BI46" s="108"/>
      <c r="BJ46" s="108"/>
      <c r="BK46" s="99"/>
      <c r="BL46" s="100"/>
      <c r="BM46" s="100"/>
      <c r="BN46" s="100"/>
      <c r="BO46" s="100"/>
      <c r="BP46" s="101"/>
      <c r="BQ46" s="102"/>
      <c r="BR46" s="102"/>
      <c r="BS46" s="102"/>
      <c r="BT46" s="102"/>
      <c r="BU46" s="103"/>
      <c r="BV46" s="104"/>
      <c r="BW46" s="105"/>
      <c r="BX46" s="105"/>
      <c r="BY46" s="103"/>
      <c r="BZ46" s="106"/>
      <c r="CA46" s="107"/>
      <c r="CB46" s="107"/>
      <c r="CC46" s="64"/>
      <c r="CD46" s="107"/>
      <c r="CE46" s="103"/>
      <c r="CF46" s="103"/>
      <c r="CG46" s="141" t="s">
        <v>860</v>
      </c>
      <c r="CH46" s="221"/>
      <c r="CI46" s="57"/>
      <c r="CJ46" s="60"/>
      <c r="CK46" s="215"/>
      <c r="CL46" s="61"/>
      <c r="CM46" s="79" t="s">
        <v>861</v>
      </c>
      <c r="CN46" s="107"/>
      <c r="CO46" s="213"/>
      <c r="CP46" s="64"/>
      <c r="CQ46" s="108"/>
      <c r="CR46" s="108"/>
      <c r="CS46" s="80"/>
      <c r="CT46" s="99"/>
      <c r="CU46" s="100"/>
      <c r="CV46" s="100"/>
      <c r="CW46" s="100"/>
      <c r="CX46" s="100"/>
      <c r="CY46" s="217"/>
      <c r="CZ46" s="102"/>
      <c r="DA46" s="102"/>
      <c r="DB46" s="102"/>
      <c r="DC46" s="108"/>
      <c r="DD46" s="103"/>
      <c r="DE46" s="104"/>
      <c r="DF46" s="105"/>
      <c r="DG46" s="105"/>
      <c r="DH46" s="103"/>
      <c r="DI46" s="106"/>
      <c r="DJ46" s="107"/>
      <c r="DK46" s="107"/>
      <c r="DL46" s="107"/>
      <c r="DM46" s="107"/>
      <c r="DN46" s="109"/>
      <c r="DO46" s="108"/>
      <c r="DP46" s="108"/>
      <c r="DQ46" s="108"/>
      <c r="DR46" s="108"/>
      <c r="DS46" s="99"/>
      <c r="DT46" s="100"/>
      <c r="DU46" s="100"/>
      <c r="DV46" s="100"/>
      <c r="DW46" s="100"/>
      <c r="DX46" s="101"/>
      <c r="DY46" s="102"/>
      <c r="DZ46" s="102"/>
      <c r="EA46" s="102"/>
      <c r="EB46" s="102"/>
      <c r="EC46" s="103"/>
      <c r="ED46" s="104"/>
      <c r="EE46" s="105"/>
      <c r="EF46" s="105"/>
      <c r="EG46" s="103"/>
      <c r="EH46" s="106"/>
      <c r="EI46" s="107"/>
      <c r="EJ46" s="107"/>
      <c r="EK46" s="64"/>
      <c r="EL46" s="107"/>
    </row>
    <row r="47" spans="2:142" ht="45">
      <c r="B47" s="47" t="s">
        <v>864</v>
      </c>
      <c r="C47" s="48" t="s">
        <v>1551</v>
      </c>
      <c r="D47" s="49" t="s">
        <v>948</v>
      </c>
      <c r="E47" s="81" t="s">
        <v>949</v>
      </c>
      <c r="F47" s="273">
        <v>45309</v>
      </c>
      <c r="G47" s="274">
        <v>45344</v>
      </c>
      <c r="H47" s="274">
        <v>45365</v>
      </c>
      <c r="I47" s="274" t="s">
        <v>1299</v>
      </c>
      <c r="J47" s="49" t="s">
        <v>33</v>
      </c>
      <c r="K47" s="49" t="s">
        <v>332</v>
      </c>
      <c r="L47" s="49" t="s">
        <v>1550</v>
      </c>
      <c r="M47" s="237"/>
      <c r="N47" s="238"/>
      <c r="O47" s="238"/>
      <c r="P47" s="238"/>
      <c r="Q47" s="238"/>
      <c r="R47" s="239"/>
      <c r="S47" s="240"/>
      <c r="T47" s="240"/>
      <c r="U47" s="240"/>
      <c r="V47" s="240"/>
      <c r="W47" s="241"/>
      <c r="X47" s="242"/>
      <c r="Y47" s="115"/>
      <c r="Z47" s="115"/>
      <c r="AA47" s="241"/>
      <c r="AB47" s="243"/>
      <c r="AC47" s="244"/>
      <c r="AD47" s="244"/>
      <c r="AE47" s="244"/>
      <c r="AF47" s="244"/>
      <c r="AG47" s="245"/>
      <c r="AH47" s="246"/>
      <c r="AI47" s="247"/>
      <c r="AJ47" s="247"/>
      <c r="AL47" s="237"/>
      <c r="AM47" s="238"/>
      <c r="AN47" s="238"/>
      <c r="AO47" s="238"/>
      <c r="AP47" s="238"/>
      <c r="AQ47" s="239"/>
      <c r="AR47" s="240"/>
      <c r="AS47" s="240"/>
      <c r="AT47" s="240"/>
      <c r="AU47" s="247"/>
      <c r="AV47" s="241"/>
      <c r="AW47" s="242"/>
      <c r="AX47" s="115"/>
      <c r="AY47" s="115"/>
      <c r="AZ47" s="241"/>
      <c r="BA47" s="243"/>
      <c r="BB47" s="244"/>
      <c r="BC47" s="244"/>
      <c r="BD47" s="244"/>
      <c r="BE47" s="244"/>
      <c r="BF47" s="248"/>
      <c r="BG47" s="247"/>
      <c r="BH47" s="247"/>
      <c r="BI47" s="247"/>
      <c r="BJ47" s="247"/>
      <c r="BK47" s="237"/>
      <c r="BL47" s="238"/>
      <c r="BM47" s="238"/>
      <c r="BN47" s="238"/>
      <c r="BO47" s="238"/>
      <c r="BP47" s="239"/>
      <c r="BQ47" s="240"/>
      <c r="BR47" s="240"/>
      <c r="BS47" s="240"/>
      <c r="BT47" s="240"/>
      <c r="BU47" s="241"/>
      <c r="BV47" s="242"/>
      <c r="BW47" s="115"/>
      <c r="BX47" s="115"/>
      <c r="BY47" s="241"/>
      <c r="BZ47" s="243"/>
      <c r="CA47" s="244"/>
      <c r="CB47" s="244"/>
      <c r="CC47" s="246"/>
      <c r="CD47" s="263"/>
      <c r="CE47" s="265"/>
      <c r="CF47" s="96"/>
      <c r="CG47" s="145" t="s">
        <v>860</v>
      </c>
      <c r="CH47" s="262"/>
      <c r="CI47" s="103"/>
      <c r="CJ47" s="106"/>
      <c r="CK47" s="215"/>
      <c r="CL47" s="107"/>
      <c r="CM47" s="270" t="s">
        <v>861</v>
      </c>
      <c r="CN47" s="244"/>
      <c r="CO47" s="246"/>
      <c r="CP47" s="246"/>
      <c r="CQ47" s="247"/>
      <c r="CR47" s="247"/>
      <c r="CT47" s="237"/>
      <c r="CU47" s="238"/>
      <c r="CV47" s="238"/>
      <c r="CW47" s="238"/>
      <c r="CX47" s="238"/>
      <c r="CY47" s="239"/>
      <c r="CZ47" s="240"/>
      <c r="DA47" s="240"/>
      <c r="DB47" s="240"/>
      <c r="DC47" s="247"/>
      <c r="DD47" s="241"/>
      <c r="DE47" s="242"/>
      <c r="DF47" s="115"/>
      <c r="DG47" s="115"/>
      <c r="DH47" s="241"/>
      <c r="DI47" s="243"/>
      <c r="DJ47" s="244"/>
      <c r="DK47" s="244"/>
      <c r="DL47" s="244"/>
      <c r="DM47" s="244"/>
      <c r="DN47" s="248"/>
      <c r="DO47" s="247"/>
      <c r="DP47" s="247"/>
      <c r="DQ47" s="247"/>
      <c r="DR47" s="247"/>
      <c r="DS47" s="237"/>
      <c r="DT47" s="238"/>
      <c r="DU47" s="238"/>
      <c r="DV47" s="238"/>
      <c r="DW47" s="238"/>
      <c r="DX47" s="239"/>
      <c r="DY47" s="240"/>
      <c r="DZ47" s="240"/>
      <c r="EA47" s="240"/>
      <c r="EB47" s="240"/>
      <c r="EC47" s="241"/>
      <c r="ED47" s="242"/>
      <c r="EE47" s="115"/>
      <c r="EF47" s="115"/>
      <c r="EG47" s="241"/>
      <c r="EH47" s="243"/>
      <c r="EI47" s="244"/>
      <c r="EJ47" s="244"/>
      <c r="EK47" s="246"/>
      <c r="EL47" s="244"/>
    </row>
    <row r="48" spans="2:142" ht="45">
      <c r="B48" s="47" t="s">
        <v>864</v>
      </c>
      <c r="C48" s="48" t="s">
        <v>1551</v>
      </c>
      <c r="D48" s="49" t="s">
        <v>957</v>
      </c>
      <c r="E48" s="81" t="s">
        <v>958</v>
      </c>
      <c r="F48" s="273">
        <v>45309</v>
      </c>
      <c r="G48" s="274">
        <v>45344</v>
      </c>
      <c r="H48" s="274">
        <v>45365</v>
      </c>
      <c r="I48" s="274" t="s">
        <v>1299</v>
      </c>
      <c r="J48" s="49" t="s">
        <v>33</v>
      </c>
      <c r="K48" s="49" t="s">
        <v>332</v>
      </c>
      <c r="L48" s="49" t="s">
        <v>1550</v>
      </c>
      <c r="M48" s="237"/>
      <c r="N48" s="238"/>
      <c r="O48" s="238"/>
      <c r="P48" s="238"/>
      <c r="Q48" s="238"/>
      <c r="R48" s="239"/>
      <c r="S48" s="240"/>
      <c r="T48" s="240"/>
      <c r="U48" s="240"/>
      <c r="V48" s="240"/>
      <c r="W48" s="241"/>
      <c r="X48" s="242"/>
      <c r="Y48" s="115"/>
      <c r="Z48" s="115"/>
      <c r="AA48" s="241"/>
      <c r="AB48" s="243"/>
      <c r="AC48" s="244"/>
      <c r="AD48" s="244"/>
      <c r="AE48" s="244"/>
      <c r="AF48" s="244"/>
      <c r="AG48" s="245"/>
      <c r="AH48" s="246"/>
      <c r="AI48" s="247"/>
      <c r="AJ48" s="247"/>
      <c r="AL48" s="237"/>
      <c r="AM48" s="238"/>
      <c r="AN48" s="238"/>
      <c r="AO48" s="238"/>
      <c r="AP48" s="238"/>
      <c r="AQ48" s="239"/>
      <c r="AR48" s="240"/>
      <c r="AS48" s="240"/>
      <c r="AT48" s="240"/>
      <c r="AU48" s="247"/>
      <c r="AV48" s="241"/>
      <c r="AW48" s="242"/>
      <c r="AX48" s="115"/>
      <c r="AY48" s="115"/>
      <c r="AZ48" s="241"/>
      <c r="BA48" s="243"/>
      <c r="BB48" s="244"/>
      <c r="BC48" s="244"/>
      <c r="BD48" s="244"/>
      <c r="BE48" s="244"/>
      <c r="BF48" s="248"/>
      <c r="BG48" s="247"/>
      <c r="BH48" s="247"/>
      <c r="BI48" s="247"/>
      <c r="BJ48" s="247"/>
      <c r="BK48" s="237"/>
      <c r="BL48" s="238"/>
      <c r="BM48" s="238"/>
      <c r="BN48" s="238"/>
      <c r="BO48" s="238"/>
      <c r="BP48" s="239"/>
      <c r="BQ48" s="240"/>
      <c r="BR48" s="240"/>
      <c r="BS48" s="240"/>
      <c r="BT48" s="240"/>
      <c r="BU48" s="241"/>
      <c r="BV48" s="242"/>
      <c r="BW48" s="115"/>
      <c r="BX48" s="115"/>
      <c r="BY48" s="241"/>
      <c r="BZ48" s="243"/>
      <c r="CA48" s="244"/>
      <c r="CB48" s="244"/>
      <c r="CC48" s="246"/>
      <c r="CD48" s="263"/>
      <c r="CE48" s="265"/>
      <c r="CF48" s="96"/>
      <c r="CG48" s="145" t="s">
        <v>860</v>
      </c>
      <c r="CH48" s="262"/>
      <c r="CI48" s="103"/>
      <c r="CJ48" s="106"/>
      <c r="CK48" s="215"/>
      <c r="CL48" s="107"/>
      <c r="CM48" s="270" t="s">
        <v>861</v>
      </c>
      <c r="CN48" s="244"/>
      <c r="CO48" s="246"/>
      <c r="CP48" s="246"/>
      <c r="CQ48" s="247"/>
      <c r="CR48" s="247"/>
      <c r="CT48" s="237"/>
      <c r="CU48" s="238"/>
      <c r="CV48" s="238"/>
      <c r="CW48" s="238"/>
      <c r="CX48" s="238"/>
      <c r="CY48" s="239"/>
      <c r="CZ48" s="240"/>
      <c r="DA48" s="240"/>
      <c r="DB48" s="240"/>
      <c r="DC48" s="247"/>
      <c r="DD48" s="241"/>
      <c r="DE48" s="242"/>
      <c r="DF48" s="115"/>
      <c r="DG48" s="115"/>
      <c r="DH48" s="241"/>
      <c r="DI48" s="243"/>
      <c r="DJ48" s="244"/>
      <c r="DK48" s="244"/>
      <c r="DL48" s="244"/>
      <c r="DM48" s="244"/>
      <c r="DN48" s="248"/>
      <c r="DO48" s="247"/>
      <c r="DP48" s="247"/>
      <c r="DQ48" s="247"/>
      <c r="DR48" s="247"/>
      <c r="DS48" s="237"/>
      <c r="DT48" s="238"/>
      <c r="DU48" s="238"/>
      <c r="DV48" s="238"/>
      <c r="DW48" s="238"/>
      <c r="DX48" s="239"/>
      <c r="DY48" s="240"/>
      <c r="DZ48" s="240"/>
      <c r="EA48" s="240"/>
      <c r="EB48" s="240"/>
      <c r="EC48" s="241"/>
      <c r="ED48" s="242"/>
      <c r="EE48" s="115"/>
      <c r="EF48" s="115"/>
      <c r="EG48" s="241"/>
      <c r="EH48" s="243"/>
      <c r="EI48" s="244"/>
      <c r="EJ48" s="244"/>
      <c r="EK48" s="246"/>
      <c r="EL48" s="244"/>
    </row>
    <row r="49" spans="2:142" ht="45">
      <c r="B49" s="47" t="s">
        <v>864</v>
      </c>
      <c r="C49" s="48" t="s">
        <v>1308</v>
      </c>
      <c r="D49" s="49" t="s">
        <v>963</v>
      </c>
      <c r="E49" s="81" t="s">
        <v>964</v>
      </c>
      <c r="F49" s="271">
        <v>45309</v>
      </c>
      <c r="G49" s="272">
        <v>45344</v>
      </c>
      <c r="H49" s="272">
        <v>45365</v>
      </c>
      <c r="I49" s="272" t="s">
        <v>1299</v>
      </c>
      <c r="J49" s="49" t="s">
        <v>33</v>
      </c>
      <c r="K49" s="49" t="s">
        <v>332</v>
      </c>
      <c r="L49" s="49" t="s">
        <v>1550</v>
      </c>
      <c r="M49" s="237"/>
      <c r="N49" s="238"/>
      <c r="O49" s="238"/>
      <c r="P49" s="238"/>
      <c r="Q49" s="238"/>
      <c r="R49" s="239"/>
      <c r="S49" s="240"/>
      <c r="T49" s="240"/>
      <c r="U49" s="240"/>
      <c r="V49" s="240"/>
      <c r="W49" s="241"/>
      <c r="X49" s="242"/>
      <c r="Y49" s="115"/>
      <c r="Z49" s="115"/>
      <c r="AA49" s="241"/>
      <c r="AB49" s="243"/>
      <c r="AC49" s="244"/>
      <c r="AD49" s="244"/>
      <c r="AE49" s="244"/>
      <c r="AF49" s="244"/>
      <c r="AG49" s="245"/>
      <c r="AH49" s="246"/>
      <c r="AI49" s="247"/>
      <c r="AJ49" s="247"/>
      <c r="AL49" s="237"/>
      <c r="AM49" s="238"/>
      <c r="AN49" s="238"/>
      <c r="AO49" s="238"/>
      <c r="AP49" s="238"/>
      <c r="AQ49" s="239"/>
      <c r="AR49" s="240"/>
      <c r="AS49" s="240"/>
      <c r="AT49" s="240"/>
      <c r="AU49" s="247"/>
      <c r="AV49" s="241"/>
      <c r="AW49" s="242"/>
      <c r="AX49" s="115"/>
      <c r="AY49" s="115"/>
      <c r="AZ49" s="241"/>
      <c r="BA49" s="243"/>
      <c r="BB49" s="244"/>
      <c r="BC49" s="244"/>
      <c r="BD49" s="244"/>
      <c r="BE49" s="244"/>
      <c r="BF49" s="248"/>
      <c r="BG49" s="247"/>
      <c r="BH49" s="247"/>
      <c r="BI49" s="247"/>
      <c r="BJ49" s="247"/>
      <c r="BK49" s="237"/>
      <c r="BL49" s="238"/>
      <c r="BM49" s="238"/>
      <c r="BN49" s="238"/>
      <c r="BO49" s="238"/>
      <c r="BP49" s="239"/>
      <c r="BQ49" s="240"/>
      <c r="BR49" s="240"/>
      <c r="BS49" s="240"/>
      <c r="BT49" s="240"/>
      <c r="BU49" s="241"/>
      <c r="BV49" s="242"/>
      <c r="BW49" s="115"/>
      <c r="BX49" s="115"/>
      <c r="BY49" s="241"/>
      <c r="BZ49" s="243"/>
      <c r="CA49" s="244"/>
      <c r="CB49" s="244"/>
      <c r="CC49" s="246"/>
      <c r="CD49" s="244"/>
      <c r="CE49" s="249"/>
      <c r="CF49" s="241"/>
      <c r="CG49" s="141" t="s">
        <v>860</v>
      </c>
      <c r="CH49" s="221"/>
      <c r="CI49" s="57"/>
      <c r="CJ49" s="60"/>
      <c r="CK49" s="215"/>
      <c r="CL49" s="61"/>
      <c r="CM49" s="79" t="s">
        <v>861</v>
      </c>
      <c r="CN49" s="244"/>
      <c r="CO49" s="246"/>
      <c r="CP49" s="246"/>
      <c r="CQ49" s="247"/>
      <c r="CR49" s="247"/>
      <c r="CT49" s="237"/>
      <c r="CU49" s="238"/>
      <c r="CV49" s="238"/>
      <c r="CW49" s="238"/>
      <c r="CX49" s="238"/>
      <c r="CY49" s="239"/>
      <c r="CZ49" s="240"/>
      <c r="DA49" s="240"/>
      <c r="DB49" s="240"/>
      <c r="DC49" s="247"/>
      <c r="DD49" s="241"/>
      <c r="DE49" s="242"/>
      <c r="DF49" s="115"/>
      <c r="DG49" s="115"/>
      <c r="DH49" s="241"/>
      <c r="DI49" s="243"/>
      <c r="DJ49" s="244"/>
      <c r="DK49" s="244"/>
      <c r="DL49" s="244"/>
      <c r="DM49" s="244"/>
      <c r="DN49" s="248"/>
      <c r="DO49" s="247"/>
      <c r="DP49" s="247"/>
      <c r="DQ49" s="247"/>
      <c r="DR49" s="247"/>
      <c r="DS49" s="237"/>
      <c r="DT49" s="238"/>
      <c r="DU49" s="238"/>
      <c r="DV49" s="238"/>
      <c r="DW49" s="238"/>
      <c r="DX49" s="239"/>
      <c r="DY49" s="240"/>
      <c r="DZ49" s="240"/>
      <c r="EA49" s="240"/>
      <c r="EB49" s="240"/>
      <c r="EC49" s="241"/>
      <c r="ED49" s="242"/>
      <c r="EE49" s="115"/>
      <c r="EF49" s="115"/>
      <c r="EG49" s="241"/>
      <c r="EH49" s="243"/>
      <c r="EI49" s="244"/>
      <c r="EJ49" s="244"/>
      <c r="EK49" s="246"/>
      <c r="EL49" s="244"/>
    </row>
    <row r="50" spans="2:142" ht="45">
      <c r="B50" s="47" t="s">
        <v>864</v>
      </c>
      <c r="C50" s="48" t="s">
        <v>1308</v>
      </c>
      <c r="D50" s="49" t="s">
        <v>965</v>
      </c>
      <c r="E50" s="81" t="s">
        <v>966</v>
      </c>
      <c r="F50" s="271">
        <v>45309</v>
      </c>
      <c r="G50" s="272">
        <v>45344</v>
      </c>
      <c r="H50" s="272">
        <v>45365</v>
      </c>
      <c r="I50" s="272" t="s">
        <v>1299</v>
      </c>
      <c r="J50" s="49" t="s">
        <v>33</v>
      </c>
      <c r="K50" s="49" t="s">
        <v>332</v>
      </c>
      <c r="L50" s="49" t="s">
        <v>1550</v>
      </c>
      <c r="M50" s="237"/>
      <c r="N50" s="238"/>
      <c r="O50" s="238"/>
      <c r="P50" s="238"/>
      <c r="Q50" s="238"/>
      <c r="R50" s="239"/>
      <c r="S50" s="240"/>
      <c r="T50" s="240"/>
      <c r="U50" s="240"/>
      <c r="V50" s="240"/>
      <c r="W50" s="241"/>
      <c r="X50" s="242"/>
      <c r="Y50" s="115"/>
      <c r="Z50" s="115"/>
      <c r="AA50" s="241"/>
      <c r="AB50" s="243"/>
      <c r="AC50" s="244"/>
      <c r="AD50" s="244"/>
      <c r="AE50" s="244"/>
      <c r="AF50" s="244"/>
      <c r="AG50" s="245"/>
      <c r="AH50" s="246"/>
      <c r="AI50" s="247"/>
      <c r="AJ50" s="247"/>
      <c r="AL50" s="237"/>
      <c r="AM50" s="238"/>
      <c r="AN50" s="238"/>
      <c r="AO50" s="238"/>
      <c r="AP50" s="238"/>
      <c r="AQ50" s="239"/>
      <c r="AR50" s="240"/>
      <c r="AS50" s="240"/>
      <c r="AT50" s="240"/>
      <c r="AU50" s="247"/>
      <c r="AV50" s="241"/>
      <c r="AW50" s="242"/>
      <c r="AX50" s="115"/>
      <c r="AY50" s="115"/>
      <c r="AZ50" s="241"/>
      <c r="BA50" s="243"/>
      <c r="BB50" s="244"/>
      <c r="BC50" s="244"/>
      <c r="BD50" s="244"/>
      <c r="BE50" s="244"/>
      <c r="BF50" s="248"/>
      <c r="BG50" s="247"/>
      <c r="BH50" s="247"/>
      <c r="BI50" s="247"/>
      <c r="BJ50" s="247"/>
      <c r="BK50" s="237"/>
      <c r="BL50" s="238"/>
      <c r="BM50" s="238"/>
      <c r="BN50" s="238"/>
      <c r="BO50" s="238"/>
      <c r="BP50" s="239"/>
      <c r="BQ50" s="240"/>
      <c r="BR50" s="240"/>
      <c r="BS50" s="240"/>
      <c r="BT50" s="240"/>
      <c r="BU50" s="241"/>
      <c r="BV50" s="242"/>
      <c r="BW50" s="115"/>
      <c r="BX50" s="115"/>
      <c r="BY50" s="241"/>
      <c r="BZ50" s="243"/>
      <c r="CA50" s="244"/>
      <c r="CB50" s="244"/>
      <c r="CC50" s="246"/>
      <c r="CD50" s="244"/>
      <c r="CE50" s="249"/>
      <c r="CF50" s="241"/>
      <c r="CG50" s="141" t="s">
        <v>860</v>
      </c>
      <c r="CH50" s="221"/>
      <c r="CI50" s="57"/>
      <c r="CJ50" s="60"/>
      <c r="CK50" s="215"/>
      <c r="CL50" s="61"/>
      <c r="CM50" s="79" t="s">
        <v>861</v>
      </c>
      <c r="CN50" s="244"/>
      <c r="CO50" s="246"/>
      <c r="CP50" s="246"/>
      <c r="CQ50" s="247"/>
      <c r="CR50" s="247"/>
      <c r="CT50" s="237"/>
      <c r="CU50" s="238"/>
      <c r="CV50" s="238"/>
      <c r="CW50" s="238"/>
      <c r="CX50" s="238"/>
      <c r="CY50" s="239"/>
      <c r="CZ50" s="240"/>
      <c r="DA50" s="240"/>
      <c r="DB50" s="240"/>
      <c r="DC50" s="247"/>
      <c r="DD50" s="241"/>
      <c r="DE50" s="242"/>
      <c r="DF50" s="115"/>
      <c r="DG50" s="115"/>
      <c r="DH50" s="241"/>
      <c r="DI50" s="243"/>
      <c r="DJ50" s="244"/>
      <c r="DK50" s="244"/>
      <c r="DL50" s="244"/>
      <c r="DM50" s="244"/>
      <c r="DN50" s="248"/>
      <c r="DO50" s="247"/>
      <c r="DP50" s="247"/>
      <c r="DQ50" s="247"/>
      <c r="DR50" s="247"/>
      <c r="DS50" s="237"/>
      <c r="DT50" s="238"/>
      <c r="DU50" s="238"/>
      <c r="DV50" s="238"/>
      <c r="DW50" s="238"/>
      <c r="DX50" s="239"/>
      <c r="DY50" s="240"/>
      <c r="DZ50" s="240"/>
      <c r="EA50" s="240"/>
      <c r="EB50" s="240"/>
      <c r="EC50" s="241"/>
      <c r="ED50" s="242"/>
      <c r="EE50" s="115"/>
      <c r="EF50" s="115"/>
      <c r="EG50" s="241"/>
      <c r="EH50" s="243"/>
      <c r="EI50" s="244"/>
      <c r="EJ50" s="244"/>
      <c r="EK50" s="246"/>
      <c r="EL50" s="244"/>
    </row>
    <row r="51" spans="2:142" ht="45">
      <c r="B51" s="47" t="s">
        <v>864</v>
      </c>
      <c r="C51" s="48" t="s">
        <v>1308</v>
      </c>
      <c r="D51" s="49" t="s">
        <v>874</v>
      </c>
      <c r="E51" s="81" t="s">
        <v>875</v>
      </c>
      <c r="F51" s="271">
        <v>45309</v>
      </c>
      <c r="G51" s="272">
        <v>45344</v>
      </c>
      <c r="H51" s="272">
        <v>45365</v>
      </c>
      <c r="I51" s="272" t="s">
        <v>1299</v>
      </c>
      <c r="J51" s="49" t="s">
        <v>33</v>
      </c>
      <c r="K51" s="49" t="s">
        <v>332</v>
      </c>
      <c r="L51" s="49" t="s">
        <v>1550</v>
      </c>
      <c r="M51" s="237"/>
      <c r="N51" s="238"/>
      <c r="O51" s="238"/>
      <c r="P51" s="238"/>
      <c r="Q51" s="238"/>
      <c r="R51" s="239"/>
      <c r="S51" s="240"/>
      <c r="T51" s="240"/>
      <c r="U51" s="240"/>
      <c r="V51" s="240"/>
      <c r="W51" s="241"/>
      <c r="X51" s="242"/>
      <c r="Y51" s="115"/>
      <c r="Z51" s="115"/>
      <c r="AA51" s="241"/>
      <c r="AB51" s="243"/>
      <c r="AC51" s="244"/>
      <c r="AD51" s="244"/>
      <c r="AE51" s="244"/>
      <c r="AF51" s="244"/>
      <c r="AG51" s="245"/>
      <c r="AH51" s="246"/>
      <c r="AI51" s="247"/>
      <c r="AJ51" s="247"/>
      <c r="AL51" s="237"/>
      <c r="AM51" s="238"/>
      <c r="AN51" s="238"/>
      <c r="AO51" s="238"/>
      <c r="AP51" s="238"/>
      <c r="AQ51" s="239"/>
      <c r="AR51" s="240"/>
      <c r="AS51" s="240"/>
      <c r="AT51" s="240"/>
      <c r="AU51" s="247"/>
      <c r="AV51" s="241"/>
      <c r="AW51" s="242"/>
      <c r="AX51" s="115"/>
      <c r="AY51" s="115"/>
      <c r="AZ51" s="241"/>
      <c r="BA51" s="243"/>
      <c r="BB51" s="244"/>
      <c r="BC51" s="244"/>
      <c r="BD51" s="244"/>
      <c r="BE51" s="244"/>
      <c r="BF51" s="248"/>
      <c r="BG51" s="247"/>
      <c r="BH51" s="247"/>
      <c r="BI51" s="247"/>
      <c r="BJ51" s="247"/>
      <c r="BK51" s="237"/>
      <c r="BL51" s="238"/>
      <c r="BM51" s="238"/>
      <c r="BN51" s="238"/>
      <c r="BO51" s="238"/>
      <c r="BP51" s="239"/>
      <c r="BQ51" s="240"/>
      <c r="BR51" s="240"/>
      <c r="BS51" s="240"/>
      <c r="BT51" s="240"/>
      <c r="BU51" s="241"/>
      <c r="BV51" s="242"/>
      <c r="BW51" s="115"/>
      <c r="BX51" s="115"/>
      <c r="BY51" s="241"/>
      <c r="BZ51" s="243"/>
      <c r="CA51" s="244"/>
      <c r="CB51" s="244"/>
      <c r="CC51" s="246"/>
      <c r="CD51" s="244"/>
      <c r="CE51" s="249"/>
      <c r="CF51" s="241"/>
      <c r="CG51" s="141" t="s">
        <v>860</v>
      </c>
      <c r="CH51" s="221"/>
      <c r="CI51" s="57"/>
      <c r="CJ51" s="60"/>
      <c r="CK51" s="215"/>
      <c r="CL51" s="61"/>
      <c r="CM51" s="79" t="s">
        <v>861</v>
      </c>
      <c r="CN51" s="244"/>
      <c r="CO51" s="245"/>
      <c r="CP51" s="246"/>
      <c r="CQ51" s="247"/>
      <c r="CR51" s="247"/>
      <c r="CT51" s="237"/>
      <c r="CU51" s="238"/>
      <c r="CV51" s="238"/>
      <c r="CW51" s="238"/>
      <c r="CX51" s="238"/>
      <c r="CY51" s="239"/>
      <c r="CZ51" s="240"/>
      <c r="DA51" s="240"/>
      <c r="DB51" s="240"/>
      <c r="DC51" s="247"/>
      <c r="DD51" s="241"/>
      <c r="DE51" s="242"/>
      <c r="DF51" s="115"/>
      <c r="DG51" s="115"/>
      <c r="DH51" s="241"/>
      <c r="DI51" s="243"/>
      <c r="DJ51" s="244"/>
      <c r="DK51" s="244"/>
      <c r="DL51" s="244"/>
      <c r="DM51" s="244"/>
      <c r="DN51" s="248"/>
      <c r="DO51" s="247"/>
      <c r="DP51" s="247"/>
      <c r="DQ51" s="247"/>
      <c r="DR51" s="247"/>
      <c r="DS51" s="237"/>
      <c r="DT51" s="238"/>
      <c r="DU51" s="238"/>
      <c r="DV51" s="238"/>
      <c r="DW51" s="238"/>
      <c r="DX51" s="239"/>
      <c r="DY51" s="240"/>
      <c r="DZ51" s="240"/>
      <c r="EA51" s="240"/>
      <c r="EB51" s="240"/>
      <c r="EC51" s="241"/>
      <c r="ED51" s="242"/>
      <c r="EE51" s="115"/>
      <c r="EF51" s="115"/>
      <c r="EG51" s="241"/>
      <c r="EH51" s="243"/>
      <c r="EI51" s="244"/>
      <c r="EJ51" s="244"/>
      <c r="EK51" s="246"/>
      <c r="EL51" s="244"/>
    </row>
    <row r="52" spans="2:142" ht="45">
      <c r="B52" s="47" t="s">
        <v>864</v>
      </c>
      <c r="C52" s="48" t="s">
        <v>1308</v>
      </c>
      <c r="D52" s="49" t="s">
        <v>876</v>
      </c>
      <c r="E52" s="81" t="s">
        <v>877</v>
      </c>
      <c r="F52" s="271">
        <v>45309</v>
      </c>
      <c r="G52" s="272">
        <v>45344</v>
      </c>
      <c r="H52" s="272">
        <v>45365</v>
      </c>
      <c r="I52" s="272" t="s">
        <v>1299</v>
      </c>
      <c r="J52" s="49" t="s">
        <v>33</v>
      </c>
      <c r="K52" s="49" t="s">
        <v>332</v>
      </c>
      <c r="L52" s="49" t="s">
        <v>1550</v>
      </c>
      <c r="M52" s="237"/>
      <c r="N52" s="238"/>
      <c r="O52" s="238"/>
      <c r="P52" s="238"/>
      <c r="Q52" s="238"/>
      <c r="R52" s="239"/>
      <c r="S52" s="240"/>
      <c r="T52" s="240"/>
      <c r="U52" s="240"/>
      <c r="V52" s="240"/>
      <c r="W52" s="241"/>
      <c r="X52" s="242"/>
      <c r="Y52" s="115"/>
      <c r="Z52" s="115"/>
      <c r="AA52" s="241"/>
      <c r="AB52" s="243"/>
      <c r="AC52" s="244"/>
      <c r="AD52" s="244"/>
      <c r="AE52" s="244"/>
      <c r="AF52" s="244"/>
      <c r="AG52" s="245"/>
      <c r="AH52" s="246"/>
      <c r="AI52" s="247"/>
      <c r="AJ52" s="247"/>
      <c r="AL52" s="237"/>
      <c r="AM52" s="238"/>
      <c r="AN52" s="238"/>
      <c r="AO52" s="238"/>
      <c r="AP52" s="238"/>
      <c r="AQ52" s="239"/>
      <c r="AR52" s="240"/>
      <c r="AS52" s="240"/>
      <c r="AT52" s="240"/>
      <c r="AU52" s="247"/>
      <c r="AV52" s="241"/>
      <c r="AW52" s="242"/>
      <c r="AX52" s="115"/>
      <c r="AY52" s="115"/>
      <c r="AZ52" s="241"/>
      <c r="BA52" s="243"/>
      <c r="BB52" s="244"/>
      <c r="BC52" s="244"/>
      <c r="BD52" s="244"/>
      <c r="BE52" s="244"/>
      <c r="BF52" s="248"/>
      <c r="BG52" s="247"/>
      <c r="BH52" s="247"/>
      <c r="BI52" s="247"/>
      <c r="BJ52" s="247"/>
      <c r="BK52" s="237"/>
      <c r="BL52" s="238"/>
      <c r="BM52" s="238"/>
      <c r="BN52" s="238"/>
      <c r="BO52" s="238"/>
      <c r="BP52" s="239"/>
      <c r="BQ52" s="240"/>
      <c r="BR52" s="240"/>
      <c r="BS52" s="240"/>
      <c r="BT52" s="240"/>
      <c r="BU52" s="241"/>
      <c r="BV52" s="242"/>
      <c r="BW52" s="115"/>
      <c r="BX52" s="115"/>
      <c r="BY52" s="241"/>
      <c r="BZ52" s="243"/>
      <c r="CA52" s="244"/>
      <c r="CB52" s="244"/>
      <c r="CC52" s="246"/>
      <c r="CD52" s="244"/>
      <c r="CE52" s="249"/>
      <c r="CF52" s="241"/>
      <c r="CG52" s="141" t="s">
        <v>860</v>
      </c>
      <c r="CH52" s="221"/>
      <c r="CI52" s="57"/>
      <c r="CJ52" s="60"/>
      <c r="CK52" s="215"/>
      <c r="CL52" s="61"/>
      <c r="CM52" s="79" t="s">
        <v>861</v>
      </c>
      <c r="CN52" s="244"/>
      <c r="CO52" s="245"/>
      <c r="CP52" s="246"/>
      <c r="CQ52" s="247"/>
      <c r="CR52" s="247"/>
      <c r="CT52" s="237"/>
      <c r="CU52" s="238"/>
      <c r="CV52" s="238"/>
      <c r="CW52" s="238"/>
      <c r="CX52" s="238"/>
      <c r="CY52" s="239"/>
      <c r="CZ52" s="240"/>
      <c r="DA52" s="240"/>
      <c r="DB52" s="240"/>
      <c r="DC52" s="247"/>
      <c r="DD52" s="241"/>
      <c r="DE52" s="242"/>
      <c r="DF52" s="115"/>
      <c r="DG52" s="115"/>
      <c r="DH52" s="241"/>
      <c r="DI52" s="243"/>
      <c r="DJ52" s="244"/>
      <c r="DK52" s="244"/>
      <c r="DL52" s="244"/>
      <c r="DM52" s="244"/>
      <c r="DN52" s="248"/>
      <c r="DO52" s="247"/>
      <c r="DP52" s="247"/>
      <c r="DQ52" s="247"/>
      <c r="DR52" s="247"/>
      <c r="DS52" s="237"/>
      <c r="DT52" s="238"/>
      <c r="DU52" s="238"/>
      <c r="DV52" s="238"/>
      <c r="DW52" s="238"/>
      <c r="DX52" s="239"/>
      <c r="DY52" s="240"/>
      <c r="DZ52" s="240"/>
      <c r="EA52" s="240"/>
      <c r="EB52" s="240"/>
      <c r="EC52" s="241"/>
      <c r="ED52" s="242"/>
      <c r="EE52" s="115"/>
      <c r="EF52" s="115"/>
      <c r="EG52" s="241"/>
      <c r="EH52" s="243"/>
      <c r="EI52" s="244"/>
      <c r="EJ52" s="244"/>
      <c r="EK52" s="246"/>
      <c r="EL52" s="244"/>
    </row>
    <row r="53" spans="2:142" ht="45">
      <c r="B53" s="47" t="s">
        <v>864</v>
      </c>
      <c r="C53" s="48" t="s">
        <v>1308</v>
      </c>
      <c r="D53" s="49" t="s">
        <v>878</v>
      </c>
      <c r="E53" s="81" t="s">
        <v>879</v>
      </c>
      <c r="F53" s="271">
        <v>45309</v>
      </c>
      <c r="G53" s="272">
        <v>45344</v>
      </c>
      <c r="H53" s="272">
        <v>45365</v>
      </c>
      <c r="I53" s="272" t="s">
        <v>1299</v>
      </c>
      <c r="J53" s="49" t="s">
        <v>33</v>
      </c>
      <c r="K53" s="49" t="s">
        <v>332</v>
      </c>
      <c r="L53" s="49" t="s">
        <v>1550</v>
      </c>
      <c r="M53" s="237"/>
      <c r="N53" s="238"/>
      <c r="O53" s="238"/>
      <c r="P53" s="238"/>
      <c r="Q53" s="238"/>
      <c r="R53" s="239"/>
      <c r="S53" s="240"/>
      <c r="T53" s="240"/>
      <c r="U53" s="240"/>
      <c r="V53" s="240"/>
      <c r="W53" s="241"/>
      <c r="X53" s="242"/>
      <c r="Y53" s="115"/>
      <c r="Z53" s="115"/>
      <c r="AA53" s="241"/>
      <c r="AB53" s="243"/>
      <c r="AC53" s="244"/>
      <c r="AD53" s="244"/>
      <c r="AE53" s="244"/>
      <c r="AF53" s="244"/>
      <c r="AG53" s="245"/>
      <c r="AH53" s="246"/>
      <c r="AI53" s="247"/>
      <c r="AJ53" s="247"/>
      <c r="AL53" s="237"/>
      <c r="AM53" s="238"/>
      <c r="AN53" s="238"/>
      <c r="AO53" s="238"/>
      <c r="AP53" s="238"/>
      <c r="AQ53" s="239"/>
      <c r="AR53" s="240"/>
      <c r="AS53" s="240"/>
      <c r="AT53" s="240"/>
      <c r="AU53" s="247"/>
      <c r="AV53" s="241"/>
      <c r="AW53" s="242"/>
      <c r="AX53" s="115"/>
      <c r="AY53" s="115"/>
      <c r="AZ53" s="241"/>
      <c r="BA53" s="243"/>
      <c r="BB53" s="244"/>
      <c r="BC53" s="244"/>
      <c r="BD53" s="244"/>
      <c r="BE53" s="244"/>
      <c r="BF53" s="248"/>
      <c r="BG53" s="247"/>
      <c r="BH53" s="247"/>
      <c r="BI53" s="247"/>
      <c r="BJ53" s="247"/>
      <c r="BK53" s="237"/>
      <c r="BL53" s="238"/>
      <c r="BM53" s="238"/>
      <c r="BN53" s="238"/>
      <c r="BO53" s="238"/>
      <c r="BP53" s="239"/>
      <c r="BQ53" s="240"/>
      <c r="BR53" s="240"/>
      <c r="BS53" s="240"/>
      <c r="BT53" s="240"/>
      <c r="BU53" s="241"/>
      <c r="BV53" s="242"/>
      <c r="BW53" s="115"/>
      <c r="BX53" s="115"/>
      <c r="BY53" s="241"/>
      <c r="BZ53" s="243"/>
      <c r="CA53" s="244"/>
      <c r="CB53" s="244"/>
      <c r="CC53" s="246"/>
      <c r="CD53" s="244"/>
      <c r="CE53" s="249"/>
      <c r="CF53" s="241"/>
      <c r="CG53" s="141" t="s">
        <v>860</v>
      </c>
      <c r="CH53" s="221"/>
      <c r="CI53" s="57"/>
      <c r="CJ53" s="60"/>
      <c r="CK53" s="215"/>
      <c r="CL53" s="61"/>
      <c r="CM53" s="79" t="s">
        <v>861</v>
      </c>
      <c r="CN53" s="244"/>
      <c r="CO53" s="245"/>
      <c r="CP53" s="246"/>
      <c r="CQ53" s="247"/>
      <c r="CR53" s="247"/>
      <c r="CT53" s="237"/>
      <c r="CU53" s="238"/>
      <c r="CV53" s="238"/>
      <c r="CW53" s="238"/>
      <c r="CX53" s="238"/>
      <c r="CY53" s="239"/>
      <c r="CZ53" s="240"/>
      <c r="DA53" s="240"/>
      <c r="DB53" s="240"/>
      <c r="DC53" s="247"/>
      <c r="DD53" s="241"/>
      <c r="DE53" s="242"/>
      <c r="DF53" s="115"/>
      <c r="DG53" s="115"/>
      <c r="DH53" s="241"/>
      <c r="DI53" s="243"/>
      <c r="DJ53" s="244"/>
      <c r="DK53" s="244"/>
      <c r="DL53" s="244"/>
      <c r="DM53" s="244"/>
      <c r="DN53" s="248"/>
      <c r="DO53" s="247"/>
      <c r="DP53" s="247"/>
      <c r="DQ53" s="247"/>
      <c r="DR53" s="247"/>
      <c r="DS53" s="237"/>
      <c r="DT53" s="238"/>
      <c r="DU53" s="238"/>
      <c r="DV53" s="238"/>
      <c r="DW53" s="238"/>
      <c r="DX53" s="239"/>
      <c r="DY53" s="240"/>
      <c r="DZ53" s="240"/>
      <c r="EA53" s="240"/>
      <c r="EB53" s="240"/>
      <c r="EC53" s="241"/>
      <c r="ED53" s="242"/>
      <c r="EE53" s="115"/>
      <c r="EF53" s="115"/>
      <c r="EG53" s="241"/>
      <c r="EH53" s="243"/>
      <c r="EI53" s="244"/>
      <c r="EJ53" s="244"/>
      <c r="EK53" s="246"/>
      <c r="EL53" s="244"/>
    </row>
    <row r="54" spans="2:142" ht="45">
      <c r="B54" s="47" t="s">
        <v>864</v>
      </c>
      <c r="C54" s="48" t="s">
        <v>1316</v>
      </c>
      <c r="D54" s="49" t="s">
        <v>1475</v>
      </c>
      <c r="E54" s="81" t="s">
        <v>1476</v>
      </c>
      <c r="F54" s="271">
        <v>45309</v>
      </c>
      <c r="G54" s="272">
        <v>45344</v>
      </c>
      <c r="H54" s="272">
        <v>45365</v>
      </c>
      <c r="I54" s="272" t="s">
        <v>1299</v>
      </c>
      <c r="J54" s="49" t="s">
        <v>33</v>
      </c>
      <c r="K54" s="49" t="s">
        <v>332</v>
      </c>
      <c r="L54" s="49" t="s">
        <v>1550</v>
      </c>
      <c r="M54" s="99"/>
      <c r="N54" s="100"/>
      <c r="O54" s="100"/>
      <c r="P54" s="100"/>
      <c r="Q54" s="100"/>
      <c r="R54" s="101"/>
      <c r="S54" s="102"/>
      <c r="T54" s="102"/>
      <c r="U54" s="102"/>
      <c r="V54" s="102"/>
      <c r="W54" s="103"/>
      <c r="X54" s="104"/>
      <c r="Y54" s="105"/>
      <c r="Z54" s="105"/>
      <c r="AA54" s="103"/>
      <c r="AB54" s="106"/>
      <c r="AC54" s="107"/>
      <c r="AD54" s="107"/>
      <c r="AE54" s="107"/>
      <c r="AF54" s="107"/>
      <c r="AG54" s="54"/>
      <c r="AH54" s="64"/>
      <c r="AI54" s="108"/>
      <c r="AJ54" s="108"/>
      <c r="AK54" s="219"/>
      <c r="AL54" s="99"/>
      <c r="AM54" s="100"/>
      <c r="AN54" s="100"/>
      <c r="AO54" s="220"/>
      <c r="AP54" s="100"/>
      <c r="AQ54" s="101"/>
      <c r="AR54" s="102"/>
      <c r="AS54" s="102"/>
      <c r="AT54" s="102"/>
      <c r="AU54" s="108"/>
      <c r="AV54" s="103"/>
      <c r="AW54" s="104"/>
      <c r="AX54" s="105"/>
      <c r="AY54" s="105"/>
      <c r="AZ54" s="103"/>
      <c r="BA54" s="106"/>
      <c r="BB54" s="107"/>
      <c r="BC54" s="107"/>
      <c r="BD54" s="107"/>
      <c r="BE54" s="107"/>
      <c r="BF54" s="109"/>
      <c r="BG54" s="108"/>
      <c r="BH54" s="108"/>
      <c r="BI54" s="108"/>
      <c r="BJ54" s="108"/>
      <c r="BK54" s="99"/>
      <c r="BL54" s="100"/>
      <c r="BM54" s="100"/>
      <c r="BN54" s="100"/>
      <c r="BO54" s="61"/>
      <c r="BP54" s="101"/>
      <c r="BQ54" s="102"/>
      <c r="BR54" s="64"/>
      <c r="BS54" s="102"/>
      <c r="BT54" s="102"/>
      <c r="BU54" s="103"/>
      <c r="BV54" s="104"/>
      <c r="BW54" s="105"/>
      <c r="BX54" s="105"/>
      <c r="BY54" s="103"/>
      <c r="BZ54" s="106"/>
      <c r="CA54" s="107"/>
      <c r="CB54" s="107"/>
      <c r="CC54" s="64"/>
      <c r="CD54" s="107"/>
      <c r="CE54" s="103"/>
      <c r="CF54" s="103"/>
      <c r="CG54" s="141" t="s">
        <v>860</v>
      </c>
      <c r="CH54" s="221"/>
      <c r="CI54" s="57"/>
      <c r="CJ54" s="60"/>
      <c r="CK54" s="215"/>
      <c r="CL54" s="61"/>
      <c r="CM54" s="79" t="s">
        <v>861</v>
      </c>
      <c r="CN54" s="107"/>
      <c r="CO54" s="261"/>
      <c r="CP54" s="64"/>
      <c r="CQ54" s="108"/>
      <c r="CR54" s="108"/>
      <c r="CS54" s="80"/>
      <c r="CT54" s="99"/>
      <c r="CU54" s="100"/>
      <c r="CV54" s="100"/>
      <c r="CW54" s="220"/>
      <c r="CX54" s="107"/>
      <c r="CY54" s="101"/>
      <c r="CZ54" s="102"/>
      <c r="DA54" s="108"/>
      <c r="DB54" s="102"/>
      <c r="DC54" s="108"/>
      <c r="DD54" s="103"/>
      <c r="DE54" s="104"/>
      <c r="DF54" s="105"/>
      <c r="DG54" s="105"/>
      <c r="DH54" s="103"/>
      <c r="DI54" s="106"/>
      <c r="DJ54" s="107"/>
      <c r="DK54" s="107"/>
      <c r="DL54" s="107"/>
      <c r="DM54" s="107"/>
      <c r="DN54" s="109"/>
      <c r="DO54" s="108"/>
      <c r="DP54" s="108"/>
      <c r="DQ54" s="108"/>
      <c r="DR54" s="108"/>
      <c r="DS54" s="99"/>
      <c r="DT54" s="100"/>
      <c r="DU54" s="100"/>
      <c r="DV54" s="100"/>
      <c r="DW54" s="100"/>
      <c r="DX54" s="101"/>
      <c r="DY54" s="102"/>
      <c r="DZ54" s="102"/>
      <c r="EA54" s="102"/>
      <c r="EB54" s="102"/>
      <c r="EC54" s="103"/>
      <c r="ED54" s="104"/>
      <c r="EE54" s="105"/>
      <c r="EF54" s="105"/>
      <c r="EG54" s="103"/>
      <c r="EH54" s="106"/>
      <c r="EI54" s="107"/>
      <c r="EJ54" s="107"/>
      <c r="EK54" s="64"/>
      <c r="EL54" s="107"/>
    </row>
    <row r="55" spans="2:142" ht="45">
      <c r="B55" s="47" t="s">
        <v>864</v>
      </c>
      <c r="C55" s="48" t="s">
        <v>1436</v>
      </c>
      <c r="D55" s="49" t="s">
        <v>907</v>
      </c>
      <c r="E55" s="81" t="s">
        <v>908</v>
      </c>
      <c r="F55" s="271">
        <v>45309</v>
      </c>
      <c r="G55" s="272">
        <v>45344</v>
      </c>
      <c r="H55" s="272">
        <v>45365</v>
      </c>
      <c r="I55" s="272" t="s">
        <v>1299</v>
      </c>
      <c r="J55" s="49" t="s">
        <v>33</v>
      </c>
      <c r="K55" s="49" t="s">
        <v>332</v>
      </c>
      <c r="L55" s="49" t="s">
        <v>1550</v>
      </c>
      <c r="CG55" s="141" t="s">
        <v>860</v>
      </c>
      <c r="CH55" s="221"/>
      <c r="CI55" s="57"/>
      <c r="CJ55" s="60"/>
      <c r="CK55" s="215"/>
      <c r="CL55" s="61"/>
      <c r="CM55" s="79" t="s">
        <v>861</v>
      </c>
      <c r="CN55" s="245"/>
    </row>
    <row r="56" spans="2:142" ht="45">
      <c r="B56" s="47" t="s">
        <v>864</v>
      </c>
      <c r="C56" s="48" t="s">
        <v>1436</v>
      </c>
      <c r="D56" s="49" t="s">
        <v>909</v>
      </c>
      <c r="E56" s="81" t="s">
        <v>910</v>
      </c>
      <c r="F56" s="271">
        <v>45309</v>
      </c>
      <c r="G56" s="272">
        <v>45344</v>
      </c>
      <c r="H56" s="272">
        <v>45365</v>
      </c>
      <c r="I56" s="272" t="s">
        <v>1299</v>
      </c>
      <c r="J56" s="49" t="s">
        <v>33</v>
      </c>
      <c r="K56" s="49" t="s">
        <v>332</v>
      </c>
      <c r="L56" s="49" t="s">
        <v>1550</v>
      </c>
      <c r="CG56" s="141" t="s">
        <v>860</v>
      </c>
      <c r="CH56" s="221"/>
      <c r="CI56" s="57"/>
      <c r="CJ56" s="60"/>
      <c r="CK56" s="215"/>
      <c r="CL56" s="61"/>
      <c r="CM56" s="79" t="s">
        <v>861</v>
      </c>
    </row>
    <row r="57" spans="2:142" ht="45">
      <c r="B57" s="47" t="s">
        <v>864</v>
      </c>
      <c r="C57" s="48" t="s">
        <v>1436</v>
      </c>
      <c r="D57" s="49" t="s">
        <v>911</v>
      </c>
      <c r="E57" s="81" t="s">
        <v>912</v>
      </c>
      <c r="F57" s="271">
        <v>45309</v>
      </c>
      <c r="G57" s="272">
        <v>45344</v>
      </c>
      <c r="H57" s="272">
        <v>45365</v>
      </c>
      <c r="I57" s="272" t="s">
        <v>1299</v>
      </c>
      <c r="J57" s="49" t="s">
        <v>33</v>
      </c>
      <c r="K57" s="49" t="s">
        <v>332</v>
      </c>
      <c r="L57" s="49" t="s">
        <v>1550</v>
      </c>
      <c r="CG57" s="141" t="s">
        <v>860</v>
      </c>
      <c r="CH57" s="221"/>
      <c r="CI57" s="57"/>
      <c r="CJ57" s="60"/>
      <c r="CK57" s="215"/>
      <c r="CL57" s="61"/>
      <c r="CM57" s="79" t="s">
        <v>861</v>
      </c>
    </row>
    <row r="58" spans="2:142" ht="45">
      <c r="B58" s="47" t="s">
        <v>864</v>
      </c>
      <c r="C58" s="48" t="s">
        <v>1551</v>
      </c>
      <c r="D58" s="49" t="s">
        <v>913</v>
      </c>
      <c r="E58" s="81" t="s">
        <v>1477</v>
      </c>
      <c r="F58" s="273">
        <v>45309</v>
      </c>
      <c r="G58" s="274">
        <v>45344</v>
      </c>
      <c r="H58" s="274">
        <v>45365</v>
      </c>
      <c r="I58" s="274" t="s">
        <v>1299</v>
      </c>
      <c r="J58" s="49" t="s">
        <v>33</v>
      </c>
      <c r="K58" s="49" t="s">
        <v>332</v>
      </c>
      <c r="L58" s="49" t="s">
        <v>1550</v>
      </c>
      <c r="CC58" s="246"/>
      <c r="CD58" s="263"/>
      <c r="CE58" s="265"/>
      <c r="CF58" s="96"/>
      <c r="CG58" s="145" t="s">
        <v>860</v>
      </c>
      <c r="CH58" s="262"/>
      <c r="CI58" s="80"/>
      <c r="CJ58" s="80"/>
      <c r="CK58" s="219"/>
      <c r="CL58" s="80"/>
      <c r="CM58" s="55" t="s">
        <v>861</v>
      </c>
    </row>
    <row r="59" spans="2:142" ht="45">
      <c r="B59" s="47" t="s">
        <v>864</v>
      </c>
      <c r="C59" s="48" t="s">
        <v>1552</v>
      </c>
      <c r="D59" s="49" t="s">
        <v>1553</v>
      </c>
      <c r="E59" s="81" t="s">
        <v>1554</v>
      </c>
      <c r="F59" s="273">
        <v>45309</v>
      </c>
      <c r="G59" s="274">
        <v>45344</v>
      </c>
      <c r="H59" s="274">
        <v>45365</v>
      </c>
      <c r="I59" s="274" t="s">
        <v>1299</v>
      </c>
      <c r="J59" s="49" t="s">
        <v>33</v>
      </c>
      <c r="K59" s="49" t="s">
        <v>332</v>
      </c>
      <c r="L59" s="49" t="s">
        <v>1550</v>
      </c>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0"/>
      <c r="BK59" s="80"/>
      <c r="BL59" s="80"/>
      <c r="BM59" s="80"/>
      <c r="BN59" s="80"/>
      <c r="BO59" s="80"/>
      <c r="BP59" s="80"/>
      <c r="BQ59" s="80"/>
      <c r="BR59" s="80"/>
      <c r="BS59" s="80"/>
      <c r="BT59" s="80"/>
      <c r="BU59" s="80"/>
      <c r="BV59" s="80"/>
      <c r="BW59" s="80"/>
      <c r="BX59" s="80"/>
      <c r="BY59" s="80"/>
      <c r="BZ59" s="80"/>
      <c r="CA59" s="80"/>
      <c r="CB59" s="80"/>
      <c r="CC59" s="64"/>
      <c r="CD59" s="61"/>
      <c r="CE59" s="64"/>
      <c r="CF59" s="77"/>
      <c r="CG59" s="145" t="s">
        <v>860</v>
      </c>
      <c r="CH59" s="262"/>
      <c r="CI59" s="80"/>
      <c r="CJ59" s="80"/>
      <c r="CK59" s="219"/>
      <c r="CL59" s="80"/>
      <c r="CM59" s="55" t="s">
        <v>861</v>
      </c>
      <c r="CN59" s="80"/>
      <c r="CO59" s="80"/>
      <c r="CP59" s="219"/>
      <c r="CQ59" s="80"/>
      <c r="CR59" s="80"/>
      <c r="CS59" s="80"/>
      <c r="CT59" s="80"/>
      <c r="CU59" s="80"/>
      <c r="CV59" s="80"/>
      <c r="CW59" s="80"/>
      <c r="CX59" s="80"/>
      <c r="CY59" s="80"/>
      <c r="CZ59" s="80"/>
      <c r="DA59" s="80"/>
      <c r="DB59" s="80"/>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c r="ED59" s="80"/>
      <c r="EE59" s="80"/>
      <c r="EF59" s="80"/>
      <c r="EG59" s="80"/>
      <c r="EH59" s="80"/>
      <c r="EI59" s="80"/>
      <c r="EJ59" s="80"/>
      <c r="EK59" s="80"/>
      <c r="EL59" s="80"/>
    </row>
    <row r="60" spans="2:142" ht="45">
      <c r="B60" s="47" t="s">
        <v>864</v>
      </c>
      <c r="C60" s="48" t="s">
        <v>1551</v>
      </c>
      <c r="D60" s="49" t="s">
        <v>946</v>
      </c>
      <c r="E60" s="81" t="s">
        <v>947</v>
      </c>
      <c r="F60" s="273">
        <v>45309</v>
      </c>
      <c r="G60" s="274">
        <v>45344</v>
      </c>
      <c r="H60" s="274">
        <v>45365</v>
      </c>
      <c r="I60" s="274" t="s">
        <v>1299</v>
      </c>
      <c r="J60" s="49" t="s">
        <v>33</v>
      </c>
      <c r="K60" s="49" t="s">
        <v>332</v>
      </c>
      <c r="L60" s="49" t="s">
        <v>1550</v>
      </c>
      <c r="CC60" s="246"/>
      <c r="CD60" s="263"/>
      <c r="CE60" s="265"/>
      <c r="CF60" s="96"/>
      <c r="CG60" s="145" t="s">
        <v>860</v>
      </c>
      <c r="CH60" s="262"/>
      <c r="CI60" s="80"/>
      <c r="CJ60" s="80"/>
      <c r="CK60" s="219"/>
      <c r="CL60" s="80"/>
      <c r="CM60" s="55" t="s">
        <v>861</v>
      </c>
    </row>
    <row r="61" spans="2:142" ht="45">
      <c r="B61" s="47" t="s">
        <v>864</v>
      </c>
      <c r="C61" s="48" t="s">
        <v>1309</v>
      </c>
      <c r="D61" s="49" t="s">
        <v>959</v>
      </c>
      <c r="E61" s="81" t="s">
        <v>960</v>
      </c>
      <c r="F61" s="273">
        <v>45309</v>
      </c>
      <c r="G61" s="274">
        <v>45344</v>
      </c>
      <c r="H61" s="274">
        <v>45365</v>
      </c>
      <c r="I61" s="274" t="s">
        <v>1299</v>
      </c>
      <c r="J61" s="49" t="s">
        <v>33</v>
      </c>
      <c r="K61" s="49" t="s">
        <v>332</v>
      </c>
      <c r="L61" s="49" t="s">
        <v>1550</v>
      </c>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219"/>
      <c r="AR61" s="80"/>
      <c r="AS61" s="80"/>
      <c r="AT61" s="80"/>
      <c r="AU61" s="80"/>
      <c r="AV61" s="80"/>
      <c r="AW61" s="80"/>
      <c r="AX61" s="80"/>
      <c r="AY61" s="80"/>
      <c r="AZ61" s="80"/>
      <c r="BA61" s="80"/>
      <c r="BB61" s="80"/>
      <c r="BC61" s="80"/>
      <c r="BD61" s="80"/>
      <c r="BE61" s="80"/>
      <c r="BF61" s="80"/>
      <c r="BG61" s="80"/>
      <c r="BH61" s="80"/>
      <c r="BI61" s="80"/>
      <c r="BJ61" s="80"/>
      <c r="BK61" s="80"/>
      <c r="BL61" s="80"/>
      <c r="BM61" s="80"/>
      <c r="BN61" s="80"/>
      <c r="BO61" s="80"/>
      <c r="BP61" s="80"/>
      <c r="BQ61" s="80"/>
      <c r="BR61" s="80"/>
      <c r="BS61" s="80"/>
      <c r="BT61" s="80"/>
      <c r="BU61" s="80"/>
      <c r="BV61" s="80"/>
      <c r="BW61" s="80"/>
      <c r="BX61" s="80"/>
      <c r="BY61" s="80"/>
      <c r="BZ61" s="80"/>
      <c r="CA61" s="80"/>
      <c r="CB61" s="80"/>
      <c r="CC61" s="64"/>
      <c r="CD61" s="61"/>
      <c r="CE61" s="64"/>
      <c r="CF61" s="77"/>
      <c r="CG61" s="145" t="s">
        <v>860</v>
      </c>
      <c r="CH61" s="262"/>
      <c r="CI61" s="80"/>
      <c r="CJ61" s="80"/>
      <c r="CK61" s="219"/>
      <c r="CL61" s="80"/>
      <c r="CM61" s="55" t="s">
        <v>861</v>
      </c>
      <c r="CN61" s="80"/>
      <c r="CO61" s="80"/>
      <c r="CP61" s="80"/>
      <c r="CQ61" s="219"/>
      <c r="CR61" s="80"/>
      <c r="CS61" s="80"/>
      <c r="CT61" s="80"/>
      <c r="CU61" s="80"/>
      <c r="CV61" s="80"/>
      <c r="CW61" s="80"/>
      <c r="CX61" s="80"/>
      <c r="CY61" s="219"/>
      <c r="CZ61" s="80"/>
      <c r="DA61" s="80"/>
      <c r="DB61" s="80"/>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c r="ED61" s="80"/>
      <c r="EE61" s="80"/>
      <c r="EF61" s="80"/>
      <c r="EG61" s="80"/>
      <c r="EH61" s="80"/>
      <c r="EI61" s="80"/>
      <c r="EJ61" s="80"/>
      <c r="EK61" s="80"/>
      <c r="EL61" s="80"/>
    </row>
    <row r="62" spans="2:142" ht="45">
      <c r="B62" s="47" t="s">
        <v>864</v>
      </c>
      <c r="C62" s="48" t="s">
        <v>1309</v>
      </c>
      <c r="D62" s="49" t="s">
        <v>961</v>
      </c>
      <c r="E62" s="81" t="s">
        <v>962</v>
      </c>
      <c r="F62" s="273">
        <v>45309</v>
      </c>
      <c r="G62" s="274">
        <v>45344</v>
      </c>
      <c r="H62" s="274">
        <v>45365</v>
      </c>
      <c r="I62" s="274" t="s">
        <v>1299</v>
      </c>
      <c r="J62" s="49" t="s">
        <v>33</v>
      </c>
      <c r="K62" s="49" t="s">
        <v>332</v>
      </c>
      <c r="L62" s="49" t="s">
        <v>1550</v>
      </c>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219"/>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c r="BP62" s="80"/>
      <c r="BQ62" s="80"/>
      <c r="BR62" s="80"/>
      <c r="BS62" s="80"/>
      <c r="BT62" s="80"/>
      <c r="BU62" s="80"/>
      <c r="BV62" s="80"/>
      <c r="BW62" s="80"/>
      <c r="BX62" s="80"/>
      <c r="BY62" s="80"/>
      <c r="BZ62" s="80"/>
      <c r="CA62" s="80"/>
      <c r="CB62" s="80"/>
      <c r="CC62" s="64"/>
      <c r="CD62" s="61"/>
      <c r="CE62" s="64"/>
      <c r="CF62" s="77"/>
      <c r="CG62" s="145" t="s">
        <v>860</v>
      </c>
      <c r="CH62" s="262"/>
      <c r="CI62" s="80"/>
      <c r="CJ62" s="80"/>
      <c r="CK62" s="219"/>
      <c r="CL62" s="80"/>
      <c r="CM62" s="55" t="s">
        <v>861</v>
      </c>
      <c r="CN62" s="80"/>
      <c r="CO62" s="80"/>
      <c r="CP62" s="80"/>
      <c r="CQ62" s="219"/>
      <c r="CR62" s="80"/>
      <c r="CS62" s="80"/>
      <c r="CT62" s="80"/>
      <c r="CU62" s="80"/>
      <c r="CV62" s="80"/>
      <c r="CW62" s="80"/>
      <c r="CX62" s="80"/>
      <c r="CY62" s="219"/>
      <c r="CZ62" s="80"/>
      <c r="DA62" s="80"/>
      <c r="DB62" s="80"/>
      <c r="DC62" s="80"/>
      <c r="DD62" s="80"/>
      <c r="DE62" s="80"/>
      <c r="DF62" s="80"/>
      <c r="DG62" s="80"/>
      <c r="DH62" s="80"/>
      <c r="DI62" s="80"/>
      <c r="DJ62" s="80"/>
      <c r="DK62" s="80"/>
      <c r="DL62" s="80"/>
      <c r="DM62" s="80"/>
      <c r="DN62" s="80"/>
      <c r="DO62" s="80"/>
      <c r="DP62" s="80"/>
      <c r="DQ62" s="80"/>
      <c r="DR62" s="80"/>
      <c r="DS62" s="80"/>
      <c r="DT62" s="80"/>
      <c r="DU62" s="80"/>
      <c r="DV62" s="80"/>
      <c r="DW62" s="80"/>
      <c r="DX62" s="80"/>
      <c r="DY62" s="80"/>
      <c r="DZ62" s="80"/>
      <c r="EA62" s="80"/>
      <c r="EB62" s="80"/>
      <c r="EC62" s="80"/>
      <c r="ED62" s="80"/>
      <c r="EE62" s="80"/>
      <c r="EF62" s="80"/>
      <c r="EG62" s="80"/>
      <c r="EH62" s="80"/>
      <c r="EI62" s="80"/>
      <c r="EJ62" s="80"/>
      <c r="EK62" s="80"/>
      <c r="EL62" s="80"/>
    </row>
    <row r="63" spans="2:142" ht="45">
      <c r="B63" s="47" t="s">
        <v>864</v>
      </c>
      <c r="C63" s="48" t="s">
        <v>1330</v>
      </c>
      <c r="D63" s="49" t="s">
        <v>1430</v>
      </c>
      <c r="E63" s="81" t="s">
        <v>1431</v>
      </c>
      <c r="F63" s="273">
        <v>45309</v>
      </c>
      <c r="G63" s="274">
        <v>45344</v>
      </c>
      <c r="H63" s="274">
        <v>45365</v>
      </c>
      <c r="I63" s="274" t="s">
        <v>1299</v>
      </c>
      <c r="J63" s="49" t="s">
        <v>33</v>
      </c>
      <c r="K63" s="49" t="s">
        <v>332</v>
      </c>
      <c r="L63" s="49" t="s">
        <v>1550</v>
      </c>
      <c r="CC63" s="246"/>
      <c r="CD63" s="263"/>
      <c r="CE63" s="265"/>
      <c r="CF63" s="96"/>
      <c r="CG63" s="145" t="s">
        <v>860</v>
      </c>
      <c r="CH63" s="262"/>
      <c r="CI63" s="80"/>
      <c r="CJ63" s="80"/>
      <c r="CK63" s="219"/>
      <c r="CL63" s="80"/>
      <c r="CM63" s="55" t="s">
        <v>861</v>
      </c>
      <c r="CN63" s="219"/>
    </row>
    <row r="64" spans="2:142" ht="45">
      <c r="B64" s="47" t="s">
        <v>864</v>
      </c>
      <c r="C64" s="48" t="s">
        <v>1309</v>
      </c>
      <c r="D64" s="49" t="s">
        <v>967</v>
      </c>
      <c r="E64" s="81" t="s">
        <v>968</v>
      </c>
      <c r="F64" s="273">
        <v>45309</v>
      </c>
      <c r="G64" s="274">
        <v>45344</v>
      </c>
      <c r="H64" s="274">
        <v>45365</v>
      </c>
      <c r="I64" s="274" t="s">
        <v>1299</v>
      </c>
      <c r="J64" s="49" t="s">
        <v>33</v>
      </c>
      <c r="K64" s="49" t="s">
        <v>332</v>
      </c>
      <c r="L64" s="49" t="s">
        <v>1550</v>
      </c>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219"/>
      <c r="BI64" s="80"/>
      <c r="BJ64" s="80"/>
      <c r="BK64" s="80"/>
      <c r="BL64" s="80"/>
      <c r="BM64" s="80"/>
      <c r="BN64" s="80"/>
      <c r="BO64" s="80"/>
      <c r="BP64" s="80"/>
      <c r="BQ64" s="80"/>
      <c r="BR64" s="80"/>
      <c r="BS64" s="80"/>
      <c r="BT64" s="80"/>
      <c r="BU64" s="80"/>
      <c r="BV64" s="80"/>
      <c r="BW64" s="80"/>
      <c r="BX64" s="80"/>
      <c r="BY64" s="80"/>
      <c r="BZ64" s="80"/>
      <c r="CA64" s="80"/>
      <c r="CB64" s="80"/>
      <c r="CC64" s="64"/>
      <c r="CD64" s="61"/>
      <c r="CE64" s="64"/>
      <c r="CF64" s="77"/>
      <c r="CG64" s="145" t="s">
        <v>860</v>
      </c>
      <c r="CH64" s="262"/>
      <c r="CI64" s="80"/>
      <c r="CJ64" s="80"/>
      <c r="CK64" s="219"/>
      <c r="CL64" s="80"/>
      <c r="CM64" s="55" t="s">
        <v>861</v>
      </c>
      <c r="CN64" s="80"/>
      <c r="CO64" s="80"/>
      <c r="CP64" s="80"/>
      <c r="CQ64" s="80"/>
      <c r="CR64" s="80"/>
      <c r="CS64" s="80"/>
      <c r="CT64" s="80"/>
      <c r="CU64" s="80"/>
      <c r="CV64" s="80"/>
      <c r="CW64" s="80"/>
      <c r="CX64" s="219"/>
      <c r="CY64" s="80"/>
      <c r="CZ64" s="80"/>
      <c r="DA64" s="219"/>
      <c r="DB64" s="80"/>
      <c r="DC64" s="80"/>
      <c r="DD64" s="80"/>
      <c r="DE64" s="80"/>
      <c r="DF64" s="80"/>
      <c r="DG64" s="80"/>
      <c r="DH64" s="80"/>
      <c r="DI64" s="80"/>
      <c r="DJ64" s="80"/>
      <c r="DK64" s="80"/>
      <c r="DL64" s="80"/>
      <c r="DM64" s="80"/>
      <c r="DN64" s="80"/>
      <c r="DO64" s="80"/>
      <c r="DP64" s="219"/>
      <c r="DQ64" s="80"/>
      <c r="DR64" s="80"/>
      <c r="DS64" s="80"/>
      <c r="DT64" s="80"/>
      <c r="DU64" s="80"/>
      <c r="DV64" s="80"/>
      <c r="DW64" s="80"/>
      <c r="DX64" s="80"/>
      <c r="DY64" s="80"/>
      <c r="DZ64" s="80"/>
      <c r="EA64" s="80"/>
      <c r="EB64" s="80"/>
      <c r="EC64" s="80"/>
      <c r="ED64" s="80"/>
      <c r="EE64" s="80"/>
      <c r="EF64" s="80"/>
      <c r="EG64" s="80"/>
      <c r="EH64" s="80"/>
      <c r="EI64" s="80"/>
      <c r="EJ64" s="80"/>
      <c r="EK64" s="80"/>
      <c r="EL64" s="80"/>
    </row>
    <row r="65" spans="2:142" ht="45">
      <c r="B65" s="47" t="s">
        <v>864</v>
      </c>
      <c r="C65" s="48" t="s">
        <v>1320</v>
      </c>
      <c r="D65" s="49" t="s">
        <v>1469</v>
      </c>
      <c r="E65" s="81" t="s">
        <v>1470</v>
      </c>
      <c r="F65" s="273">
        <v>45309</v>
      </c>
      <c r="G65" s="274">
        <v>45344</v>
      </c>
      <c r="H65" s="274">
        <v>45365</v>
      </c>
      <c r="I65" s="274" t="s">
        <v>1299</v>
      </c>
      <c r="J65" s="49" t="s">
        <v>33</v>
      </c>
      <c r="K65" s="49" t="s">
        <v>332</v>
      </c>
      <c r="L65" s="49" t="s">
        <v>1550</v>
      </c>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219"/>
      <c r="AL65" s="80"/>
      <c r="AM65" s="219"/>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80"/>
      <c r="BU65" s="80"/>
      <c r="BV65" s="80"/>
      <c r="BW65" s="80"/>
      <c r="BX65" s="80"/>
      <c r="BY65" s="80"/>
      <c r="BZ65" s="80"/>
      <c r="CA65" s="80"/>
      <c r="CB65" s="80"/>
      <c r="CC65" s="64"/>
      <c r="CD65" s="61"/>
      <c r="CE65" s="64"/>
      <c r="CF65" s="77"/>
      <c r="CG65" s="145" t="s">
        <v>860</v>
      </c>
      <c r="CH65" s="262"/>
      <c r="CI65" s="80"/>
      <c r="CJ65" s="80"/>
      <c r="CK65" s="219"/>
      <c r="CL65" s="80"/>
      <c r="CM65" s="55" t="s">
        <v>861</v>
      </c>
      <c r="CN65" s="80"/>
      <c r="CO65" s="219"/>
      <c r="CP65" s="80"/>
      <c r="CQ65" s="80"/>
      <c r="CR65" s="80"/>
      <c r="CS65" s="80"/>
      <c r="CT65" s="80"/>
      <c r="CU65" s="219"/>
      <c r="CV65" s="80"/>
      <c r="CW65" s="80"/>
      <c r="CX65" s="80"/>
      <c r="CY65" s="80"/>
      <c r="CZ65" s="80"/>
      <c r="DA65" s="80"/>
      <c r="DB65" s="80"/>
      <c r="DC65" s="80"/>
      <c r="DD65" s="80"/>
      <c r="DE65" s="80"/>
      <c r="DF65" s="80"/>
      <c r="DG65" s="80"/>
      <c r="DH65" s="80"/>
      <c r="DI65" s="80"/>
      <c r="DJ65" s="80"/>
      <c r="DK65" s="80"/>
      <c r="DL65" s="80"/>
      <c r="DM65" s="80"/>
      <c r="DN65" s="80"/>
      <c r="DO65" s="80"/>
      <c r="DP65" s="80"/>
      <c r="DQ65" s="80"/>
      <c r="DR65" s="80"/>
      <c r="DS65" s="80"/>
      <c r="DT65" s="80"/>
      <c r="DU65" s="80"/>
      <c r="DV65" s="80"/>
      <c r="DW65" s="80"/>
      <c r="DX65" s="80"/>
      <c r="DY65" s="80"/>
      <c r="DZ65" s="80"/>
      <c r="EA65" s="80"/>
      <c r="EB65" s="80"/>
      <c r="EC65" s="80"/>
      <c r="ED65" s="80"/>
      <c r="EE65" s="80"/>
      <c r="EF65" s="80"/>
      <c r="EG65" s="80"/>
      <c r="EH65" s="80"/>
      <c r="EI65" s="80"/>
      <c r="EJ65" s="80"/>
      <c r="EK65" s="80"/>
      <c r="EL65" s="80"/>
    </row>
    <row r="66" spans="2:142" ht="45">
      <c r="B66" s="47" t="s">
        <v>864</v>
      </c>
      <c r="C66" s="48" t="s">
        <v>1320</v>
      </c>
      <c r="D66" s="49" t="s">
        <v>1471</v>
      </c>
      <c r="E66" s="81" t="s">
        <v>1472</v>
      </c>
      <c r="F66" s="271">
        <v>45309</v>
      </c>
      <c r="G66" s="272">
        <v>45344</v>
      </c>
      <c r="H66" s="272">
        <v>45365</v>
      </c>
      <c r="I66" s="272" t="s">
        <v>1299</v>
      </c>
      <c r="J66" s="49" t="s">
        <v>33</v>
      </c>
      <c r="K66" s="49" t="s">
        <v>332</v>
      </c>
      <c r="L66" s="49" t="s">
        <v>1550</v>
      </c>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219"/>
      <c r="AL66" s="80"/>
      <c r="AM66" s="80"/>
      <c r="AN66" s="80"/>
      <c r="AO66" s="219"/>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80"/>
      <c r="BU66" s="80"/>
      <c r="BV66" s="80"/>
      <c r="BW66" s="80"/>
      <c r="BX66" s="80"/>
      <c r="BY66" s="80"/>
      <c r="BZ66" s="80"/>
      <c r="CA66" s="80"/>
      <c r="CB66" s="80"/>
      <c r="CC66" s="80"/>
      <c r="CD66" s="80"/>
      <c r="CE66" s="80"/>
      <c r="CF66" s="80"/>
      <c r="CG66" s="141" t="s">
        <v>860</v>
      </c>
      <c r="CH66" s="221"/>
      <c r="CI66" s="57"/>
      <c r="CJ66" s="60"/>
      <c r="CK66" s="215"/>
      <c r="CL66" s="61"/>
      <c r="CM66" s="79" t="s">
        <v>861</v>
      </c>
      <c r="CN66" s="80"/>
      <c r="CO66" s="219"/>
      <c r="CP66" s="80"/>
      <c r="CQ66" s="80"/>
      <c r="CR66" s="80"/>
      <c r="CS66" s="80"/>
      <c r="CT66" s="80"/>
      <c r="CU66" s="80"/>
      <c r="CV66" s="80"/>
      <c r="CW66" s="219"/>
      <c r="CX66" s="80"/>
      <c r="CY66" s="80"/>
      <c r="CZ66" s="80"/>
      <c r="DA66" s="80"/>
      <c r="DB66" s="80"/>
      <c r="DC66" s="80"/>
      <c r="DD66" s="80"/>
      <c r="DE66" s="80"/>
      <c r="DF66" s="80"/>
      <c r="DG66" s="80"/>
      <c r="DH66" s="80"/>
      <c r="DI66" s="80"/>
      <c r="DJ66" s="80"/>
      <c r="DK66" s="80"/>
      <c r="DL66" s="80"/>
      <c r="DM66" s="80"/>
      <c r="DN66" s="80"/>
      <c r="DO66" s="80"/>
      <c r="DP66" s="80"/>
      <c r="DQ66" s="80"/>
      <c r="DR66" s="80"/>
      <c r="DS66" s="80"/>
      <c r="DT66" s="80"/>
      <c r="DU66" s="80"/>
      <c r="DV66" s="80"/>
      <c r="DW66" s="80"/>
      <c r="DX66" s="80"/>
      <c r="DY66" s="80"/>
      <c r="DZ66" s="80"/>
      <c r="EA66" s="80"/>
      <c r="EB66" s="80"/>
      <c r="EC66" s="80"/>
      <c r="ED66" s="80"/>
      <c r="EE66" s="80"/>
      <c r="EF66" s="80"/>
      <c r="EG66" s="80"/>
      <c r="EH66" s="80"/>
      <c r="EI66" s="80"/>
      <c r="EJ66" s="80"/>
      <c r="EK66" s="80"/>
      <c r="EL66" s="80"/>
    </row>
    <row r="67" spans="2:142" ht="45">
      <c r="B67" s="47" t="s">
        <v>864</v>
      </c>
      <c r="C67" s="48" t="s">
        <v>1309</v>
      </c>
      <c r="D67" s="49" t="s">
        <v>866</v>
      </c>
      <c r="E67" s="81" t="s">
        <v>867</v>
      </c>
      <c r="F67" s="273">
        <v>45309</v>
      </c>
      <c r="G67" s="274">
        <v>45344</v>
      </c>
      <c r="H67" s="274">
        <v>45365</v>
      </c>
      <c r="I67" s="274" t="s">
        <v>1299</v>
      </c>
      <c r="J67" s="49" t="s">
        <v>33</v>
      </c>
      <c r="K67" s="49" t="s">
        <v>332</v>
      </c>
      <c r="L67" s="49" t="s">
        <v>1550</v>
      </c>
      <c r="CC67" s="246"/>
      <c r="CD67" s="263"/>
      <c r="CE67" s="265"/>
      <c r="CF67" s="96"/>
      <c r="CG67" s="145" t="s">
        <v>860</v>
      </c>
      <c r="CH67" s="262"/>
      <c r="CI67" s="80"/>
      <c r="CJ67" s="80"/>
      <c r="CK67" s="219"/>
      <c r="CL67" s="80"/>
      <c r="CM67" s="55" t="s">
        <v>861</v>
      </c>
    </row>
    <row r="68" spans="2:142" ht="45">
      <c r="B68" s="47" t="s">
        <v>864</v>
      </c>
      <c r="C68" s="48" t="s">
        <v>1309</v>
      </c>
      <c r="D68" s="49" t="s">
        <v>871</v>
      </c>
      <c r="E68" s="81" t="s">
        <v>872</v>
      </c>
      <c r="F68" s="273">
        <v>45309</v>
      </c>
      <c r="G68" s="274">
        <v>45344</v>
      </c>
      <c r="H68" s="274">
        <v>45365</v>
      </c>
      <c r="I68" s="274" t="s">
        <v>1299</v>
      </c>
      <c r="J68" s="49" t="s">
        <v>33</v>
      </c>
      <c r="K68" s="49" t="s">
        <v>332</v>
      </c>
      <c r="L68" s="49" t="s">
        <v>1550</v>
      </c>
      <c r="CC68" s="246"/>
      <c r="CD68" s="263"/>
      <c r="CE68" s="265"/>
      <c r="CF68" s="96"/>
      <c r="CG68" s="145" t="s">
        <v>860</v>
      </c>
      <c r="CH68" s="262"/>
      <c r="CI68" s="80"/>
      <c r="CJ68" s="80"/>
      <c r="CK68" s="219"/>
      <c r="CL68" s="80"/>
      <c r="CM68" s="55" t="s">
        <v>861</v>
      </c>
    </row>
    <row r="69" spans="2:142" ht="45">
      <c r="B69" s="47" t="s">
        <v>864</v>
      </c>
      <c r="C69" s="48" t="s">
        <v>1437</v>
      </c>
      <c r="D69" s="49" t="s">
        <v>903</v>
      </c>
      <c r="E69" s="81" t="s">
        <v>904</v>
      </c>
      <c r="F69" s="273">
        <v>45309</v>
      </c>
      <c r="G69" s="274">
        <v>45344</v>
      </c>
      <c r="H69" s="274">
        <v>45365</v>
      </c>
      <c r="I69" s="274" t="s">
        <v>1299</v>
      </c>
      <c r="J69" s="49" t="s">
        <v>33</v>
      </c>
      <c r="K69" s="49" t="s">
        <v>332</v>
      </c>
      <c r="L69" s="49" t="s">
        <v>1550</v>
      </c>
      <c r="CC69" s="246"/>
      <c r="CD69" s="263"/>
      <c r="CE69" s="265"/>
      <c r="CF69" s="96"/>
      <c r="CG69" s="145" t="s">
        <v>860</v>
      </c>
      <c r="CH69" s="262"/>
      <c r="CI69" s="80"/>
      <c r="CJ69" s="80"/>
      <c r="CK69" s="219"/>
      <c r="CL69" s="80"/>
      <c r="CM69" s="55" t="s">
        <v>861</v>
      </c>
    </row>
    <row r="70" spans="2:142" ht="45">
      <c r="B70" s="47" t="s">
        <v>864</v>
      </c>
      <c r="C70" s="48" t="s">
        <v>1414</v>
      </c>
      <c r="D70" s="49" t="s">
        <v>1473</v>
      </c>
      <c r="E70" s="81" t="s">
        <v>1474</v>
      </c>
      <c r="F70" s="273">
        <v>45309</v>
      </c>
      <c r="G70" s="274">
        <v>45344</v>
      </c>
      <c r="H70" s="274">
        <v>45365</v>
      </c>
      <c r="I70" s="274" t="s">
        <v>1299</v>
      </c>
      <c r="J70" s="49" t="s">
        <v>33</v>
      </c>
      <c r="K70" s="49" t="s">
        <v>332</v>
      </c>
      <c r="L70" s="49" t="s">
        <v>1550</v>
      </c>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219"/>
      <c r="AL70" s="80"/>
      <c r="AM70" s="80"/>
      <c r="AN70" s="80"/>
      <c r="AO70" s="219"/>
      <c r="AP70" s="80"/>
      <c r="AQ70" s="80"/>
      <c r="AR70" s="80"/>
      <c r="AS70" s="80"/>
      <c r="AT70" s="80"/>
      <c r="AU70" s="80"/>
      <c r="AV70" s="80"/>
      <c r="AW70" s="80"/>
      <c r="AX70" s="80"/>
      <c r="AY70" s="80"/>
      <c r="AZ70" s="80"/>
      <c r="BA70" s="80"/>
      <c r="BB70" s="80"/>
      <c r="BC70" s="80"/>
      <c r="BD70" s="80"/>
      <c r="BE70" s="80"/>
      <c r="BF70" s="80"/>
      <c r="BG70" s="80"/>
      <c r="BH70" s="80"/>
      <c r="BI70" s="80"/>
      <c r="BJ70" s="80"/>
      <c r="BK70" s="80"/>
      <c r="BL70" s="80"/>
      <c r="BM70" s="80"/>
      <c r="BN70" s="80"/>
      <c r="BO70" s="80"/>
      <c r="BP70" s="80"/>
      <c r="BQ70" s="80"/>
      <c r="BR70" s="80"/>
      <c r="BS70" s="80"/>
      <c r="BT70" s="80"/>
      <c r="BU70" s="80"/>
      <c r="BV70" s="80"/>
      <c r="BW70" s="80"/>
      <c r="BX70" s="80"/>
      <c r="BY70" s="80"/>
      <c r="BZ70" s="80"/>
      <c r="CA70" s="80"/>
      <c r="CB70" s="80"/>
      <c r="CC70" s="64"/>
      <c r="CD70" s="61"/>
      <c r="CE70" s="64"/>
      <c r="CF70" s="77"/>
      <c r="CG70" s="145" t="s">
        <v>860</v>
      </c>
      <c r="CH70" s="262"/>
      <c r="CI70" s="80"/>
      <c r="CJ70" s="80"/>
      <c r="CK70" s="219"/>
      <c r="CL70" s="80"/>
      <c r="CM70" s="55" t="s">
        <v>861</v>
      </c>
      <c r="CN70" s="80"/>
      <c r="CO70" s="219"/>
      <c r="CP70" s="80"/>
      <c r="CQ70" s="80"/>
      <c r="CR70" s="80"/>
      <c r="CS70" s="80"/>
      <c r="CT70" s="80"/>
      <c r="CU70" s="80"/>
      <c r="CV70" s="80"/>
      <c r="CW70" s="219"/>
      <c r="CX70" s="80"/>
      <c r="CY70" s="80"/>
      <c r="CZ70" s="80"/>
      <c r="DA70" s="80"/>
      <c r="DB70" s="80"/>
      <c r="DC70" s="80"/>
      <c r="DD70" s="80"/>
      <c r="DE70" s="80"/>
      <c r="DF70" s="80"/>
      <c r="DG70" s="80"/>
      <c r="DH70" s="80"/>
      <c r="DI70" s="80"/>
      <c r="DJ70" s="80"/>
      <c r="DK70" s="80"/>
      <c r="DL70" s="80"/>
      <c r="DM70" s="80"/>
      <c r="DN70" s="80"/>
      <c r="DO70" s="80"/>
      <c r="DP70" s="80"/>
      <c r="DQ70" s="80"/>
      <c r="DR70" s="80"/>
      <c r="DS70" s="80"/>
      <c r="DT70" s="80"/>
      <c r="DU70" s="80"/>
      <c r="DV70" s="80"/>
      <c r="DW70" s="80"/>
      <c r="DX70" s="80"/>
      <c r="DY70" s="80"/>
      <c r="DZ70" s="80"/>
      <c r="EA70" s="80"/>
      <c r="EB70" s="80"/>
      <c r="EC70" s="80"/>
      <c r="ED70" s="80"/>
      <c r="EE70" s="80"/>
      <c r="EF70" s="80"/>
      <c r="EG70" s="80"/>
      <c r="EH70" s="80"/>
      <c r="EI70" s="80"/>
      <c r="EJ70" s="80"/>
      <c r="EK70" s="80"/>
      <c r="EL70" s="80"/>
    </row>
    <row r="71" spans="2:142" ht="45">
      <c r="B71" s="47" t="s">
        <v>864</v>
      </c>
      <c r="C71" s="48" t="s">
        <v>1551</v>
      </c>
      <c r="D71" s="49" t="s">
        <v>905</v>
      </c>
      <c r="E71" s="81" t="s">
        <v>906</v>
      </c>
      <c r="F71" s="271">
        <v>45309</v>
      </c>
      <c r="G71" s="272">
        <v>45344</v>
      </c>
      <c r="H71" s="272">
        <v>45365</v>
      </c>
      <c r="I71" s="272" t="s">
        <v>1299</v>
      </c>
      <c r="J71" s="49" t="s">
        <v>33</v>
      </c>
      <c r="K71" s="49" t="s">
        <v>332</v>
      </c>
      <c r="L71" s="49" t="s">
        <v>1550</v>
      </c>
      <c r="CG71" s="141" t="s">
        <v>860</v>
      </c>
      <c r="CH71" s="221"/>
      <c r="CI71" s="57"/>
      <c r="CJ71" s="60"/>
      <c r="CK71" s="215"/>
      <c r="CL71" s="61"/>
      <c r="CM71" s="79" t="s">
        <v>861</v>
      </c>
    </row>
    <row r="72" spans="2:142" ht="45">
      <c r="B72" s="47" t="s">
        <v>864</v>
      </c>
      <c r="C72" s="48" t="s">
        <v>1436</v>
      </c>
      <c r="D72" s="49" t="s">
        <v>881</v>
      </c>
      <c r="E72" s="81" t="s">
        <v>882</v>
      </c>
      <c r="F72" s="271">
        <v>45309</v>
      </c>
      <c r="G72" s="272">
        <v>45344</v>
      </c>
      <c r="H72" s="272">
        <v>45365</v>
      </c>
      <c r="I72" s="272" t="s">
        <v>1299</v>
      </c>
      <c r="J72" s="49" t="s">
        <v>33</v>
      </c>
      <c r="K72" s="49" t="s">
        <v>332</v>
      </c>
      <c r="L72" s="49" t="s">
        <v>1550</v>
      </c>
      <c r="CG72" s="141" t="s">
        <v>860</v>
      </c>
      <c r="CH72" s="221"/>
      <c r="CI72" s="57"/>
      <c r="CJ72" s="60"/>
      <c r="CK72" s="215"/>
      <c r="CL72" s="61"/>
      <c r="CM72" s="79" t="s">
        <v>861</v>
      </c>
    </row>
    <row r="73" spans="2:142" ht="45">
      <c r="B73" s="47" t="s">
        <v>864</v>
      </c>
      <c r="C73" s="48" t="s">
        <v>1436</v>
      </c>
      <c r="D73" s="49" t="s">
        <v>892</v>
      </c>
      <c r="E73" s="81" t="s">
        <v>893</v>
      </c>
      <c r="F73" s="271">
        <v>45309</v>
      </c>
      <c r="G73" s="272">
        <v>45344</v>
      </c>
      <c r="H73" s="272">
        <v>45365</v>
      </c>
      <c r="I73" s="272" t="s">
        <v>1299</v>
      </c>
      <c r="J73" s="49" t="s">
        <v>33</v>
      </c>
      <c r="K73" s="49" t="s">
        <v>332</v>
      </c>
      <c r="L73" s="49" t="s">
        <v>1550</v>
      </c>
      <c r="CG73" s="141" t="s">
        <v>860</v>
      </c>
      <c r="CH73" s="221"/>
      <c r="CI73" s="57"/>
      <c r="CJ73" s="60"/>
      <c r="CK73" s="215"/>
      <c r="CL73" s="61"/>
      <c r="CM73" s="79" t="s">
        <v>861</v>
      </c>
    </row>
    <row r="74" spans="2:142" ht="45">
      <c r="B74" s="47" t="s">
        <v>864</v>
      </c>
      <c r="C74" s="48" t="s">
        <v>1436</v>
      </c>
      <c r="D74" s="49" t="s">
        <v>884</v>
      </c>
      <c r="E74" s="81" t="s">
        <v>885</v>
      </c>
      <c r="F74" s="271">
        <v>45309</v>
      </c>
      <c r="G74" s="272">
        <v>45344</v>
      </c>
      <c r="H74" s="272">
        <v>45365</v>
      </c>
      <c r="I74" s="272" t="s">
        <v>1299</v>
      </c>
      <c r="J74" s="49" t="s">
        <v>33</v>
      </c>
      <c r="K74" s="49" t="s">
        <v>332</v>
      </c>
      <c r="L74" s="49" t="s">
        <v>1550</v>
      </c>
      <c r="CG74" s="141" t="s">
        <v>860</v>
      </c>
      <c r="CH74" s="221"/>
      <c r="CI74" s="57"/>
      <c r="CJ74" s="60"/>
      <c r="CK74" s="215"/>
      <c r="CL74" s="61"/>
      <c r="CM74" s="79" t="s">
        <v>861</v>
      </c>
    </row>
    <row r="75" spans="2:142" ht="45">
      <c r="B75" s="47" t="s">
        <v>864</v>
      </c>
      <c r="C75" s="48" t="s">
        <v>1436</v>
      </c>
      <c r="D75" s="49" t="s">
        <v>886</v>
      </c>
      <c r="E75" s="81" t="s">
        <v>887</v>
      </c>
      <c r="F75" s="271">
        <v>45309</v>
      </c>
      <c r="G75" s="272">
        <v>45344</v>
      </c>
      <c r="H75" s="272">
        <v>45365</v>
      </c>
      <c r="I75" s="272" t="s">
        <v>1299</v>
      </c>
      <c r="J75" s="49" t="s">
        <v>33</v>
      </c>
      <c r="K75" s="49" t="s">
        <v>332</v>
      </c>
      <c r="L75" s="49" t="s">
        <v>1550</v>
      </c>
      <c r="CG75" s="141" t="s">
        <v>860</v>
      </c>
      <c r="CH75" s="221"/>
      <c r="CI75" s="57"/>
      <c r="CJ75" s="60"/>
      <c r="CK75" s="215"/>
      <c r="CL75" s="61"/>
      <c r="CM75" s="79" t="s">
        <v>861</v>
      </c>
    </row>
    <row r="76" spans="2:142" ht="45">
      <c r="B76" s="47" t="s">
        <v>864</v>
      </c>
      <c r="C76" s="48" t="s">
        <v>1436</v>
      </c>
      <c r="D76" s="49" t="s">
        <v>888</v>
      </c>
      <c r="E76" s="81" t="s">
        <v>889</v>
      </c>
      <c r="F76" s="271">
        <v>45309</v>
      </c>
      <c r="G76" s="272">
        <v>45344</v>
      </c>
      <c r="H76" s="272">
        <v>45365</v>
      </c>
      <c r="I76" s="272" t="s">
        <v>1299</v>
      </c>
      <c r="J76" s="49" t="s">
        <v>33</v>
      </c>
      <c r="K76" s="49" t="s">
        <v>332</v>
      </c>
      <c r="L76" s="49" t="s">
        <v>1550</v>
      </c>
      <c r="CG76" s="141" t="s">
        <v>860</v>
      </c>
      <c r="CH76" s="221"/>
      <c r="CI76" s="57"/>
      <c r="CJ76" s="60"/>
      <c r="CK76" s="215"/>
      <c r="CL76" s="61"/>
      <c r="CM76" s="79" t="s">
        <v>861</v>
      </c>
    </row>
    <row r="77" spans="2:142" ht="45">
      <c r="B77" s="47" t="s">
        <v>864</v>
      </c>
      <c r="C77" s="48" t="s">
        <v>1436</v>
      </c>
      <c r="D77" s="49" t="s">
        <v>890</v>
      </c>
      <c r="E77" s="81" t="s">
        <v>891</v>
      </c>
      <c r="F77" s="271">
        <v>45309</v>
      </c>
      <c r="G77" s="272">
        <v>45344</v>
      </c>
      <c r="H77" s="272">
        <v>45365</v>
      </c>
      <c r="I77" s="272" t="s">
        <v>1299</v>
      </c>
      <c r="J77" s="49" t="s">
        <v>33</v>
      </c>
      <c r="K77" s="49" t="s">
        <v>332</v>
      </c>
      <c r="L77" s="49" t="s">
        <v>1550</v>
      </c>
      <c r="CG77" s="141" t="s">
        <v>860</v>
      </c>
      <c r="CH77" s="221"/>
      <c r="CI77" s="57"/>
      <c r="CJ77" s="60"/>
      <c r="CK77" s="215"/>
      <c r="CL77" s="61"/>
      <c r="CM77" s="79" t="s">
        <v>861</v>
      </c>
    </row>
    <row r="78" spans="2:142" ht="45">
      <c r="B78" s="47" t="s">
        <v>864</v>
      </c>
      <c r="C78" s="48" t="s">
        <v>1551</v>
      </c>
      <c r="D78" s="49" t="s">
        <v>895</v>
      </c>
      <c r="E78" s="81" t="s">
        <v>896</v>
      </c>
      <c r="F78" s="271">
        <v>45309</v>
      </c>
      <c r="G78" s="272">
        <v>45344</v>
      </c>
      <c r="H78" s="272">
        <v>45365</v>
      </c>
      <c r="I78" s="272" t="s">
        <v>1299</v>
      </c>
      <c r="J78" s="49" t="s">
        <v>33</v>
      </c>
      <c r="K78" s="49" t="s">
        <v>332</v>
      </c>
      <c r="L78" s="49" t="s">
        <v>1550</v>
      </c>
      <c r="CG78" s="141" t="s">
        <v>860</v>
      </c>
      <c r="CH78" s="221"/>
      <c r="CI78" s="57"/>
      <c r="CJ78" s="60"/>
      <c r="CK78" s="215"/>
      <c r="CL78" s="61"/>
      <c r="CM78" s="79" t="s">
        <v>861</v>
      </c>
    </row>
    <row r="79" spans="2:142" ht="45">
      <c r="B79" s="47" t="s">
        <v>864</v>
      </c>
      <c r="C79" s="48" t="s">
        <v>1551</v>
      </c>
      <c r="D79" s="49" t="s">
        <v>897</v>
      </c>
      <c r="E79" s="81" t="s">
        <v>898</v>
      </c>
      <c r="F79" s="271">
        <v>45309</v>
      </c>
      <c r="G79" s="272">
        <v>45344</v>
      </c>
      <c r="H79" s="272">
        <v>45365</v>
      </c>
      <c r="I79" s="272" t="s">
        <v>1299</v>
      </c>
      <c r="J79" s="49" t="s">
        <v>33</v>
      </c>
      <c r="K79" s="49" t="s">
        <v>332</v>
      </c>
      <c r="L79" s="49" t="s">
        <v>1550</v>
      </c>
      <c r="CG79" s="141" t="s">
        <v>860</v>
      </c>
      <c r="CH79" s="221"/>
      <c r="CI79" s="57"/>
      <c r="CJ79" s="60"/>
      <c r="CK79" s="215"/>
      <c r="CL79" s="61"/>
      <c r="CM79" s="79" t="s">
        <v>861</v>
      </c>
    </row>
    <row r="80" spans="2:142" ht="45">
      <c r="B80" s="47" t="s">
        <v>864</v>
      </c>
      <c r="C80" s="48" t="s">
        <v>1429</v>
      </c>
      <c r="D80" s="49" t="s">
        <v>975</v>
      </c>
      <c r="E80" s="81" t="s">
        <v>974</v>
      </c>
      <c r="F80" s="271">
        <v>45309</v>
      </c>
      <c r="G80" s="272">
        <v>45344</v>
      </c>
      <c r="H80" s="272">
        <v>45365</v>
      </c>
      <c r="I80" s="272" t="s">
        <v>1299</v>
      </c>
      <c r="J80" s="49" t="s">
        <v>33</v>
      </c>
      <c r="K80" s="49" t="s">
        <v>332</v>
      </c>
      <c r="L80" s="49" t="s">
        <v>1550</v>
      </c>
      <c r="CG80" s="141" t="s">
        <v>860</v>
      </c>
      <c r="CH80" s="221"/>
      <c r="CI80" s="57"/>
      <c r="CJ80" s="60"/>
      <c r="CK80" s="215"/>
      <c r="CL80" s="61"/>
      <c r="CM80" s="79" t="s">
        <v>861</v>
      </c>
    </row>
    <row r="81" spans="2:91" ht="45">
      <c r="B81" s="47" t="s">
        <v>864</v>
      </c>
      <c r="C81" s="48" t="s">
        <v>1316</v>
      </c>
      <c r="D81" s="49" t="s">
        <v>1555</v>
      </c>
      <c r="E81" s="81" t="s">
        <v>1479</v>
      </c>
      <c r="F81" s="271">
        <v>45309</v>
      </c>
      <c r="G81" s="272">
        <v>45344</v>
      </c>
      <c r="H81" s="272">
        <v>45365</v>
      </c>
      <c r="I81" s="272" t="s">
        <v>1299</v>
      </c>
      <c r="J81" s="49" t="s">
        <v>33</v>
      </c>
      <c r="K81" s="49" t="s">
        <v>332</v>
      </c>
      <c r="L81" s="49" t="s">
        <v>1550</v>
      </c>
      <c r="CG81" s="141" t="s">
        <v>860</v>
      </c>
      <c r="CH81" s="221"/>
      <c r="CI81" s="57"/>
      <c r="CJ81" s="60"/>
      <c r="CK81" s="215"/>
      <c r="CL81" s="61"/>
      <c r="CM81" s="79" t="s">
        <v>861</v>
      </c>
    </row>
    <row r="82" spans="2:91" ht="45">
      <c r="B82" s="47" t="s">
        <v>864</v>
      </c>
      <c r="C82" s="48" t="s">
        <v>1316</v>
      </c>
      <c r="D82" s="49" t="s">
        <v>1556</v>
      </c>
      <c r="E82" s="81" t="s">
        <v>1481</v>
      </c>
      <c r="F82" s="271">
        <v>45309</v>
      </c>
      <c r="G82" s="272">
        <v>45344</v>
      </c>
      <c r="H82" s="272">
        <v>45365</v>
      </c>
      <c r="I82" s="272" t="s">
        <v>1299</v>
      </c>
      <c r="J82" s="49" t="s">
        <v>33</v>
      </c>
      <c r="K82" s="49" t="s">
        <v>332</v>
      </c>
      <c r="L82" s="49" t="s">
        <v>1550</v>
      </c>
      <c r="CG82" s="141" t="s">
        <v>860</v>
      </c>
      <c r="CH82" s="221"/>
      <c r="CI82" s="57"/>
      <c r="CJ82" s="60"/>
      <c r="CK82" s="215"/>
      <c r="CL82" s="61"/>
      <c r="CM82" s="79" t="s">
        <v>861</v>
      </c>
    </row>
  </sheetData>
  <sheetProtection algorithmName="SHA-512" hashValue="XDX27xpwjAoEkgiHgX7kdQIPTg3I+4p9e0rwRH5dh0ai7jb4x/uWZjUQbvHkxnroeNomDZUB/GbFItm+LakSJA==" saltValue="Jm9gG483/qthbD0CnlpP4w==" spinCount="100000" sheet="1" objects="1" scenarios="1" sort="0" autoFilter="0"/>
  <autoFilter ref="B17:EL82" xr:uid="{99E5E6F7-8B21-4AE6-ACEF-3E1D0C8CF839}">
    <filterColumn colId="4">
      <filters>
        <dateGroupItem year="2024" dateTimeGrouping="year"/>
      </filters>
    </filterColumn>
    <sortState xmlns:xlrd2="http://schemas.microsoft.com/office/spreadsheetml/2017/richdata2" ref="B18:EL82">
      <sortCondition ref="F17:F82"/>
    </sortState>
  </autoFilter>
  <mergeCells count="37">
    <mergeCell ref="EM16:EM17"/>
    <mergeCell ref="DI16:DM16"/>
    <mergeCell ref="DN16:DR16"/>
    <mergeCell ref="DS16:DW16"/>
    <mergeCell ref="DX16:EB16"/>
    <mergeCell ref="EC16:EG16"/>
    <mergeCell ref="EH16:EL16"/>
    <mergeCell ref="DD16:DH16"/>
    <mergeCell ref="BA16:BE16"/>
    <mergeCell ref="BF16:BJ16"/>
    <mergeCell ref="BK16:BO16"/>
    <mergeCell ref="BP16:BT16"/>
    <mergeCell ref="BU16:BY16"/>
    <mergeCell ref="BZ16:CD16"/>
    <mergeCell ref="CE16:CI16"/>
    <mergeCell ref="CJ16:CN16"/>
    <mergeCell ref="CO16:CS16"/>
    <mergeCell ref="CT16:CX16"/>
    <mergeCell ref="CY16:DC16"/>
    <mergeCell ref="AV16:AZ16"/>
    <mergeCell ref="E9:L9"/>
    <mergeCell ref="E10:L10"/>
    <mergeCell ref="E11:L11"/>
    <mergeCell ref="E12:L12"/>
    <mergeCell ref="M16:Q16"/>
    <mergeCell ref="R16:V16"/>
    <mergeCell ref="W16:AA16"/>
    <mergeCell ref="AB16:AF16"/>
    <mergeCell ref="AG16:AK16"/>
    <mergeCell ref="AL16:AP16"/>
    <mergeCell ref="AQ16:AU16"/>
    <mergeCell ref="E8:L8"/>
    <mergeCell ref="E3:L3"/>
    <mergeCell ref="E4:L4"/>
    <mergeCell ref="E5:L5"/>
    <mergeCell ref="E6:L6"/>
    <mergeCell ref="E7:L7"/>
  </mergeCells>
  <phoneticPr fontId="29" type="noConversion"/>
  <conditionalFormatting sqref="M18:V54">
    <cfRule type="cellIs" dxfId="483" priority="143" operator="equal">
      <formula>"✔"</formula>
    </cfRule>
    <cfRule type="cellIs" dxfId="482" priority="144" operator="equal">
      <formula>"✖"</formula>
    </cfRule>
  </conditionalFormatting>
  <conditionalFormatting sqref="M36:V38 S18:V18 V26:V35 S19:U35 M18:Q35 V21:V23">
    <cfRule type="iconSet" priority="593">
      <iconSet iconSet="3Symbols2" showValue="0">
        <cfvo type="percent" val="0"/>
        <cfvo type="percent" val="33"/>
        <cfvo type="percent" val="67"/>
      </iconSet>
    </cfRule>
  </conditionalFormatting>
  <conditionalFormatting sqref="M39:V40">
    <cfRule type="iconSet" priority="599">
      <iconSet iconSet="3Symbols2" showValue="0">
        <cfvo type="percent" val="0"/>
        <cfvo type="percent" val="33"/>
        <cfvo type="percent" val="67"/>
      </iconSet>
    </cfRule>
  </conditionalFormatting>
  <conditionalFormatting sqref="M41:V41">
    <cfRule type="iconSet" priority="332">
      <iconSet iconSet="3Symbols2" showValue="0">
        <cfvo type="percent" val="0"/>
        <cfvo type="percent" val="33"/>
        <cfvo type="percent" val="67"/>
      </iconSet>
    </cfRule>
  </conditionalFormatting>
  <conditionalFormatting sqref="M42:V53">
    <cfRule type="iconSet" priority="620">
      <iconSet iconSet="3Symbols2" showValue="0">
        <cfvo type="percent" val="0"/>
        <cfvo type="percent" val="33"/>
        <cfvo type="percent" val="67"/>
      </iconSet>
    </cfRule>
  </conditionalFormatting>
  <conditionalFormatting sqref="M54:V54">
    <cfRule type="iconSet" priority="142">
      <iconSet iconSet="3Symbols2" showValue="0">
        <cfvo type="percent" val="0"/>
        <cfvo type="percent" val="33"/>
        <cfvo type="percent" val="67"/>
      </iconSet>
    </cfRule>
  </conditionalFormatting>
  <conditionalFormatting sqref="R18">
    <cfRule type="iconSet" priority="574">
      <iconSet iconSet="3Symbols2" showValue="0">
        <cfvo type="percent" val="0"/>
        <cfvo type="percent" val="33"/>
        <cfvo type="percent" val="67"/>
      </iconSet>
    </cfRule>
  </conditionalFormatting>
  <conditionalFormatting sqref="R18:R23">
    <cfRule type="expression" dxfId="481" priority="451">
      <formula>(TEXT(TODAY(),"aaaa"))="Friday"</formula>
    </cfRule>
  </conditionalFormatting>
  <conditionalFormatting sqref="R19">
    <cfRule type="iconSet" priority="460">
      <iconSet iconSet="3Symbols2" showValue="0">
        <cfvo type="percent" val="0"/>
        <cfvo type="percent" val="33"/>
        <cfvo type="percent" val="67"/>
      </iconSet>
    </cfRule>
  </conditionalFormatting>
  <conditionalFormatting sqref="R20">
    <cfRule type="iconSet" priority="456">
      <iconSet iconSet="3Symbols2" showValue="0">
        <cfvo type="percent" val="0"/>
        <cfvo type="percent" val="33"/>
        <cfvo type="percent" val="67"/>
      </iconSet>
    </cfRule>
  </conditionalFormatting>
  <conditionalFormatting sqref="R21">
    <cfRule type="iconSet" priority="452">
      <iconSet iconSet="3Symbols2" showValue="0">
        <cfvo type="percent" val="0"/>
        <cfvo type="percent" val="33"/>
        <cfvo type="percent" val="67"/>
      </iconSet>
    </cfRule>
  </conditionalFormatting>
  <conditionalFormatting sqref="R24">
    <cfRule type="iconSet" priority="562">
      <iconSet iconSet="3Symbols2" showValue="0">
        <cfvo type="percent" val="0"/>
        <cfvo type="percent" val="33"/>
        <cfvo type="percent" val="67"/>
      </iconSet>
    </cfRule>
  </conditionalFormatting>
  <conditionalFormatting sqref="R24:R25">
    <cfRule type="expression" dxfId="480" priority="557">
      <formula>(TEXT(TODAY(),"aaaa"))="Thursday"</formula>
    </cfRule>
  </conditionalFormatting>
  <conditionalFormatting sqref="R25">
    <cfRule type="iconSet" priority="558">
      <iconSet iconSet="3Symbols2" showValue="0">
        <cfvo type="percent" val="0"/>
        <cfvo type="percent" val="33"/>
        <cfvo type="percent" val="67"/>
      </iconSet>
    </cfRule>
  </conditionalFormatting>
  <conditionalFormatting sqref="R26:R35 R22:R23">
    <cfRule type="iconSet" priority="662">
      <iconSet iconSet="3Symbols2" showValue="0">
        <cfvo type="percent" val="0"/>
        <cfvo type="percent" val="33"/>
        <cfvo type="percent" val="67"/>
      </iconSet>
    </cfRule>
  </conditionalFormatting>
  <conditionalFormatting sqref="S18:V18 AQ18:AU23 S19:U25 AR24:AU32 CZ24:DC32 AQ33:AR33 AT33:AU33 AQ34:AU38 CY34:DC38 BP54:BQ54 BS54:BT54">
    <cfRule type="expression" dxfId="479" priority="586">
      <formula>(TEXT(TODAY(),"aaaa"))="Friday"</formula>
    </cfRule>
  </conditionalFormatting>
  <conditionalFormatting sqref="V19">
    <cfRule type="iconSet" priority="448">
      <iconSet iconSet="3Symbols2" showValue="0">
        <cfvo type="percent" val="0"/>
        <cfvo type="percent" val="33"/>
        <cfvo type="percent" val="67"/>
      </iconSet>
    </cfRule>
  </conditionalFormatting>
  <conditionalFormatting sqref="V19:V23">
    <cfRule type="expression" dxfId="478" priority="443">
      <formula>(TEXT(TODAY(),"aaaa"))="Friday"</formula>
    </cfRule>
  </conditionalFormatting>
  <conditionalFormatting sqref="V20">
    <cfRule type="iconSet" priority="444">
      <iconSet iconSet="3Symbols2" showValue="0">
        <cfvo type="percent" val="0"/>
        <cfvo type="percent" val="33"/>
        <cfvo type="percent" val="67"/>
      </iconSet>
    </cfRule>
  </conditionalFormatting>
  <conditionalFormatting sqref="V24">
    <cfRule type="iconSet" priority="553">
      <iconSet iconSet="3Symbols2" showValue="0">
        <cfvo type="percent" val="0"/>
        <cfvo type="percent" val="33"/>
        <cfvo type="percent" val="67"/>
      </iconSet>
    </cfRule>
  </conditionalFormatting>
  <conditionalFormatting sqref="V24:V25">
    <cfRule type="expression" dxfId="477" priority="550">
      <formula>(TEXT(TODAY(),"aaaa"))="Wednesday"</formula>
    </cfRule>
  </conditionalFormatting>
  <conditionalFormatting sqref="V25">
    <cfRule type="iconSet" priority="549">
      <iconSet iconSet="3Symbols2" showValue="0">
        <cfvo type="percent" val="0"/>
        <cfvo type="percent" val="33"/>
        <cfvo type="percent" val="67"/>
      </iconSet>
    </cfRule>
  </conditionalFormatting>
  <conditionalFormatting sqref="V34:V37">
    <cfRule type="expression" dxfId="476" priority="578">
      <formula>(TEXT(TODAY(),"aaaa"))="Thursday"</formula>
    </cfRule>
  </conditionalFormatting>
  <conditionalFormatting sqref="W22">
    <cfRule type="iconSet" priority="570">
      <iconSet iconSet="3Symbols2" showValue="0">
        <cfvo type="percent" val="0"/>
        <cfvo type="percent" val="33"/>
        <cfvo type="percent" val="67"/>
      </iconSet>
    </cfRule>
  </conditionalFormatting>
  <conditionalFormatting sqref="W22:W23">
    <cfRule type="expression" dxfId="475" priority="565">
      <formula>(TEXT(TODAY(),"aaaa"))="Thursday"</formula>
    </cfRule>
  </conditionalFormatting>
  <conditionalFormatting sqref="W23">
    <cfRule type="iconSet" priority="566">
      <iconSet iconSet="3Symbols2" showValue="0">
        <cfvo type="percent" val="0"/>
        <cfvo type="percent" val="33"/>
        <cfvo type="percent" val="67"/>
      </iconSet>
    </cfRule>
  </conditionalFormatting>
  <conditionalFormatting sqref="W36">
    <cfRule type="iconSet" priority="510">
      <iconSet iconSet="3Symbols2" showValue="0">
        <cfvo type="percent" val="0"/>
        <cfvo type="percent" val="33"/>
        <cfvo type="percent" val="67"/>
      </iconSet>
    </cfRule>
  </conditionalFormatting>
  <conditionalFormatting sqref="W36:W37">
    <cfRule type="expression" dxfId="474" priority="505">
      <formula>(TEXT(TODAY(),"aaaa"))="Thursday"</formula>
    </cfRule>
  </conditionalFormatting>
  <conditionalFormatting sqref="W37">
    <cfRule type="iconSet" priority="506">
      <iconSet iconSet="3Symbols2" showValue="0">
        <cfvo type="percent" val="0"/>
        <cfvo type="percent" val="33"/>
        <cfvo type="percent" val="67"/>
      </iconSet>
    </cfRule>
  </conditionalFormatting>
  <conditionalFormatting sqref="W18:AA21 X22:Z23 CI23:CI24 W24:W34 CE25 CI26:CI30 CE31:CE32 X33:Z34 CE34:CE35 W35:Z35 X36:Z37 W38:Y38 AA38 CI44 CI47:CI48">
    <cfRule type="expression" dxfId="473" priority="585">
      <formula>(TEXT(TODAY(),"aaaa"))="Monday"</formula>
    </cfRule>
  </conditionalFormatting>
  <conditionalFormatting sqref="W22:AA37">
    <cfRule type="cellIs" dxfId="472" priority="406" operator="equal">
      <formula>"✖"</formula>
    </cfRule>
    <cfRule type="cellIs" dxfId="471" priority="405" operator="equal">
      <formula>"✔"</formula>
    </cfRule>
  </conditionalFormatting>
  <conditionalFormatting sqref="W39:AC39">
    <cfRule type="cellIs" dxfId="470" priority="591" operator="equal">
      <formula>"✔"</formula>
    </cfRule>
    <cfRule type="cellIs" dxfId="469" priority="592" operator="equal">
      <formula>"✖"</formula>
    </cfRule>
  </conditionalFormatting>
  <conditionalFormatting sqref="W40:AF40 W39:AC39 AF39 AI40:AJ40 AJ39 AL39:AQ40 AS39:AT40 AV39:CF40 CR39:CR40 CN39:CN40">
    <cfRule type="iconSet" priority="590">
      <iconSet iconSet="3Symbols2" showValue="0">
        <cfvo type="percent" val="0"/>
        <cfvo type="percent" val="33"/>
        <cfvo type="percent" val="67"/>
      </iconSet>
    </cfRule>
  </conditionalFormatting>
  <conditionalFormatting sqref="W41:AF41 AI41:AJ41 AL41:AQ41 AS41:AT41 AV41:CF41 CR41 CN41">
    <cfRule type="iconSet" priority="329">
      <iconSet iconSet="3Symbols2" showValue="0">
        <cfvo type="percent" val="0"/>
        <cfvo type="percent" val="33"/>
        <cfvo type="percent" val="67"/>
      </iconSet>
    </cfRule>
  </conditionalFormatting>
  <conditionalFormatting sqref="W42:AF53 AI42:AJ53 AL42:AQ53 AS42:AT53 CQ42:CR53 AV42:CB53 CD42:CE43 CI44:CJ44 CL44:CN44 CN42:CN43 CL47:CN48 CN45:CN46 CI47:CJ48 CN49:CN53 CD45:CE46 CD49:CE53">
    <cfRule type="iconSet" priority="617">
      <iconSet iconSet="3Symbols2" showValue="0">
        <cfvo type="percent" val="0"/>
        <cfvo type="percent" val="33"/>
        <cfvo type="percent" val="67"/>
      </iconSet>
    </cfRule>
  </conditionalFormatting>
  <conditionalFormatting sqref="W54:AF54 AI54:AJ54 AL54:AQ54 AS54:AT54 AV54:BN54 CD54:CE54 CN54 BP54:BQ54 BS54:CB54">
    <cfRule type="iconSet" priority="139">
      <iconSet iconSet="3Symbols2" showValue="0">
        <cfvo type="percent" val="0"/>
        <cfvo type="percent" val="33"/>
        <cfvo type="percent" val="67"/>
      </iconSet>
    </cfRule>
  </conditionalFormatting>
  <conditionalFormatting sqref="W18:AJ21 CB19:CE20 CF19:CF21 EI19:EL35 AB22:AJ23 CJ22:CR23 CJ24:CN24 AR24:CA25 AD24:AP26 CN31:CS32 CN33:CN37 CF34:CF37 AG36:AJ36 CO36:CR36 AK36:CD38 AG37:AH37 CO37:CP37 AI37:AJ38 W38:Y38 AA38:AC38 AE38:AH38 CE38:CF38 CN38:CP38">
    <cfRule type="cellIs" dxfId="468" priority="610" operator="equal">
      <formula>"✖"</formula>
    </cfRule>
    <cfRule type="cellIs" dxfId="467" priority="609" operator="equal">
      <formula>"✔"</formula>
    </cfRule>
  </conditionalFormatting>
  <conditionalFormatting sqref="X24">
    <cfRule type="iconSet" priority="440">
      <iconSet iconSet="3Symbols2" showValue="0">
        <cfvo type="percent" val="0"/>
        <cfvo type="percent" val="33"/>
        <cfvo type="percent" val="67"/>
      </iconSet>
    </cfRule>
  </conditionalFormatting>
  <conditionalFormatting sqref="X25">
    <cfRule type="iconSet" priority="436">
      <iconSet iconSet="3Symbols2" showValue="0">
        <cfvo type="percent" val="0"/>
        <cfvo type="percent" val="33"/>
        <cfvo type="percent" val="67"/>
      </iconSet>
    </cfRule>
  </conditionalFormatting>
  <conditionalFormatting sqref="X26">
    <cfRule type="iconSet" priority="432">
      <iconSet iconSet="3Symbols2" showValue="0">
        <cfvo type="percent" val="0"/>
        <cfvo type="percent" val="33"/>
        <cfvo type="percent" val="67"/>
      </iconSet>
    </cfRule>
  </conditionalFormatting>
  <conditionalFormatting sqref="X27">
    <cfRule type="iconSet" priority="428">
      <iconSet iconSet="3Symbols2" showValue="0">
        <cfvo type="percent" val="0"/>
        <cfvo type="percent" val="33"/>
        <cfvo type="percent" val="67"/>
      </iconSet>
    </cfRule>
  </conditionalFormatting>
  <conditionalFormatting sqref="X28">
    <cfRule type="iconSet" priority="424">
      <iconSet iconSet="3Symbols2" showValue="0">
        <cfvo type="percent" val="0"/>
        <cfvo type="percent" val="33"/>
        <cfvo type="percent" val="67"/>
      </iconSet>
    </cfRule>
  </conditionalFormatting>
  <conditionalFormatting sqref="X29">
    <cfRule type="iconSet" priority="420">
      <iconSet iconSet="3Symbols2" showValue="0">
        <cfvo type="percent" val="0"/>
        <cfvo type="percent" val="33"/>
        <cfvo type="percent" val="67"/>
      </iconSet>
    </cfRule>
  </conditionalFormatting>
  <conditionalFormatting sqref="X30">
    <cfRule type="iconSet" priority="416">
      <iconSet iconSet="3Symbols2" showValue="0">
        <cfvo type="percent" val="0"/>
        <cfvo type="percent" val="33"/>
        <cfvo type="percent" val="67"/>
      </iconSet>
    </cfRule>
  </conditionalFormatting>
  <conditionalFormatting sqref="X31">
    <cfRule type="iconSet" priority="412">
      <iconSet iconSet="3Symbols2" showValue="0">
        <cfvo type="percent" val="0"/>
        <cfvo type="percent" val="33"/>
        <cfvo type="percent" val="67"/>
      </iconSet>
    </cfRule>
  </conditionalFormatting>
  <conditionalFormatting sqref="X32">
    <cfRule type="iconSet" priority="408">
      <iconSet iconSet="3Symbols2" showValue="0">
        <cfvo type="percent" val="0"/>
        <cfvo type="percent" val="33"/>
        <cfvo type="percent" val="67"/>
      </iconSet>
    </cfRule>
  </conditionalFormatting>
  <conditionalFormatting sqref="X24:AA32">
    <cfRule type="expression" dxfId="466" priority="407">
      <formula>(TEXT(TODAY(),"aaaa"))="Monday"</formula>
    </cfRule>
  </conditionalFormatting>
  <conditionalFormatting sqref="AA22">
    <cfRule type="expression" dxfId="465" priority="546">
      <formula>(TEXT(TODAY(),"aaaa"))="Wednesday"</formula>
    </cfRule>
    <cfRule type="iconSet" priority="545">
      <iconSet iconSet="3Symbols2" showValue="0">
        <cfvo type="percent" val="0"/>
        <cfvo type="percent" val="33"/>
        <cfvo type="percent" val="67"/>
      </iconSet>
    </cfRule>
  </conditionalFormatting>
  <conditionalFormatting sqref="AA23">
    <cfRule type="iconSet" priority="473">
      <iconSet iconSet="3Symbols2" showValue="0">
        <cfvo type="percent" val="0"/>
        <cfvo type="percent" val="33"/>
        <cfvo type="percent" val="67"/>
      </iconSet>
    </cfRule>
    <cfRule type="expression" dxfId="464" priority="474">
      <formula>(TEXT(TODAY(),"aaaa"))="Monday"</formula>
    </cfRule>
  </conditionalFormatting>
  <conditionalFormatting sqref="AA24:AA32">
    <cfRule type="iconSet" priority="647">
      <iconSet iconSet="3Symbols2" showValue="0">
        <cfvo type="percent" val="0"/>
        <cfvo type="percent" val="33"/>
        <cfvo type="percent" val="67"/>
      </iconSet>
    </cfRule>
  </conditionalFormatting>
  <conditionalFormatting sqref="AA33">
    <cfRule type="expression" dxfId="463" priority="403">
      <formula>(TEXT(TODAY(),"aaaa"))="Monday"</formula>
    </cfRule>
    <cfRule type="iconSet" priority="404">
      <iconSet iconSet="3Symbols2" showValue="0">
        <cfvo type="percent" val="0"/>
        <cfvo type="percent" val="33"/>
        <cfvo type="percent" val="67"/>
      </iconSet>
    </cfRule>
  </conditionalFormatting>
  <conditionalFormatting sqref="AA34">
    <cfRule type="iconSet" priority="502">
      <iconSet iconSet="3Symbols2" showValue="0">
        <cfvo type="percent" val="0"/>
        <cfvo type="percent" val="33"/>
        <cfvo type="percent" val="67"/>
      </iconSet>
    </cfRule>
  </conditionalFormatting>
  <conditionalFormatting sqref="AA34:AA35">
    <cfRule type="expression" dxfId="462" priority="501">
      <formula>(TEXT(TODAY(),"aaaa"))="Thursday"</formula>
    </cfRule>
  </conditionalFormatting>
  <conditionalFormatting sqref="AA35">
    <cfRule type="iconSet" priority="534">
      <iconSet iconSet="3Symbols2" showValue="0">
        <cfvo type="percent" val="0"/>
        <cfvo type="percent" val="33"/>
        <cfvo type="percent" val="67"/>
      </iconSet>
    </cfRule>
  </conditionalFormatting>
  <conditionalFormatting sqref="AA36">
    <cfRule type="iconSet" priority="517">
      <iconSet iconSet="3Symbols2" showValue="0">
        <cfvo type="percent" val="0"/>
        <cfvo type="percent" val="33"/>
        <cfvo type="percent" val="67"/>
      </iconSet>
    </cfRule>
  </conditionalFormatting>
  <conditionalFormatting sqref="AA36:AA37">
    <cfRule type="expression" dxfId="461" priority="514">
      <formula>(TEXT(TODAY(),"aaaa"))="Wednesday"</formula>
    </cfRule>
  </conditionalFormatting>
  <conditionalFormatting sqref="AA37">
    <cfRule type="iconSet" priority="513">
      <iconSet iconSet="3Symbols2" showValue="0">
        <cfvo type="percent" val="0"/>
        <cfvo type="percent" val="33"/>
        <cfvo type="percent" val="67"/>
      </iconSet>
    </cfRule>
  </conditionalFormatting>
  <conditionalFormatting sqref="AA38:AC38 W38:Y38 W35:Z35 AE27:AG29 AI27:AP29 X36:Z37 X22:Z23 AI37:AJ38 AK36:CD38 AB33:AC33 AE36:AF37 AB36:AC37 Y24:Z32 X33:Z34 W24:W34 AB24:AB32 AH33:AR33 AB34 AF33:AF35 AG39:AH39 AE38:AH38 AG37:AH37 AG36:AJ36 AL18 W18:AJ21 AB22:AJ23 AP19:CA23 AL19:AN23 AD24:AP26 AE30:AP32 AT33:CB33 AG34:BD34 AG35:BG35 BI35:CE35 CQ37:CR38 CJ33:CK33 CN33:CN37 CO39:CP39 CN38:CP38 CO37:CP37 CO36:CR36 CJ22:CR23 CN31:CS32 CO34:CS35 CP40:CP51 CF19:CF21 AR24:CA25 CC21:CD21 CO24:CS26 CB19:CE20 CF36:CF37 CE38:CF38 CO27:CO30 CJ24:CN24 CQ27:CS30 AH40:AH54 CP33:CZ33 CT18 CX19:EH23 CT19:CV23 CT24:CX32 DB33:EH33 CT34:DL34 DN34:EH34 CT35:DO35 DQ35:EH35 CZ24:EH32 CV18:EL18 CS36:EL38 EI19:EL35 AN18:CF18 CN18:CR21 CH18:CL21 CJ26:CN30 CN25 CH25:CL25 CH31:CL32 CH34:CL43 CH45:CL46 CH49:CL57 CH66:CL66 CH71:CL82 CC25:CE25 CD22:CD24 CF22:CG24 AR31:CE32 AR26:CB30 CD26:CD30 CF26:CG30 BF34:CE34 CD33 CF33:CG33 CD44 CF44:CG44 CD47:CD48 CF47:CG48 CD58:CD65 CF58:CG65 CD67:CD70 CF67:CG70">
    <cfRule type="iconSet" priority="608">
      <iconSet iconSet="3Symbols2" showValue="0">
        <cfvo type="percent" val="0"/>
        <cfvo type="percent" val="33"/>
        <cfvo type="percent" val="67"/>
      </iconSet>
    </cfRule>
  </conditionalFormatting>
  <conditionalFormatting sqref="AB34:AB35">
    <cfRule type="expression" dxfId="460" priority="466">
      <formula>(TEXT(TODAY(),"aaaa"))="Tuesday"</formula>
    </cfRule>
  </conditionalFormatting>
  <conditionalFormatting sqref="AB35">
    <cfRule type="iconSet" priority="465">
      <iconSet iconSet="3Symbols2" showValue="0">
        <cfvo type="percent" val="0"/>
        <cfvo type="percent" val="33"/>
        <cfvo type="percent" val="67"/>
      </iconSet>
    </cfRule>
  </conditionalFormatting>
  <conditionalFormatting sqref="AB24:AC37">
    <cfRule type="cellIs" dxfId="459" priority="397" operator="equal">
      <formula>"✔"</formula>
    </cfRule>
    <cfRule type="cellIs" dxfId="458" priority="398" operator="equal">
      <formula>"✖"</formula>
    </cfRule>
  </conditionalFormatting>
  <conditionalFormatting sqref="AB36:AC39 AF39">
    <cfRule type="expression" dxfId="457" priority="583">
      <formula>(TEXT(TODAY(),"aaaa"))="Tuesday"</formula>
    </cfRule>
  </conditionalFormatting>
  <conditionalFormatting sqref="AB40:AF54">
    <cfRule type="expression" dxfId="456" priority="323">
      <formula>(TEXT(TODAY(),"aaaa"))="Tuesday"</formula>
    </cfRule>
  </conditionalFormatting>
  <conditionalFormatting sqref="AC24:AC31">
    <cfRule type="iconSet" priority="650">
      <iconSet iconSet="3Symbols2" showValue="0">
        <cfvo type="percent" val="0"/>
        <cfvo type="percent" val="33"/>
        <cfvo type="percent" val="67"/>
      </iconSet>
    </cfRule>
  </conditionalFormatting>
  <conditionalFormatting sqref="AC32">
    <cfRule type="iconSet" priority="400">
      <iconSet iconSet="3Symbols2" showValue="0">
        <cfvo type="percent" val="0"/>
        <cfvo type="percent" val="33"/>
        <cfvo type="percent" val="67"/>
      </iconSet>
    </cfRule>
    <cfRule type="expression" dxfId="455" priority="399">
      <formula>(TEXT(TODAY(),"aaaa"))="Thursday"</formula>
    </cfRule>
  </conditionalFormatting>
  <conditionalFormatting sqref="AC34">
    <cfRule type="iconSet" priority="396">
      <iconSet iconSet="3Symbols2" showValue="0">
        <cfvo type="percent" val="0"/>
        <cfvo type="percent" val="33"/>
        <cfvo type="percent" val="67"/>
      </iconSet>
    </cfRule>
  </conditionalFormatting>
  <conditionalFormatting sqref="AC34:AC35">
    <cfRule type="expression" dxfId="454" priority="395">
      <formula>(TEXT(TODAY(),"aaaa"))="Thursday"</formula>
    </cfRule>
  </conditionalFormatting>
  <conditionalFormatting sqref="AC35">
    <cfRule type="iconSet" priority="482">
      <iconSet iconSet="3Symbols2" showValue="0">
        <cfvo type="percent" val="0"/>
        <cfvo type="percent" val="33"/>
        <cfvo type="percent" val="67"/>
      </iconSet>
    </cfRule>
  </conditionalFormatting>
  <conditionalFormatting sqref="AD27">
    <cfRule type="iconSet" priority="542">
      <iconSet iconSet="3Symbols2" showValue="0">
        <cfvo type="percent" val="0"/>
        <cfvo type="percent" val="33"/>
        <cfvo type="percent" val="67"/>
      </iconSet>
    </cfRule>
  </conditionalFormatting>
  <conditionalFormatting sqref="AD27:AD34">
    <cfRule type="expression" dxfId="453" priority="537">
      <formula>(TEXT(TODAY(),"aaaa"))="Thursday"</formula>
    </cfRule>
  </conditionalFormatting>
  <conditionalFormatting sqref="AD27:AD39">
    <cfRule type="cellIs" dxfId="452" priority="374" operator="equal">
      <formula>"✖"</formula>
    </cfRule>
    <cfRule type="cellIs" dxfId="451" priority="373" operator="equal">
      <formula>"✔"</formula>
    </cfRule>
  </conditionalFormatting>
  <conditionalFormatting sqref="AD28">
    <cfRule type="iconSet" priority="538">
      <iconSet iconSet="3Symbols2" showValue="0">
        <cfvo type="percent" val="0"/>
        <cfvo type="percent" val="33"/>
        <cfvo type="percent" val="67"/>
      </iconSet>
    </cfRule>
  </conditionalFormatting>
  <conditionalFormatting sqref="AD29:AD34">
    <cfRule type="iconSet" priority="632">
      <iconSet iconSet="3Symbols2" showValue="0">
        <cfvo type="percent" val="0"/>
        <cfvo type="percent" val="33"/>
        <cfvo type="percent" val="67"/>
      </iconSet>
    </cfRule>
  </conditionalFormatting>
  <conditionalFormatting sqref="AD35">
    <cfRule type="iconSet" priority="659">
      <iconSet iconSet="3Symbols2" showValue="0">
        <cfvo type="percent" val="0"/>
        <cfvo type="percent" val="33"/>
        <cfvo type="percent" val="67"/>
      </iconSet>
    </cfRule>
    <cfRule type="expression" dxfId="450" priority="464">
      <formula>(TEXT(TODAY(),"aaaa"))="Tuesday"</formula>
    </cfRule>
  </conditionalFormatting>
  <conditionalFormatting sqref="AD36">
    <cfRule type="iconSet" priority="384">
      <iconSet iconSet="3Symbols2" showValue="0">
        <cfvo type="percent" val="0"/>
        <cfvo type="percent" val="33"/>
        <cfvo type="percent" val="67"/>
      </iconSet>
    </cfRule>
  </conditionalFormatting>
  <conditionalFormatting sqref="AD36:AD39">
    <cfRule type="expression" dxfId="449" priority="371">
      <formula>(TEXT(TODAY(),"aaaa"))="Thursday"</formula>
    </cfRule>
  </conditionalFormatting>
  <conditionalFormatting sqref="AD37">
    <cfRule type="iconSet" priority="380">
      <iconSet iconSet="3Symbols2" showValue="0">
        <cfvo type="percent" val="0"/>
        <cfvo type="percent" val="33"/>
        <cfvo type="percent" val="67"/>
      </iconSet>
    </cfRule>
  </conditionalFormatting>
  <conditionalFormatting sqref="AD38">
    <cfRule type="iconSet" priority="376">
      <iconSet iconSet="3Symbols2" showValue="0">
        <cfvo type="percent" val="0"/>
        <cfvo type="percent" val="33"/>
        <cfvo type="percent" val="67"/>
      </iconSet>
    </cfRule>
  </conditionalFormatting>
  <conditionalFormatting sqref="AD39">
    <cfRule type="iconSet" priority="372">
      <iconSet iconSet="3Symbols2" showValue="0">
        <cfvo type="percent" val="0"/>
        <cfvo type="percent" val="33"/>
        <cfvo type="percent" val="67"/>
      </iconSet>
    </cfRule>
  </conditionalFormatting>
  <conditionalFormatting sqref="AE33">
    <cfRule type="expression" dxfId="448" priority="391">
      <formula>(TEXT(TODAY(),"aaaa"))="Thursday"</formula>
    </cfRule>
    <cfRule type="iconSet" priority="392">
      <iconSet iconSet="3Symbols2" showValue="0">
        <cfvo type="percent" val="0"/>
        <cfvo type="percent" val="33"/>
        <cfvo type="percent" val="67"/>
      </iconSet>
    </cfRule>
  </conditionalFormatting>
  <conditionalFormatting sqref="AE34">
    <cfRule type="expression" dxfId="447" priority="486">
      <formula>(TEXT(TODAY(),"aaaa"))="Wednesday"</formula>
    </cfRule>
    <cfRule type="iconSet" priority="485">
      <iconSet iconSet="3Symbols2" showValue="0">
        <cfvo type="percent" val="0"/>
        <cfvo type="percent" val="33"/>
        <cfvo type="percent" val="67"/>
      </iconSet>
    </cfRule>
  </conditionalFormatting>
  <conditionalFormatting sqref="AE35">
    <cfRule type="expression" dxfId="446" priority="387">
      <formula>(TEXT(TODAY(),"aaaa"))="Thursday"</formula>
    </cfRule>
    <cfRule type="iconSet" priority="388">
      <iconSet iconSet="3Symbols2" showValue="0">
        <cfvo type="percent" val="0"/>
        <cfvo type="percent" val="33"/>
        <cfvo type="percent" val="67"/>
      </iconSet>
    </cfRule>
  </conditionalFormatting>
  <conditionalFormatting sqref="AE39">
    <cfRule type="expression" dxfId="445" priority="477">
      <formula>(TEXT(TODAY(),"aaaa"))="Thursday"</formula>
    </cfRule>
    <cfRule type="iconSet" priority="478">
      <iconSet iconSet="3Symbols2" showValue="0">
        <cfvo type="percent" val="0"/>
        <cfvo type="percent" val="33"/>
        <cfvo type="percent" val="67"/>
      </iconSet>
    </cfRule>
  </conditionalFormatting>
  <conditionalFormatting sqref="AE33:AF37">
    <cfRule type="cellIs" dxfId="444" priority="389" operator="equal">
      <formula>"✔"</formula>
    </cfRule>
    <cfRule type="cellIs" dxfId="443" priority="390" operator="equal">
      <formula>"✖"</formula>
    </cfRule>
  </conditionalFormatting>
  <conditionalFormatting sqref="AE39:AJ39">
    <cfRule type="cellIs" dxfId="442" priority="480" operator="equal">
      <formula>"✖"</formula>
    </cfRule>
    <cfRule type="cellIs" dxfId="441" priority="479" operator="equal">
      <formula>"✔"</formula>
    </cfRule>
  </conditionalFormatting>
  <conditionalFormatting sqref="AE27:AP32">
    <cfRule type="cellIs" dxfId="440" priority="523" operator="equal">
      <formula>"✔"</formula>
    </cfRule>
    <cfRule type="cellIs" dxfId="439" priority="524" operator="equal">
      <formula>"✖"</formula>
    </cfRule>
  </conditionalFormatting>
  <conditionalFormatting sqref="AG33">
    <cfRule type="iconSet" priority="470">
      <iconSet iconSet="3Symbols2" showValue="0">
        <cfvo type="percent" val="0"/>
        <cfvo type="percent" val="33"/>
        <cfvo type="percent" val="67"/>
      </iconSet>
    </cfRule>
    <cfRule type="expression" dxfId="438" priority="469">
      <formula>(TEXT(TODAY(),"aaaa"))="Thursday"</formula>
    </cfRule>
  </conditionalFormatting>
  <conditionalFormatting sqref="AG40:AG54">
    <cfRule type="iconSet" priority="605">
      <iconSet iconSet="3Symbols2" showValue="0">
        <cfvo type="percent" val="0"/>
        <cfvo type="percent" val="33"/>
        <cfvo type="percent" val="67"/>
      </iconSet>
    </cfRule>
  </conditionalFormatting>
  <conditionalFormatting sqref="AG18:AK32">
    <cfRule type="expression" dxfId="437" priority="368">
      <formula>(TEXT(TODAY(),"aaaa"))="Wednesday"</formula>
    </cfRule>
  </conditionalFormatting>
  <conditionalFormatting sqref="AG34:AK39">
    <cfRule type="expression" dxfId="436" priority="498">
      <formula>(TEXT(TODAY(),"aaaa"))="Wednesday"</formula>
    </cfRule>
  </conditionalFormatting>
  <conditionalFormatting sqref="AG34:CE35">
    <cfRule type="cellIs" dxfId="435" priority="337" operator="equal">
      <formula>"✔"</formula>
    </cfRule>
    <cfRule type="cellIs" dxfId="434" priority="338" operator="equal">
      <formula>"✖"</formula>
    </cfRule>
  </conditionalFormatting>
  <conditionalFormatting sqref="AH27">
    <cfRule type="iconSet" priority="529">
      <iconSet iconSet="3Symbols2" showValue="0">
        <cfvo type="percent" val="0"/>
        <cfvo type="percent" val="33"/>
        <cfvo type="percent" val="67"/>
      </iconSet>
    </cfRule>
  </conditionalFormatting>
  <conditionalFormatting sqref="AH28">
    <cfRule type="iconSet" priority="525">
      <iconSet iconSet="3Symbols2" showValue="0">
        <cfvo type="percent" val="0"/>
        <cfvo type="percent" val="33"/>
        <cfvo type="percent" val="67"/>
      </iconSet>
    </cfRule>
  </conditionalFormatting>
  <conditionalFormatting sqref="AH29">
    <cfRule type="iconSet" priority="521">
      <iconSet iconSet="3Symbols2" showValue="0">
        <cfvo type="percent" val="0"/>
        <cfvo type="percent" val="33"/>
        <cfvo type="percent" val="67"/>
      </iconSet>
    </cfRule>
  </conditionalFormatting>
  <conditionalFormatting sqref="AH33:AK33 CF34:CF35 AU40:AU54">
    <cfRule type="expression" dxfId="433" priority="588">
      <formula>(TEXT(TODAY(),"aaaa"))="Wednesday"</formula>
    </cfRule>
  </conditionalFormatting>
  <conditionalFormatting sqref="AI39">
    <cfRule type="iconSet" priority="497">
      <iconSet iconSet="3Symbols2" showValue="0">
        <cfvo type="percent" val="0"/>
        <cfvo type="percent" val="33"/>
        <cfvo type="percent" val="67"/>
      </iconSet>
    </cfRule>
  </conditionalFormatting>
  <conditionalFormatting sqref="AK18:AK23">
    <cfRule type="cellIs" dxfId="432" priority="370" operator="equal">
      <formula>"✖"</formula>
    </cfRule>
    <cfRule type="cellIs" dxfId="431" priority="369" operator="equal">
      <formula>"✔"</formula>
    </cfRule>
    <cfRule type="iconSet" priority="367">
      <iconSet iconSet="3Symbols2" showValue="0">
        <cfvo type="percent" val="0"/>
        <cfvo type="percent" val="33"/>
        <cfvo type="percent" val="67"/>
      </iconSet>
    </cfRule>
  </conditionalFormatting>
  <conditionalFormatting sqref="AK39">
    <cfRule type="iconSet" priority="596">
      <iconSet iconSet="3Symbols2" showValue="0">
        <cfvo type="percent" val="0"/>
        <cfvo type="percent" val="33"/>
        <cfvo type="percent" val="67"/>
      </iconSet>
    </cfRule>
  </conditionalFormatting>
  <conditionalFormatting sqref="AK40:AK54">
    <cfRule type="iconSet" priority="611">
      <iconSet iconSet="3Symbols2" showValue="0">
        <cfvo type="percent" val="0"/>
        <cfvo type="percent" val="33"/>
        <cfvo type="percent" val="67"/>
      </iconSet>
    </cfRule>
  </conditionalFormatting>
  <conditionalFormatting sqref="AK39:AU54 W40:AJ54 CD49:CF54">
    <cfRule type="cellIs" dxfId="430" priority="140" operator="equal">
      <formula>"✔"</formula>
    </cfRule>
    <cfRule type="cellIs" dxfId="429" priority="141" operator="equal">
      <formula>"✖"</formula>
    </cfRule>
  </conditionalFormatting>
  <conditionalFormatting sqref="AL18 AN18:AP18 AL19:AN23 AP19:AP23 CO40:CO41 AG40:AG54 CO51:CO54 BK54:BN54">
    <cfRule type="expression" dxfId="428" priority="589">
      <formula>(TEXT(TODAY(),"aaaa"))="Thursday"</formula>
    </cfRule>
  </conditionalFormatting>
  <conditionalFormatting sqref="AL19:CA23">
    <cfRule type="cellIs" dxfId="427" priority="362" operator="equal">
      <formula>"✖"</formula>
    </cfRule>
    <cfRule type="cellIs" dxfId="426" priority="361" operator="equal">
      <formula>"✔"</formula>
    </cfRule>
  </conditionalFormatting>
  <conditionalFormatting sqref="AL18:CF18">
    <cfRule type="cellIs" dxfId="425" priority="366" operator="equal">
      <formula>"✖"</formula>
    </cfRule>
    <cfRule type="cellIs" dxfId="424" priority="365" operator="equal">
      <formula>"✔"</formula>
    </cfRule>
  </conditionalFormatting>
  <conditionalFormatting sqref="AM18">
    <cfRule type="expression" dxfId="423" priority="364">
      <formula>(TEXT(TODAY(),"aaaa"))="Wednesday"</formula>
    </cfRule>
    <cfRule type="iconSet" priority="363">
      <iconSet iconSet="3Symbols2" showValue="0">
        <cfvo type="percent" val="0"/>
        <cfvo type="percent" val="33"/>
        <cfvo type="percent" val="67"/>
      </iconSet>
    </cfRule>
  </conditionalFormatting>
  <conditionalFormatting sqref="AO19:AO23">
    <cfRule type="expression" dxfId="422" priority="360">
      <formula>(TEXT(TODAY(),"aaaa"))="Wednesday"</formula>
    </cfRule>
    <cfRule type="iconSet" priority="359">
      <iconSet iconSet="3Symbols2" showValue="0">
        <cfvo type="percent" val="0"/>
        <cfvo type="percent" val="33"/>
        <cfvo type="percent" val="67"/>
      </iconSet>
    </cfRule>
  </conditionalFormatting>
  <conditionalFormatting sqref="AQ24">
    <cfRule type="iconSet" priority="355">
      <iconSet iconSet="3Symbols2" showValue="0">
        <cfvo type="percent" val="0"/>
        <cfvo type="percent" val="33"/>
        <cfvo type="percent" val="67"/>
      </iconSet>
    </cfRule>
  </conditionalFormatting>
  <conditionalFormatting sqref="AQ24:AQ32">
    <cfRule type="cellIs" dxfId="421" priority="350" operator="equal">
      <formula>"✖"</formula>
    </cfRule>
    <cfRule type="cellIs" dxfId="420" priority="349" operator="equal">
      <formula>"✔"</formula>
    </cfRule>
    <cfRule type="expression" dxfId="419" priority="348">
      <formula>(TEXT(TODAY(),"aaaa"))="Wednesday"</formula>
    </cfRule>
  </conditionalFormatting>
  <conditionalFormatting sqref="AQ25">
    <cfRule type="iconSet" priority="351">
      <iconSet iconSet="3Symbols2" showValue="0">
        <cfvo type="percent" val="0"/>
        <cfvo type="percent" val="33"/>
        <cfvo type="percent" val="67"/>
      </iconSet>
    </cfRule>
  </conditionalFormatting>
  <conditionalFormatting sqref="AQ26">
    <cfRule type="iconSet" priority="347">
      <iconSet iconSet="3Symbols2" showValue="0">
        <cfvo type="percent" val="0"/>
        <cfvo type="percent" val="33"/>
        <cfvo type="percent" val="67"/>
      </iconSet>
    </cfRule>
  </conditionalFormatting>
  <conditionalFormatting sqref="AQ27:AQ32">
    <cfRule type="iconSet" priority="641">
      <iconSet iconSet="3Symbols2" showValue="0">
        <cfvo type="percent" val="0"/>
        <cfvo type="percent" val="33"/>
        <cfvo type="percent" val="67"/>
      </iconSet>
    </cfRule>
  </conditionalFormatting>
  <conditionalFormatting sqref="AQ39:AT54">
    <cfRule type="expression" dxfId="418" priority="494">
      <formula>(TEXT(TODAY(),"aaaa"))="Friday"</formula>
    </cfRule>
  </conditionalFormatting>
  <conditionalFormatting sqref="AR39">
    <cfRule type="iconSet" priority="493">
      <iconSet iconSet="3Symbols2" showValue="0">
        <cfvo type="percent" val="0"/>
        <cfvo type="percent" val="33"/>
        <cfvo type="percent" val="67"/>
      </iconSet>
    </cfRule>
  </conditionalFormatting>
  <conditionalFormatting sqref="AR40:AR54">
    <cfRule type="iconSet" priority="614">
      <iconSet iconSet="3Symbols2" showValue="0">
        <cfvo type="percent" val="0"/>
        <cfvo type="percent" val="33"/>
        <cfvo type="percent" val="67"/>
      </iconSet>
    </cfRule>
  </conditionalFormatting>
  <conditionalFormatting sqref="AR31:CL32 CG34:CL43">
    <cfRule type="cellIs" dxfId="417" priority="15" operator="equal">
      <formula>"✔"</formula>
    </cfRule>
    <cfRule type="cellIs" dxfId="416" priority="16" operator="equal">
      <formula>"✖"</formula>
    </cfRule>
  </conditionalFormatting>
  <conditionalFormatting sqref="AS33">
    <cfRule type="expression" dxfId="415" priority="344">
      <formula>(TEXT(TODAY(),"aaaa"))="Wednesday"</formula>
    </cfRule>
    <cfRule type="iconSet" priority="343">
      <iconSet iconSet="3Symbols2" showValue="0">
        <cfvo type="percent" val="0"/>
        <cfvo type="percent" val="33"/>
        <cfvo type="percent" val="67"/>
      </iconSet>
    </cfRule>
  </conditionalFormatting>
  <conditionalFormatting sqref="AU39">
    <cfRule type="expression" dxfId="414" priority="490">
      <formula>(TEXT(TODAY(),"aaaa"))="Friday"</formula>
    </cfRule>
    <cfRule type="iconSet" priority="489">
      <iconSet iconSet="3Symbols2" showValue="0">
        <cfvo type="percent" val="0"/>
        <cfvo type="percent" val="33"/>
        <cfvo type="percent" val="67"/>
      </iconSet>
    </cfRule>
  </conditionalFormatting>
  <conditionalFormatting sqref="AU40:AU54">
    <cfRule type="iconSet" priority="602">
      <iconSet iconSet="3Symbols2" showValue="0">
        <cfvo type="percent" val="0"/>
        <cfvo type="percent" val="33"/>
        <cfvo type="percent" val="67"/>
      </iconSet>
    </cfRule>
  </conditionalFormatting>
  <conditionalFormatting sqref="AV18:AZ54 BU18:BY54 W39:AA54">
    <cfRule type="expression" dxfId="413" priority="324">
      <formula>(TEXT(TODAY(),"aaaa"))="Monday"</formula>
    </cfRule>
  </conditionalFormatting>
  <conditionalFormatting sqref="AV39:CF41 CN39:CN43">
    <cfRule type="cellIs" dxfId="412" priority="330" operator="equal">
      <formula>"✔"</formula>
    </cfRule>
    <cfRule type="cellIs" dxfId="411" priority="331" operator="equal">
      <formula>"✖"</formula>
    </cfRule>
  </conditionalFormatting>
  <conditionalFormatting sqref="BE34">
    <cfRule type="expression" dxfId="410" priority="340">
      <formula>(TEXT(TODAY(),"aaaa"))="Wednesday"</formula>
    </cfRule>
    <cfRule type="iconSet" priority="339">
      <iconSet iconSet="3Symbols2" showValue="0">
        <cfvo type="percent" val="0"/>
        <cfvo type="percent" val="33"/>
        <cfvo type="percent" val="67"/>
      </iconSet>
    </cfRule>
  </conditionalFormatting>
  <conditionalFormatting sqref="BF18:BJ54 AH40:AK54">
    <cfRule type="expression" dxfId="409" priority="327">
      <formula>(TEXT(TODAY(),"aaaa"))="Wednesday"</formula>
    </cfRule>
  </conditionalFormatting>
  <conditionalFormatting sqref="BH35">
    <cfRule type="iconSet" priority="335">
      <iconSet iconSet="3Symbols2" showValue="0">
        <cfvo type="percent" val="0"/>
        <cfvo type="percent" val="33"/>
        <cfvo type="percent" val="67"/>
      </iconSet>
    </cfRule>
  </conditionalFormatting>
  <conditionalFormatting sqref="BK18:BO53 M18:Q54 AL24:AP54">
    <cfRule type="expression" dxfId="408" priority="328">
      <formula>(TEXT(TODAY(),"aaaa"))="Thursday"</formula>
    </cfRule>
  </conditionalFormatting>
  <conditionalFormatting sqref="BM18">
    <cfRule type="expression" dxfId="407" priority="21">
      <formula>(TEXT(TODAY(),"aaaa"))="Tuesday"</formula>
    </cfRule>
  </conditionalFormatting>
  <conditionalFormatting sqref="BO18">
    <cfRule type="expression" dxfId="406" priority="55">
      <formula>(TEXT(TODAY(),"aaaa"))="Tuesday"</formula>
    </cfRule>
  </conditionalFormatting>
  <conditionalFormatting sqref="BO54">
    <cfRule type="expression" dxfId="405" priority="60">
      <formula>(TEXT(TODAY(),"aaaa"))="Tuesday"</formula>
    </cfRule>
    <cfRule type="iconSet" priority="61">
      <iconSet iconSet="3Symbols2" showValue="0">
        <cfvo type="percent" val="0"/>
        <cfvo type="percent" val="33"/>
        <cfvo type="percent" val="67"/>
      </iconSet>
    </cfRule>
  </conditionalFormatting>
  <conditionalFormatting sqref="BP18:BT53 R26:V54">
    <cfRule type="expression" dxfId="404" priority="325">
      <formula>(TEXT(TODAY(),"aaaa"))="Friday"</formula>
    </cfRule>
  </conditionalFormatting>
  <conditionalFormatting sqref="BR54">
    <cfRule type="expression" dxfId="403" priority="57">
      <formula>(TEXT(TODAY(),"aaaa"))="Wednesday"</formula>
    </cfRule>
    <cfRule type="iconSet" priority="56">
      <iconSet iconSet="3Symbols2" showValue="0">
        <cfvo type="percent" val="0"/>
        <cfvo type="percent" val="33"/>
        <cfvo type="percent" val="67"/>
      </iconSet>
    </cfRule>
  </conditionalFormatting>
  <conditionalFormatting sqref="BZ34:CD41 BA35:BE54">
    <cfRule type="expression" dxfId="402" priority="326">
      <formula>(TEXT(TODAY(),"aaaa"))="Tuesday"</formula>
    </cfRule>
  </conditionalFormatting>
  <conditionalFormatting sqref="CB21:CB25">
    <cfRule type="cellIs" dxfId="401" priority="639" operator="equal">
      <formula>"✔"</formula>
    </cfRule>
    <cfRule type="cellIs" dxfId="400" priority="640" operator="equal">
      <formula>"✖"</formula>
    </cfRule>
    <cfRule type="expression" dxfId="399" priority="215">
      <formula>(TEXT(TODAY(),"aaaa"))="Wednesday"</formula>
    </cfRule>
    <cfRule type="iconSet" priority="638">
      <iconSet iconSet="3Symbols2" showValue="0">
        <cfvo type="percent" val="0"/>
        <cfvo type="percent" val="33"/>
        <cfvo type="percent" val="67"/>
      </iconSet>
    </cfRule>
  </conditionalFormatting>
  <conditionalFormatting sqref="CB18:CD20 CJ18:CL21 CN18:CN21 AB18:AF23 BZ18:CA25 BA18:BE33 DI18:DM33 CC21:CD21 CD22:CD24 CJ22:CN24 AD24:AF26 AC24:AC31 AB24:AB32 CC25:CD25 CJ25:CL25 CN25 BZ26:CB30 CD26:CD30 CJ26:CN30 AE27:AF32 BZ31:CD32 CJ31:CL32 AB33:AC33 BZ33:CB33 CD33 CJ33:CK33 AF33:AF35 BA34:BD34 CJ34:CL43 AE36:AF38 BZ42:CB54 CD42:CD54 CJ45:CL46 CN45:CN46 CN49:CN54 CJ49:CL57 CD58:CD65 CJ66:CL66 CD67:CD70 CJ71:CL82">
    <cfRule type="expression" dxfId="398" priority="587">
      <formula>(TEXT(TODAY(),"aaaa"))="Tuesday"</formula>
    </cfRule>
  </conditionalFormatting>
  <conditionalFormatting sqref="CC22:CC24 CC26:CC30 CC33 CC42:CC54 CC58:CC65 CC67:CC70">
    <cfRule type="expression" dxfId="397" priority="5">
      <formula>(TEXT(TODAY(),"aaaa"))="Wednesday"</formula>
    </cfRule>
  </conditionalFormatting>
  <conditionalFormatting sqref="CC22:CC24 CC26:CC30 CC33 CC44 CC47:CC48 CC58:CC65 CC67:CC70">
    <cfRule type="iconSet" priority="6">
      <iconSet iconSet="3Symbols2" showValue="0">
        <cfvo type="percent" val="0"/>
        <cfvo type="percent" val="33"/>
        <cfvo type="percent" val="67"/>
      </iconSet>
    </cfRule>
  </conditionalFormatting>
  <conditionalFormatting sqref="CC42:CC43 CC45:CC46 CC49:CC54">
    <cfRule type="iconSet" priority="629">
      <iconSet iconSet="3Symbols2" showValue="0">
        <cfvo type="percent" val="0"/>
        <cfvo type="percent" val="33"/>
        <cfvo type="percent" val="67"/>
      </iconSet>
    </cfRule>
  </conditionalFormatting>
  <conditionalFormatting sqref="CC21:CD24 AV42:CC54">
    <cfRule type="cellIs" dxfId="396" priority="8" operator="equal">
      <formula>"✖"</formula>
    </cfRule>
    <cfRule type="cellIs" dxfId="395" priority="7" operator="equal">
      <formula>"✔"</formula>
    </cfRule>
  </conditionalFormatting>
  <conditionalFormatting sqref="CD42:CF43">
    <cfRule type="cellIs" dxfId="394" priority="159" operator="equal">
      <formula>"✔"</formula>
    </cfRule>
    <cfRule type="cellIs" dxfId="393" priority="160" operator="equal">
      <formula>"✖"</formula>
    </cfRule>
  </conditionalFormatting>
  <conditionalFormatting sqref="CE18:CE20">
    <cfRule type="expression" dxfId="392" priority="208">
      <formula>(TEXT(TODAY(),"aaaa"))="Monday"</formula>
    </cfRule>
  </conditionalFormatting>
  <conditionalFormatting sqref="CE18:CE24 CE26:CE30 CE33 CE44 CE47:CE48 CE58:CE65 CE67:CE70">
    <cfRule type="iconSet" priority="211">
      <iconSet iconSet="3Symbols2" showValue="0">
        <cfvo type="percent" val="0"/>
        <cfvo type="percent" val="33"/>
        <cfvo type="percent" val="67"/>
      </iconSet>
    </cfRule>
    <cfRule type="expression" dxfId="391" priority="212">
      <formula>(TEXT(TODAY(),"aaaa"))="Wednesday"</formula>
    </cfRule>
  </conditionalFormatting>
  <conditionalFormatting sqref="CE18:CE24">
    <cfRule type="cellIs" dxfId="390" priority="213" operator="equal">
      <formula>"✔"</formula>
    </cfRule>
    <cfRule type="cellIs" dxfId="389" priority="214" operator="equal">
      <formula>"✖"</formula>
    </cfRule>
  </conditionalFormatting>
  <conditionalFormatting sqref="CE36">
    <cfRule type="iconSet" priority="281">
      <iconSet iconSet="3Symbols2" showValue="0">
        <cfvo type="percent" val="0"/>
        <cfvo type="percent" val="33"/>
        <cfvo type="percent" val="67"/>
      </iconSet>
    </cfRule>
  </conditionalFormatting>
  <conditionalFormatting sqref="CE36:CE37">
    <cfRule type="cellIs" dxfId="388" priority="279" operator="equal">
      <formula>"✖"</formula>
    </cfRule>
    <cfRule type="expression" dxfId="387" priority="276">
      <formula>(TEXT(TODAY(),"aaaa"))="Thursday"</formula>
    </cfRule>
    <cfRule type="cellIs" dxfId="386" priority="278" operator="equal">
      <formula>"✔"</formula>
    </cfRule>
  </conditionalFormatting>
  <conditionalFormatting sqref="CE37">
    <cfRule type="iconSet" priority="277">
      <iconSet iconSet="3Symbols2" showValue="0">
        <cfvo type="percent" val="0"/>
        <cfvo type="percent" val="33"/>
        <cfvo type="percent" val="67"/>
      </iconSet>
    </cfRule>
  </conditionalFormatting>
  <conditionalFormatting sqref="CE38:CF43 CE45:CF46 CE49:CF54">
    <cfRule type="expression" dxfId="385" priority="157">
      <formula>(TEXT(TODAY(),"aaaa"))="Monday"</formula>
    </cfRule>
  </conditionalFormatting>
  <conditionalFormatting sqref="CF18:CF21 CH18:CI21 CF22:CG24 CH25:CI25 CF26:CG30 CH31:CI32 CF33:CG33 CH34:CI43 CF36:CF37 CF44:CG44 CH45:CI46 CF47:CG48 CH49:CI57 CF58:CG65 CH66:CI66 CF67:CG70 CH71:CI82">
    <cfRule type="expression" dxfId="384" priority="315">
      <formula>(TEXT(TODAY(),"aaaa"))="Monday"</formula>
    </cfRule>
  </conditionalFormatting>
  <conditionalFormatting sqref="CF25 CF31:CF32 CF34:CF35">
    <cfRule type="iconSet" priority="656">
      <iconSet iconSet="3Symbols2" showValue="0">
        <cfvo type="percent" val="0"/>
        <cfvo type="percent" val="33"/>
        <cfvo type="percent" val="67"/>
      </iconSet>
    </cfRule>
  </conditionalFormatting>
  <conditionalFormatting sqref="CF42:CF43 CF45:CF46 CF49:CF54">
    <cfRule type="iconSet" priority="158">
      <iconSet iconSet="3Symbols2" showValue="0">
        <cfvo type="percent" val="0"/>
        <cfvo type="percent" val="33"/>
        <cfvo type="percent" val="67"/>
      </iconSet>
    </cfRule>
  </conditionalFormatting>
  <conditionalFormatting sqref="CF22:CI24 AR26:CN30 AG33:CL33 CD44:CN48 CC58:CH65 CC67:CH70">
    <cfRule type="cellIs" dxfId="383" priority="3" operator="equal">
      <formula>"✔"</formula>
    </cfRule>
    <cfRule type="cellIs" dxfId="382" priority="4" operator="equal">
      <formula>"✖"</formula>
    </cfRule>
  </conditionalFormatting>
  <conditionalFormatting sqref="CG18:CG21 CF25:CG25 CF31:CG32 CG34:CG43 CG45:CG46 CG49:CG57 CG66 CG71:CG82">
    <cfRule type="expression" dxfId="381" priority="13">
      <formula>(TEXT(TODAY(),"aaaa"))="Wednesday"</formula>
    </cfRule>
  </conditionalFormatting>
  <conditionalFormatting sqref="CG18:CG21 CG25 CG31:CG32 CG34:CG43 CG45:CG46 CG49:CG57 CG66 CG71:CG82">
    <cfRule type="iconSet" priority="14">
      <iconSet iconSet="3Symbols2" showValue="0">
        <cfvo type="percent" val="0"/>
        <cfvo type="percent" val="33"/>
        <cfvo type="percent" val="67"/>
      </iconSet>
    </cfRule>
  </conditionalFormatting>
  <conditionalFormatting sqref="CG18:CR21 CC25:CN25 CM31:CM43 CG49:CM57 CG66:CM66 CG71:CM82">
    <cfRule type="cellIs" dxfId="380" priority="11" operator="equal">
      <formula>"✔"</formula>
    </cfRule>
    <cfRule type="cellIs" dxfId="379" priority="12" operator="equal">
      <formula>"✖"</formula>
    </cfRule>
  </conditionalFormatting>
  <conditionalFormatting sqref="CH22:CH24 CH26:CH30 CH33 CH44 CH47:CH48 CH58:CH65 CH67:CH70">
    <cfRule type="expression" dxfId="378" priority="1">
      <formula>(TEXT(TODAY(),"aaaa"))="Friday"</formula>
    </cfRule>
    <cfRule type="iconSet" priority="2">
      <iconSet iconSet="3Symbols2" showValue="0">
        <cfvo type="percent" val="0"/>
        <cfvo type="percent" val="33"/>
        <cfvo type="percent" val="67"/>
      </iconSet>
    </cfRule>
  </conditionalFormatting>
  <conditionalFormatting sqref="CI22">
    <cfRule type="expression" dxfId="377" priority="310">
      <formula>(TEXT(TODAY(),"aaaa"))="Wednesday"</formula>
    </cfRule>
    <cfRule type="iconSet" priority="309">
      <iconSet iconSet="3Symbols2" showValue="0">
        <cfvo type="percent" val="0"/>
        <cfvo type="percent" val="33"/>
        <cfvo type="percent" val="67"/>
      </iconSet>
    </cfRule>
  </conditionalFormatting>
  <conditionalFormatting sqref="CI23:CI24 CI26:CI30">
    <cfRule type="iconSet" priority="653">
      <iconSet iconSet="3Symbols2" showValue="0">
        <cfvo type="percent" val="0"/>
        <cfvo type="percent" val="33"/>
        <cfvo type="percent" val="67"/>
      </iconSet>
    </cfRule>
  </conditionalFormatting>
  <conditionalFormatting sqref="CI33">
    <cfRule type="expression" dxfId="376" priority="243">
      <formula>(TEXT(TODAY(),"aaaa"))="Monday"</formula>
    </cfRule>
    <cfRule type="iconSet" priority="244">
      <iconSet iconSet="3Symbols2" showValue="0">
        <cfvo type="percent" val="0"/>
        <cfvo type="percent" val="33"/>
        <cfvo type="percent" val="67"/>
      </iconSet>
    </cfRule>
  </conditionalFormatting>
  <conditionalFormatting sqref="CJ44:CN44 CJ47:CN48">
    <cfRule type="expression" dxfId="375" priority="30">
      <formula>(TEXT(TODAY(),"aaaa"))="Tuesday"</formula>
    </cfRule>
  </conditionalFormatting>
  <conditionalFormatting sqref="CK44 CK47:CK48">
    <cfRule type="iconSet" priority="31">
      <iconSet iconSet="3Symbols2" showValue="0">
        <cfvo type="percent" val="0"/>
        <cfvo type="percent" val="33"/>
        <cfvo type="percent" val="67"/>
      </iconSet>
    </cfRule>
  </conditionalFormatting>
  <conditionalFormatting sqref="CL33">
    <cfRule type="iconSet" priority="306">
      <iconSet iconSet="3Symbols2" showValue="0">
        <cfvo type="percent" val="0"/>
        <cfvo type="percent" val="33"/>
        <cfvo type="percent" val="67"/>
      </iconSet>
    </cfRule>
  </conditionalFormatting>
  <conditionalFormatting sqref="CL33:CM33">
    <cfRule type="expression" dxfId="374" priority="227">
      <formula>(TEXT(TODAY(),"aaaa"))="Thursday"</formula>
    </cfRule>
  </conditionalFormatting>
  <conditionalFormatting sqref="CM18:CM21 CM25 CM31:CM32 CM34:CM43 CM45:CM46 CM49:CM57 CM66 CM71:CM82">
    <cfRule type="expression" dxfId="373" priority="9">
      <formula>(TEXT(TODAY(),"aaaa"))="Friday"</formula>
    </cfRule>
    <cfRule type="iconSet" priority="10">
      <iconSet iconSet="3Symbols2" showValue="0">
        <cfvo type="percent" val="0"/>
        <cfvo type="percent" val="33"/>
        <cfvo type="percent" val="67"/>
      </iconSet>
    </cfRule>
  </conditionalFormatting>
  <conditionalFormatting sqref="CM33">
    <cfRule type="iconSet" priority="228">
      <iconSet iconSet="3Symbols2" showValue="0">
        <cfvo type="percent" val="0"/>
        <cfvo type="percent" val="33"/>
        <cfvo type="percent" val="67"/>
      </iconSet>
    </cfRule>
  </conditionalFormatting>
  <conditionalFormatting sqref="CN31:CN43">
    <cfRule type="expression" dxfId="372" priority="216">
      <formula>(TEXT(TODAY(),"aaaa"))="Tuesday"</formula>
    </cfRule>
  </conditionalFormatting>
  <conditionalFormatting sqref="CN49:CN55">
    <cfRule type="cellIs" dxfId="371" priority="25" operator="equal">
      <formula>"✖"</formula>
    </cfRule>
    <cfRule type="cellIs" dxfId="370" priority="24" operator="equal">
      <formula>"✔"</formula>
    </cfRule>
  </conditionalFormatting>
  <conditionalFormatting sqref="CN55">
    <cfRule type="expression" dxfId="369" priority="22">
      <formula>(TEXT(TODAY(),"aaaa"))="Thursday"</formula>
    </cfRule>
    <cfRule type="iconSet" priority="23">
      <iconSet iconSet="3Symbols2" showValue="0">
        <cfvo type="percent" val="0"/>
        <cfvo type="percent" val="33"/>
        <cfvo type="percent" val="67"/>
      </iconSet>
    </cfRule>
  </conditionalFormatting>
  <conditionalFormatting sqref="CO33">
    <cfRule type="iconSet" priority="253">
      <iconSet iconSet="3Symbols2" showValue="0">
        <cfvo type="percent" val="0"/>
        <cfvo type="percent" val="33"/>
        <cfvo type="percent" val="67"/>
      </iconSet>
    </cfRule>
    <cfRule type="expression" dxfId="368" priority="252">
      <formula>(TEXT(TODAY(),"aaaa"))="Thursday"</formula>
    </cfRule>
  </conditionalFormatting>
  <conditionalFormatting sqref="CO40:CO41 CO51:CO54">
    <cfRule type="iconSet" priority="623">
      <iconSet iconSet="3Symbols2" showValue="0">
        <cfvo type="percent" val="0"/>
        <cfvo type="percent" val="33"/>
        <cfvo type="percent" val="67"/>
      </iconSet>
    </cfRule>
  </conditionalFormatting>
  <conditionalFormatting sqref="CO42:CO50">
    <cfRule type="iconSet" priority="149">
      <iconSet iconSet="3Symbols2" showValue="0">
        <cfvo type="percent" val="0"/>
        <cfvo type="percent" val="33"/>
        <cfvo type="percent" val="67"/>
      </iconSet>
    </cfRule>
    <cfRule type="expression" dxfId="367" priority="150">
      <formula>(TEXT(TODAY(),"aaaa"))="Wednesday"</formula>
    </cfRule>
  </conditionalFormatting>
  <conditionalFormatting sqref="CO39:CP54">
    <cfRule type="cellIs" dxfId="366" priority="35" operator="equal">
      <formula>"✔"</formula>
    </cfRule>
    <cfRule type="cellIs" dxfId="365" priority="36" operator="equal">
      <formula>"✖"</formula>
    </cfRule>
  </conditionalFormatting>
  <conditionalFormatting sqref="CO18:CS32">
    <cfRule type="expression" dxfId="364" priority="220">
      <formula>(TEXT(TODAY(),"aaaa"))="Wednesday"</formula>
    </cfRule>
  </conditionalFormatting>
  <conditionalFormatting sqref="CO24:CS30">
    <cfRule type="cellIs" dxfId="363" priority="296" operator="equal">
      <formula>"✖"</formula>
    </cfRule>
    <cfRule type="cellIs" dxfId="362" priority="295" operator="equal">
      <formula>"✔"</formula>
    </cfRule>
  </conditionalFormatting>
  <conditionalFormatting sqref="CO33:EH35">
    <cfRule type="cellIs" dxfId="361" priority="82" operator="equal">
      <formula>"✖"</formula>
    </cfRule>
    <cfRule type="cellIs" dxfId="360" priority="81" operator="equal">
      <formula>"✔"</formula>
    </cfRule>
  </conditionalFormatting>
  <conditionalFormatting sqref="CP27">
    <cfRule type="iconSet" priority="297">
      <iconSet iconSet="3Symbols2" showValue="0">
        <cfvo type="percent" val="0"/>
        <cfvo type="percent" val="33"/>
        <cfvo type="percent" val="67"/>
      </iconSet>
    </cfRule>
  </conditionalFormatting>
  <conditionalFormatting sqref="CP28">
    <cfRule type="iconSet" priority="293">
      <iconSet iconSet="3Symbols2" showValue="0">
        <cfvo type="percent" val="0"/>
        <cfvo type="percent" val="33"/>
        <cfvo type="percent" val="67"/>
      </iconSet>
    </cfRule>
  </conditionalFormatting>
  <conditionalFormatting sqref="CP29:CP30">
    <cfRule type="iconSet" priority="635">
      <iconSet iconSet="3Symbols2" showValue="0">
        <cfvo type="percent" val="0"/>
        <cfvo type="percent" val="33"/>
        <cfvo type="percent" val="67"/>
      </iconSet>
    </cfRule>
  </conditionalFormatting>
  <conditionalFormatting sqref="CP40:CP41 CR40:CS41">
    <cfRule type="expression" dxfId="359" priority="218">
      <formula>(TEXT(TODAY(),"aaaa"))="Wednesday"</formula>
    </cfRule>
  </conditionalFormatting>
  <conditionalFormatting sqref="CP52:CP53">
    <cfRule type="iconSet" priority="145">
      <iconSet iconSet="3Symbols2" showValue="0">
        <cfvo type="percent" val="0"/>
        <cfvo type="percent" val="33"/>
        <cfvo type="percent" val="67"/>
      </iconSet>
    </cfRule>
  </conditionalFormatting>
  <conditionalFormatting sqref="CP54">
    <cfRule type="iconSet" priority="34">
      <iconSet iconSet="3Symbols2" showValue="0">
        <cfvo type="percent" val="0"/>
        <cfvo type="percent" val="33"/>
        <cfvo type="percent" val="67"/>
      </iconSet>
    </cfRule>
  </conditionalFormatting>
  <conditionalFormatting sqref="CP33:CS33 CO34:CS35 CO36:CR36 CS36:CS39 CQ37:CR38 CO37:CP39">
    <cfRule type="expression" dxfId="358" priority="316">
      <formula>(TEXT(TODAY(),"aaaa"))="Wednesday"</formula>
    </cfRule>
  </conditionalFormatting>
  <conditionalFormatting sqref="CP42:CS54">
    <cfRule type="expression" dxfId="357" priority="146">
      <formula>(TEXT(TODAY(),"aaaa"))="Wednesday"</formula>
    </cfRule>
  </conditionalFormatting>
  <conditionalFormatting sqref="CQ39">
    <cfRule type="iconSet" priority="268">
      <iconSet iconSet="3Symbols2" showValue="0">
        <cfvo type="percent" val="0"/>
        <cfvo type="percent" val="33"/>
        <cfvo type="percent" val="67"/>
      </iconSet>
    </cfRule>
  </conditionalFormatting>
  <conditionalFormatting sqref="CQ39:CQ41">
    <cfRule type="expression" dxfId="356" priority="162">
      <formula>(TEXT(TODAY(),"aaaa"))="Wednesday"</formula>
    </cfRule>
  </conditionalFormatting>
  <conditionalFormatting sqref="CQ40">
    <cfRule type="iconSet" priority="165">
      <iconSet iconSet="3Symbols2" showValue="0">
        <cfvo type="percent" val="0"/>
        <cfvo type="percent" val="33"/>
        <cfvo type="percent" val="67"/>
      </iconSet>
    </cfRule>
  </conditionalFormatting>
  <conditionalFormatting sqref="CQ41">
    <cfRule type="iconSet" priority="161">
      <iconSet iconSet="3Symbols2" showValue="0">
        <cfvo type="percent" val="0"/>
        <cfvo type="percent" val="33"/>
        <cfvo type="percent" val="67"/>
      </iconSet>
    </cfRule>
  </conditionalFormatting>
  <conditionalFormatting sqref="CQ37:CR54">
    <cfRule type="cellIs" dxfId="355" priority="39" operator="equal">
      <formula>"✖"</formula>
    </cfRule>
    <cfRule type="cellIs" dxfId="354" priority="38" operator="equal">
      <formula>"✔"</formula>
    </cfRule>
  </conditionalFormatting>
  <conditionalFormatting sqref="CQ54:CR54">
    <cfRule type="iconSet" priority="37">
      <iconSet iconSet="3Symbols2" showValue="0">
        <cfvo type="percent" val="0"/>
        <cfvo type="percent" val="33"/>
        <cfvo type="percent" val="67"/>
      </iconSet>
    </cfRule>
  </conditionalFormatting>
  <conditionalFormatting sqref="CR39">
    <cfRule type="expression" dxfId="353" priority="314">
      <formula>(TEXT(TODAY(),"aaaa"))="Wednesday"</formula>
    </cfRule>
  </conditionalFormatting>
  <conditionalFormatting sqref="CS18:CS23">
    <cfRule type="iconSet" priority="219">
      <iconSet iconSet="3Symbols2" showValue="0">
        <cfvo type="percent" val="0"/>
        <cfvo type="percent" val="33"/>
        <cfvo type="percent" val="67"/>
      </iconSet>
    </cfRule>
    <cfRule type="cellIs" dxfId="352" priority="221" operator="equal">
      <formula>"✔"</formula>
    </cfRule>
    <cfRule type="cellIs" dxfId="351" priority="222" operator="equal">
      <formula>"✖"</formula>
    </cfRule>
  </conditionalFormatting>
  <conditionalFormatting sqref="CS39">
    <cfRule type="iconSet" priority="317">
      <iconSet iconSet="3Symbols2" showValue="0">
        <cfvo type="percent" val="0"/>
        <cfvo type="percent" val="33"/>
        <cfvo type="percent" val="67"/>
      </iconSet>
    </cfRule>
  </conditionalFormatting>
  <conditionalFormatting sqref="CS40:CS54">
    <cfRule type="iconSet" priority="626">
      <iconSet iconSet="3Symbols2" showValue="0">
        <cfvo type="percent" val="0"/>
        <cfvo type="percent" val="33"/>
        <cfvo type="percent" val="67"/>
      </iconSet>
    </cfRule>
  </conditionalFormatting>
  <conditionalFormatting sqref="CS36:EL54">
    <cfRule type="cellIs" dxfId="350" priority="42" operator="equal">
      <formula>"✖"</formula>
    </cfRule>
    <cfRule type="cellIs" dxfId="349" priority="41" operator="equal">
      <formula>"✔"</formula>
    </cfRule>
  </conditionalFormatting>
  <conditionalFormatting sqref="CT18 CV18:CX18 CT19:CV23 CX19:CX23 CT54:CW54">
    <cfRule type="expression" dxfId="348" priority="123">
      <formula>(TEXT(TODAY(),"aaaa"))="Thursday"</formula>
    </cfRule>
  </conditionalFormatting>
  <conditionalFormatting sqref="CT54:CW54 DB54 DD54:EJ54 EL54 CY54">
    <cfRule type="iconSet" priority="68">
      <iconSet iconSet="3Symbols2" showValue="0">
        <cfvo type="percent" val="0"/>
        <cfvo type="percent" val="33"/>
        <cfvo type="percent" val="67"/>
      </iconSet>
    </cfRule>
  </conditionalFormatting>
  <conditionalFormatting sqref="CT39:CY40 DA39:DB40 DD39:EL40">
    <cfRule type="iconSet" priority="124">
      <iconSet iconSet="3Symbols2" showValue="0">
        <cfvo type="percent" val="0"/>
        <cfvo type="percent" val="33"/>
        <cfvo type="percent" val="67"/>
      </iconSet>
    </cfRule>
  </conditionalFormatting>
  <conditionalFormatting sqref="CT41:CY41 DA41:DB41 DD41:EL41">
    <cfRule type="iconSet" priority="76">
      <iconSet iconSet="3Symbols2" showValue="0">
        <cfvo type="percent" val="0"/>
        <cfvo type="percent" val="33"/>
        <cfvo type="percent" val="67"/>
      </iconSet>
    </cfRule>
  </conditionalFormatting>
  <conditionalFormatting sqref="CT42:CY53 DA42:DB53 DD42:EJ53 EL42:EL53">
    <cfRule type="iconSet" priority="133">
      <iconSet iconSet="3Symbols2" showValue="0">
        <cfvo type="percent" val="0"/>
        <cfvo type="percent" val="33"/>
        <cfvo type="percent" val="67"/>
      </iconSet>
    </cfRule>
  </conditionalFormatting>
  <conditionalFormatting sqref="CT19:EH32">
    <cfRule type="cellIs" dxfId="347" priority="94" operator="equal">
      <formula>"✖"</formula>
    </cfRule>
    <cfRule type="cellIs" dxfId="346" priority="93" operator="equal">
      <formula>"✔"</formula>
    </cfRule>
  </conditionalFormatting>
  <conditionalFormatting sqref="CT18:EL18">
    <cfRule type="cellIs" dxfId="345" priority="109" operator="equal">
      <formula>"✔"</formula>
    </cfRule>
    <cfRule type="cellIs" dxfId="344" priority="110" operator="equal">
      <formula>"✖"</formula>
    </cfRule>
  </conditionalFormatting>
  <conditionalFormatting sqref="CU18">
    <cfRule type="iconSet" priority="107">
      <iconSet iconSet="3Symbols2" showValue="0">
        <cfvo type="percent" val="0"/>
        <cfvo type="percent" val="33"/>
        <cfvo type="percent" val="67"/>
      </iconSet>
    </cfRule>
    <cfRule type="expression" dxfId="343" priority="108">
      <formula>(TEXT(TODAY(),"aaaa"))="Wednesday"</formula>
    </cfRule>
  </conditionalFormatting>
  <conditionalFormatting sqref="CW19:CW23">
    <cfRule type="iconSet" priority="103">
      <iconSet iconSet="3Symbols2" showValue="0">
        <cfvo type="percent" val="0"/>
        <cfvo type="percent" val="33"/>
        <cfvo type="percent" val="67"/>
      </iconSet>
    </cfRule>
    <cfRule type="expression" dxfId="342" priority="104">
      <formula>(TEXT(TODAY(),"aaaa"))="Wednesday"</formula>
    </cfRule>
  </conditionalFormatting>
  <conditionalFormatting sqref="CX54">
    <cfRule type="iconSet" priority="52">
      <iconSet iconSet="3Symbols2" showValue="0">
        <cfvo type="percent" val="0"/>
        <cfvo type="percent" val="33"/>
        <cfvo type="percent" val="67"/>
      </iconSet>
    </cfRule>
    <cfRule type="expression" dxfId="341" priority="51">
      <formula>(TEXT(TODAY(),"aaaa"))="Wednesday"</formula>
    </cfRule>
    <cfRule type="iconSet" priority="48">
      <iconSet iconSet="3Symbols2" showValue="0">
        <cfvo type="percent" val="0"/>
        <cfvo type="percent" val="33"/>
        <cfvo type="percent" val="67"/>
      </iconSet>
    </cfRule>
    <cfRule type="expression" dxfId="340" priority="47">
      <formula>(TEXT(TODAY(),"aaaa"))="Tuesday"</formula>
    </cfRule>
  </conditionalFormatting>
  <conditionalFormatting sqref="CY24">
    <cfRule type="iconSet" priority="99">
      <iconSet iconSet="3Symbols2" showValue="0">
        <cfvo type="percent" val="0"/>
        <cfvo type="percent" val="33"/>
        <cfvo type="percent" val="67"/>
      </iconSet>
    </cfRule>
  </conditionalFormatting>
  <conditionalFormatting sqref="CY24:CY32">
    <cfRule type="expression" dxfId="339" priority="92">
      <formula>(TEXT(TODAY(),"aaaa"))="Wednesday"</formula>
    </cfRule>
  </conditionalFormatting>
  <conditionalFormatting sqref="CY25">
    <cfRule type="iconSet" priority="95">
      <iconSet iconSet="3Symbols2" showValue="0">
        <cfvo type="percent" val="0"/>
        <cfvo type="percent" val="33"/>
        <cfvo type="percent" val="67"/>
      </iconSet>
    </cfRule>
  </conditionalFormatting>
  <conditionalFormatting sqref="CY26">
    <cfRule type="iconSet" priority="91">
      <iconSet iconSet="3Symbols2" showValue="0">
        <cfvo type="percent" val="0"/>
        <cfvo type="percent" val="33"/>
        <cfvo type="percent" val="67"/>
      </iconSet>
    </cfRule>
  </conditionalFormatting>
  <conditionalFormatting sqref="CY27:CY32">
    <cfRule type="iconSet" priority="644">
      <iconSet iconSet="3Symbols2" showValue="0">
        <cfvo type="percent" val="0"/>
        <cfvo type="percent" val="33"/>
        <cfvo type="percent" val="67"/>
      </iconSet>
    </cfRule>
  </conditionalFormatting>
  <conditionalFormatting sqref="CY39:DB53">
    <cfRule type="expression" dxfId="338" priority="116">
      <formula>(TEXT(TODAY(),"aaaa"))="Friday"</formula>
    </cfRule>
  </conditionalFormatting>
  <conditionalFormatting sqref="CY18:DC23 CY33:CZ33 DB33:DC33 CY54:CZ54 DB54">
    <cfRule type="expression" dxfId="337" priority="120">
      <formula>(TEXT(TODAY(),"aaaa"))="Friday"</formula>
    </cfRule>
  </conditionalFormatting>
  <conditionalFormatting sqref="CZ39">
    <cfRule type="iconSet" priority="115">
      <iconSet iconSet="3Symbols2" showValue="0">
        <cfvo type="percent" val="0"/>
        <cfvo type="percent" val="33"/>
        <cfvo type="percent" val="67"/>
      </iconSet>
    </cfRule>
  </conditionalFormatting>
  <conditionalFormatting sqref="CZ40:CZ54">
    <cfRule type="iconSet" priority="130">
      <iconSet iconSet="3Symbols2" showValue="0">
        <cfvo type="percent" val="0"/>
        <cfvo type="percent" val="33"/>
        <cfvo type="percent" val="67"/>
      </iconSet>
    </cfRule>
  </conditionalFormatting>
  <conditionalFormatting sqref="DA33">
    <cfRule type="expression" dxfId="336" priority="88">
      <formula>(TEXT(TODAY(),"aaaa"))="Wednesday"</formula>
    </cfRule>
    <cfRule type="iconSet" priority="87">
      <iconSet iconSet="3Symbols2" showValue="0">
        <cfvo type="percent" val="0"/>
        <cfvo type="percent" val="33"/>
        <cfvo type="percent" val="67"/>
      </iconSet>
    </cfRule>
  </conditionalFormatting>
  <conditionalFormatting sqref="DA54">
    <cfRule type="iconSet" priority="43">
      <iconSet iconSet="3Symbols2" showValue="0">
        <cfvo type="percent" val="0"/>
        <cfvo type="percent" val="33"/>
        <cfvo type="percent" val="67"/>
      </iconSet>
    </cfRule>
    <cfRule type="iconSet" priority="40">
      <iconSet iconSet="3Symbols2" showValue="0">
        <cfvo type="percent" val="0"/>
        <cfvo type="percent" val="33"/>
        <cfvo type="percent" val="67"/>
      </iconSet>
    </cfRule>
    <cfRule type="expression" dxfId="335" priority="46">
      <formula>(TEXT(TODAY(),"aaaa"))="Wednesday"</formula>
    </cfRule>
  </conditionalFormatting>
  <conditionalFormatting sqref="DC39">
    <cfRule type="iconSet" priority="111">
      <iconSet iconSet="3Symbols2" showValue="0">
        <cfvo type="percent" val="0"/>
        <cfvo type="percent" val="33"/>
        <cfvo type="percent" val="67"/>
      </iconSet>
    </cfRule>
    <cfRule type="expression" dxfId="334" priority="112">
      <formula>(TEXT(TODAY(),"aaaa"))="Friday"</formula>
    </cfRule>
  </conditionalFormatting>
  <conditionalFormatting sqref="DC40:DC54 EK42:EK54">
    <cfRule type="expression" dxfId="333" priority="122">
      <formula>(TEXT(TODAY(),"aaaa"))="Wednesday"</formula>
    </cfRule>
  </conditionalFormatting>
  <conditionalFormatting sqref="DC40:DC54">
    <cfRule type="iconSet" priority="127">
      <iconSet iconSet="3Symbols2" showValue="0">
        <cfvo type="percent" val="0"/>
        <cfvo type="percent" val="33"/>
        <cfvo type="percent" val="67"/>
      </iconSet>
    </cfRule>
  </conditionalFormatting>
  <conditionalFormatting sqref="DD18:DH54 EC18:EG54">
    <cfRule type="expression" dxfId="332" priority="71">
      <formula>(TEXT(TODAY(),"aaaa"))="Monday"</formula>
    </cfRule>
  </conditionalFormatting>
  <conditionalFormatting sqref="DI34:DL34 EH42:EJ54 EL42:EL54">
    <cfRule type="expression" dxfId="331" priority="121">
      <formula>(TEXT(TODAY(),"aaaa"))="Tuesday"</formula>
    </cfRule>
  </conditionalFormatting>
  <conditionalFormatting sqref="DM34">
    <cfRule type="expression" dxfId="330" priority="84">
      <formula>(TEXT(TODAY(),"aaaa"))="Wednesday"</formula>
    </cfRule>
    <cfRule type="iconSet" priority="83">
      <iconSet iconSet="3Symbols2" showValue="0">
        <cfvo type="percent" val="0"/>
        <cfvo type="percent" val="33"/>
        <cfvo type="percent" val="67"/>
      </iconSet>
    </cfRule>
  </conditionalFormatting>
  <conditionalFormatting sqref="DN18:DR54">
    <cfRule type="expression" dxfId="329" priority="74">
      <formula>(TEXT(TODAY(),"aaaa"))="Wednesday"</formula>
    </cfRule>
  </conditionalFormatting>
  <conditionalFormatting sqref="DP35">
    <cfRule type="iconSet" priority="79">
      <iconSet iconSet="3Symbols2" showValue="0">
        <cfvo type="percent" val="0"/>
        <cfvo type="percent" val="33"/>
        <cfvo type="percent" val="67"/>
      </iconSet>
    </cfRule>
  </conditionalFormatting>
  <conditionalFormatting sqref="DS18:DW54 CT24:CX53">
    <cfRule type="expression" dxfId="328" priority="75">
      <formula>(TEXT(TODAY(),"aaaa"))="Thursday"</formula>
    </cfRule>
  </conditionalFormatting>
  <conditionalFormatting sqref="DX18:EB54">
    <cfRule type="expression" dxfId="327" priority="72">
      <formula>(TEXT(TODAY(),"aaaa"))="Friday"</formula>
    </cfRule>
  </conditionalFormatting>
  <conditionalFormatting sqref="EH18:EL41 DI35:DM54">
    <cfRule type="expression" dxfId="326" priority="73">
      <formula>(TEXT(TODAY(),"aaaa"))="Tuesday"</formula>
    </cfRule>
  </conditionalFormatting>
  <conditionalFormatting sqref="EK42:EK54">
    <cfRule type="iconSet" priority="136">
      <iconSet iconSet="3Symbols2" showValue="0">
        <cfvo type="percent" val="0"/>
        <cfvo type="percent" val="33"/>
        <cfvo type="percent" val="67"/>
      </iconSet>
    </cfRule>
  </conditionalFormatting>
  <dataValidations count="3">
    <dataValidation allowBlank="1" showInputMessage="1" showErrorMessage="1" prompt="Enter Time in this cell." sqref="AB14 BZ14 BA14" xr:uid="{2EB511CE-6218-4EE6-8162-0B4874955725}"/>
    <dataValidation allowBlank="1" showInputMessage="1" showErrorMessage="1" prompt="Enter Period time in this cell." sqref="AL14 BK14 M14" xr:uid="{AD464D4D-4C53-4990-9C7A-22231438E1E8}"/>
    <dataValidation allowBlank="1" showInputMessage="1" showErrorMessage="1" prompt="Enter Period time in next cell T7." sqref="AG14 BF14" xr:uid="{92C679C9-EC70-4256-8C13-FC132EC1A88C}"/>
  </dataValidation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AB155-281C-4128-8E2A-9F7970D8307A}">
  <sheetPr codeName="Sheet7"/>
  <dimension ref="B1:CF84"/>
  <sheetViews>
    <sheetView zoomScale="55" zoomScaleNormal="55" workbookViewId="0">
      <pane xSplit="10" ySplit="17" topLeftCell="K47" activePane="bottomRight" state="frozen"/>
      <selection pane="bottomRight" activeCell="J47" sqref="J47"/>
      <selection pane="bottomLeft" activeCell="A15" sqref="A15"/>
      <selection pane="topRight" activeCell="J1" sqref="J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5" style="8" customWidth="1"/>
    <col min="10" max="10" width="24" style="8" customWidth="1"/>
    <col min="11" max="11" width="19.85546875" style="7" customWidth="1"/>
    <col min="12" max="16" width="19.140625" style="7" bestFit="1" customWidth="1"/>
    <col min="17" max="19" width="22.42578125" style="7" bestFit="1" customWidth="1"/>
    <col min="20" max="20" width="17.85546875" style="7" customWidth="1"/>
    <col min="21" max="21" width="20.85546875" style="7" bestFit="1" customWidth="1"/>
    <col min="22" max="22" width="23.85546875" style="7" bestFit="1" customWidth="1"/>
    <col min="23" max="23" width="22.42578125" style="7" bestFit="1" customWidth="1"/>
    <col min="24" max="24" width="17.85546875" style="7" customWidth="1"/>
    <col min="25" max="25" width="21.7109375" style="7" bestFit="1" customWidth="1"/>
    <col min="26" max="26" width="17.85546875" style="7" customWidth="1"/>
    <col min="27" max="27" width="20.140625" style="7" customWidth="1"/>
    <col min="28" max="28" width="21.7109375" style="7" customWidth="1"/>
    <col min="29" max="30" width="22.42578125" style="7" bestFit="1" customWidth="1"/>
    <col min="31" max="31" width="18" style="7" bestFit="1" customWidth="1"/>
    <col min="32" max="32" width="22.42578125" style="7" bestFit="1" customWidth="1"/>
    <col min="33" max="33" width="19.85546875" style="7" bestFit="1" customWidth="1"/>
    <col min="34" max="34" width="22.42578125" style="7" bestFit="1" customWidth="1"/>
    <col min="35" max="35" width="23.85546875" style="7" bestFit="1" customWidth="1"/>
    <col min="36" max="36" width="19.85546875" style="7" customWidth="1"/>
    <col min="37" max="37" width="18" style="7" bestFit="1" customWidth="1"/>
    <col min="38" max="38" width="20.7109375" style="7" customWidth="1"/>
    <col min="39" max="39" width="20.140625" style="7" customWidth="1"/>
    <col min="40" max="40" width="21.7109375" style="7" bestFit="1" customWidth="1"/>
    <col min="41" max="48" width="17.85546875" style="7" customWidth="1"/>
    <col min="49" max="49" width="19.42578125" style="7" bestFit="1" customWidth="1"/>
    <col min="50" max="50" width="20.140625" style="7" bestFit="1" customWidth="1"/>
    <col min="51" max="51" width="23.5703125" style="7" customWidth="1"/>
    <col min="52" max="52" width="17.85546875" style="7" customWidth="1"/>
    <col min="53" max="53" width="20.140625" style="7" bestFit="1" customWidth="1"/>
    <col min="54" max="54" width="20.7109375" style="7" bestFit="1" customWidth="1"/>
    <col min="55" max="55" width="22.42578125" style="7" bestFit="1" customWidth="1"/>
    <col min="56" max="56" width="21.7109375" style="7" bestFit="1" customWidth="1"/>
    <col min="57" max="80" width="17.85546875" style="7" customWidth="1"/>
    <col min="81" max="81" width="34.7109375" style="9" customWidth="1"/>
    <col min="82" max="82" width="1.7109375" style="7" bestFit="1" customWidth="1"/>
    <col min="83" max="16384" width="10.42578125" style="7"/>
  </cols>
  <sheetData>
    <row r="1" spans="2:84" ht="39.75">
      <c r="B1" s="6" t="s">
        <v>1213</v>
      </c>
      <c r="CD1" s="10" t="s">
        <v>1336</v>
      </c>
    </row>
    <row r="2" spans="2:84" ht="39.75">
      <c r="B2" s="6"/>
      <c r="CD2" s="10"/>
    </row>
    <row r="3" spans="2:84" ht="18.75" customHeight="1">
      <c r="B3" s="6"/>
      <c r="E3" s="366" t="s">
        <v>0</v>
      </c>
      <c r="F3" s="366"/>
      <c r="G3" s="366"/>
      <c r="H3" s="366"/>
      <c r="I3" s="366"/>
      <c r="J3" s="366"/>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1"/>
      <c r="CD3" s="10"/>
    </row>
    <row r="4" spans="2:84" ht="18.75" customHeight="1">
      <c r="B4" s="6"/>
      <c r="E4" s="365" t="s">
        <v>1214</v>
      </c>
      <c r="F4" s="365"/>
      <c r="G4" s="365"/>
      <c r="H4" s="365"/>
      <c r="I4" s="365"/>
      <c r="J4" s="365"/>
      <c r="CD4" s="10"/>
    </row>
    <row r="5" spans="2:84" ht="18.75" customHeight="1">
      <c r="B5" s="6"/>
      <c r="E5" s="365" t="s">
        <v>1215</v>
      </c>
      <c r="F5" s="365"/>
      <c r="G5" s="365"/>
      <c r="H5" s="365"/>
      <c r="I5" s="365"/>
      <c r="J5" s="365"/>
      <c r="K5" s="11"/>
      <c r="L5" s="11"/>
      <c r="M5" s="11"/>
      <c r="N5" s="129" t="s">
        <v>1492</v>
      </c>
      <c r="O5" s="11"/>
      <c r="P5" s="11"/>
      <c r="R5" s="136" t="s">
        <v>1493</v>
      </c>
      <c r="S5" s="136" t="s">
        <v>1494</v>
      </c>
      <c r="CD5" s="10"/>
    </row>
    <row r="6" spans="2:84" ht="18.75" customHeight="1">
      <c r="B6" s="6"/>
      <c r="E6" s="367" t="s">
        <v>1216</v>
      </c>
      <c r="F6" s="367"/>
      <c r="G6" s="367"/>
      <c r="H6" s="367"/>
      <c r="I6" s="367"/>
      <c r="J6" s="367"/>
      <c r="Q6" s="129" t="s">
        <v>1495</v>
      </c>
      <c r="CD6" s="10"/>
    </row>
    <row r="7" spans="2:84" ht="18.75" customHeight="1">
      <c r="E7" s="366" t="s">
        <v>33</v>
      </c>
      <c r="F7" s="366"/>
      <c r="G7" s="366"/>
      <c r="H7" s="366"/>
      <c r="I7" s="366"/>
      <c r="J7" s="366"/>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1"/>
      <c r="CD7" s="10"/>
    </row>
    <row r="8" spans="2:84" ht="18.75" customHeight="1">
      <c r="E8" s="365" t="s">
        <v>1217</v>
      </c>
      <c r="F8" s="365"/>
      <c r="G8" s="365"/>
      <c r="H8" s="365"/>
      <c r="I8" s="365"/>
      <c r="J8" s="365"/>
      <c r="R8" s="129" t="s">
        <v>145</v>
      </c>
      <c r="S8" s="129" t="s">
        <v>150</v>
      </c>
      <c r="CD8" s="10"/>
    </row>
    <row r="9" spans="2:84" ht="21.75" customHeight="1">
      <c r="E9" s="365" t="s">
        <v>1218</v>
      </c>
      <c r="F9" s="365"/>
      <c r="G9" s="365"/>
      <c r="H9" s="365"/>
      <c r="I9" s="365"/>
      <c r="J9" s="365"/>
      <c r="U9" s="129" t="s">
        <v>155</v>
      </c>
      <c r="V9" s="129" t="s">
        <v>159</v>
      </c>
      <c r="W9" s="129" t="s">
        <v>168</v>
      </c>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D9" s="10"/>
    </row>
    <row r="10" spans="2:84" ht="28.5">
      <c r="E10" s="365" t="s">
        <v>1219</v>
      </c>
      <c r="F10" s="365"/>
      <c r="G10" s="365"/>
      <c r="H10" s="365"/>
      <c r="I10" s="365"/>
      <c r="J10" s="365"/>
      <c r="K10" s="11"/>
      <c r="L10" s="11"/>
      <c r="M10" s="11"/>
      <c r="N10" s="11"/>
      <c r="O10" s="11"/>
      <c r="P10" s="11"/>
      <c r="Q10" s="11"/>
      <c r="R10" s="11"/>
      <c r="S10" s="11"/>
      <c r="T10" s="11"/>
      <c r="U10" s="11"/>
      <c r="V10" s="11"/>
      <c r="W10" s="11"/>
      <c r="X10" s="11"/>
      <c r="Y10" s="129" t="s">
        <v>177</v>
      </c>
      <c r="Z10" s="11"/>
      <c r="AA10" s="129" t="s">
        <v>180</v>
      </c>
      <c r="AB10" s="129" t="s">
        <v>186</v>
      </c>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D10" s="10"/>
    </row>
    <row r="11" spans="2:84" ht="34.5" customHeight="1">
      <c r="E11" s="365" t="s">
        <v>1220</v>
      </c>
      <c r="F11" s="365"/>
      <c r="G11" s="365"/>
      <c r="H11" s="365"/>
      <c r="I11" s="365"/>
      <c r="J11" s="365"/>
      <c r="K11" s="11"/>
      <c r="L11" s="11"/>
      <c r="M11" s="11"/>
      <c r="N11" s="11"/>
      <c r="O11" s="11"/>
      <c r="P11" s="11"/>
      <c r="Q11" s="11"/>
      <c r="R11" s="11"/>
      <c r="S11" s="11"/>
      <c r="T11" s="11"/>
      <c r="U11" s="11"/>
      <c r="V11" s="11"/>
      <c r="W11" s="11"/>
      <c r="X11" s="11"/>
      <c r="Y11" s="11"/>
      <c r="Z11" s="11"/>
      <c r="AA11" s="11"/>
      <c r="AB11" s="11"/>
      <c r="AC11" s="129" t="s">
        <v>190</v>
      </c>
      <c r="AD11" s="129" t="s">
        <v>193</v>
      </c>
      <c r="AE11" s="11"/>
      <c r="AF11" s="129" t="s">
        <v>197</v>
      </c>
      <c r="AG11" s="129" t="s">
        <v>200</v>
      </c>
      <c r="AH11" s="129" t="s">
        <v>203</v>
      </c>
      <c r="AI11" s="129" t="s">
        <v>210</v>
      </c>
      <c r="AJ11" s="129" t="s">
        <v>1496</v>
      </c>
      <c r="AK11" s="11"/>
      <c r="AL11" s="129" t="s">
        <v>214</v>
      </c>
      <c r="AM11" s="129" t="s">
        <v>217</v>
      </c>
      <c r="AN11" s="129" t="s">
        <v>220</v>
      </c>
      <c r="AO11" s="11"/>
      <c r="AP11" s="11"/>
      <c r="AQ11" s="11"/>
      <c r="AR11" s="11"/>
      <c r="AS11" s="11"/>
      <c r="AT11" s="11"/>
      <c r="AU11" s="11"/>
      <c r="AV11" s="11"/>
      <c r="AW11" s="129" t="s">
        <v>224</v>
      </c>
      <c r="AX11" s="129" t="s">
        <v>228</v>
      </c>
      <c r="AY11" s="129" t="s">
        <v>231</v>
      </c>
      <c r="AZ11" s="11"/>
      <c r="BA11" s="129" t="s">
        <v>235</v>
      </c>
      <c r="BB11" s="129" t="s">
        <v>239</v>
      </c>
      <c r="BC11" s="129" t="s">
        <v>242</v>
      </c>
      <c r="BD11" s="129" t="s">
        <v>246</v>
      </c>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D11" s="10"/>
    </row>
    <row r="12" spans="2:84" ht="28.5">
      <c r="E12" s="367" t="s">
        <v>1216</v>
      </c>
      <c r="F12" s="367"/>
      <c r="G12" s="367"/>
      <c r="H12" s="367"/>
      <c r="I12" s="367"/>
      <c r="J12" s="367"/>
      <c r="K12" s="122"/>
      <c r="L12" s="122"/>
      <c r="M12" s="122"/>
      <c r="N12" s="122"/>
      <c r="O12" s="122"/>
      <c r="P12" s="122"/>
      <c r="Q12" s="122"/>
      <c r="R12" s="122"/>
      <c r="S12" s="122"/>
      <c r="T12" s="122"/>
      <c r="U12" s="122"/>
      <c r="V12" s="122"/>
      <c r="W12" s="122"/>
      <c r="X12" s="122"/>
      <c r="Y12" s="122"/>
      <c r="Z12" s="122"/>
      <c r="AA12" s="122"/>
      <c r="AB12" s="129" t="s">
        <v>1498</v>
      </c>
      <c r="AC12" s="122"/>
      <c r="AD12" s="122"/>
      <c r="AE12" s="129" t="s">
        <v>1499</v>
      </c>
      <c r="AF12" s="122"/>
      <c r="AG12" s="122"/>
      <c r="AH12" s="122"/>
      <c r="AI12" s="216" t="s">
        <v>1500</v>
      </c>
      <c r="AJ12" s="122"/>
      <c r="AK12" s="216" t="s">
        <v>1501</v>
      </c>
      <c r="AL12" s="216" t="s">
        <v>1502</v>
      </c>
      <c r="AM12" s="216" t="s">
        <v>1503</v>
      </c>
      <c r="AN12" s="122"/>
      <c r="AO12" s="122"/>
      <c r="AP12" s="216" t="s">
        <v>1504</v>
      </c>
      <c r="AQ12" s="122"/>
      <c r="AR12" s="122"/>
      <c r="AS12" s="122"/>
      <c r="AT12" s="122"/>
      <c r="AU12" s="122"/>
      <c r="AV12" s="122"/>
      <c r="AW12" s="129" t="s">
        <v>1505</v>
      </c>
      <c r="AX12" s="122"/>
      <c r="AY12" s="122"/>
      <c r="AZ12" s="122"/>
      <c r="BA12" s="129" t="s">
        <v>1506</v>
      </c>
      <c r="BB12" s="122"/>
      <c r="BC12" s="129" t="s">
        <v>1507</v>
      </c>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3"/>
      <c r="CD12" s="10"/>
    </row>
    <row r="13" spans="2:84">
      <c r="E13" s="12"/>
      <c r="CD13" s="10"/>
    </row>
    <row r="14" spans="2:84" s="13" customFormat="1" ht="39.75">
      <c r="E14" s="14"/>
      <c r="F14" s="15"/>
      <c r="G14" s="15"/>
      <c r="H14" s="15"/>
      <c r="I14" s="15"/>
      <c r="J14" s="15"/>
      <c r="K14" s="16"/>
      <c r="L14" s="16"/>
      <c r="M14" s="17"/>
      <c r="N14" s="17"/>
      <c r="O14" s="17"/>
      <c r="P14" s="17"/>
      <c r="Q14" s="17"/>
      <c r="R14" s="18"/>
      <c r="U14" s="16"/>
      <c r="V14" s="16"/>
      <c r="Z14" s="17"/>
      <c r="AA14" s="16"/>
      <c r="AE14" s="17"/>
      <c r="AG14" s="19"/>
      <c r="AH14" s="19"/>
      <c r="AI14" s="19"/>
      <c r="AJ14" s="16"/>
      <c r="AK14" s="16"/>
      <c r="AL14" s="17"/>
      <c r="AM14" s="17"/>
      <c r="AN14" s="17"/>
      <c r="AO14" s="17"/>
      <c r="AP14" s="17"/>
      <c r="AT14" s="16"/>
      <c r="AU14" s="16"/>
      <c r="AY14" s="17"/>
      <c r="AZ14" s="16"/>
      <c r="BD14" s="17"/>
      <c r="BF14" s="19"/>
      <c r="BG14" s="19"/>
      <c r="BH14" s="19"/>
      <c r="BI14" s="16"/>
      <c r="BJ14" s="16"/>
      <c r="BK14" s="17"/>
      <c r="BL14" s="17"/>
      <c r="BM14" s="17"/>
      <c r="BN14" s="17"/>
      <c r="BO14" s="17"/>
      <c r="BS14" s="16"/>
      <c r="BT14" s="16"/>
      <c r="BX14" s="17"/>
      <c r="BY14" s="16"/>
      <c r="CC14" s="20"/>
      <c r="CF14" s="21"/>
    </row>
    <row r="15" spans="2:84" ht="18">
      <c r="E15" s="22"/>
      <c r="F15" s="23"/>
      <c r="G15" s="23"/>
      <c r="H15" s="23"/>
      <c r="I15" s="23"/>
      <c r="J15" s="23"/>
      <c r="CC15" s="24"/>
      <c r="CF15" s="21"/>
    </row>
    <row r="16" spans="2:84" s="13" customFormat="1" ht="18">
      <c r="B16" s="25" t="s">
        <v>855</v>
      </c>
      <c r="C16" s="26" t="s">
        <v>856</v>
      </c>
      <c r="D16" s="27" t="s">
        <v>857</v>
      </c>
      <c r="E16" s="28" t="s">
        <v>859</v>
      </c>
      <c r="F16" s="28" t="s">
        <v>860</v>
      </c>
      <c r="G16" s="29" t="s">
        <v>861</v>
      </c>
      <c r="H16" s="29" t="s">
        <v>1516</v>
      </c>
      <c r="I16" s="29" t="s">
        <v>1232</v>
      </c>
      <c r="J16" s="29" t="s">
        <v>140</v>
      </c>
      <c r="K16" s="377" t="s">
        <v>1517</v>
      </c>
      <c r="L16" s="377"/>
      <c r="M16" s="377"/>
      <c r="N16" s="377"/>
      <c r="O16" s="377"/>
      <c r="P16" s="368" t="s">
        <v>1518</v>
      </c>
      <c r="Q16" s="368"/>
      <c r="R16" s="368"/>
      <c r="S16" s="368"/>
      <c r="T16" s="369"/>
      <c r="U16" s="362" t="s">
        <v>1519</v>
      </c>
      <c r="V16" s="363"/>
      <c r="W16" s="363"/>
      <c r="X16" s="363"/>
      <c r="Y16" s="364"/>
      <c r="Z16" s="359" t="s">
        <v>1520</v>
      </c>
      <c r="AA16" s="360"/>
      <c r="AB16" s="360"/>
      <c r="AC16" s="360"/>
      <c r="AD16" s="361"/>
      <c r="AE16" s="370" t="s">
        <v>1521</v>
      </c>
      <c r="AF16" s="371"/>
      <c r="AG16" s="371"/>
      <c r="AH16" s="371"/>
      <c r="AI16" s="372"/>
      <c r="AJ16" s="373" t="s">
        <v>1522</v>
      </c>
      <c r="AK16" s="374"/>
      <c r="AL16" s="374"/>
      <c r="AM16" s="374"/>
      <c r="AN16" s="374"/>
      <c r="AO16" s="368" t="s">
        <v>1523</v>
      </c>
      <c r="AP16" s="368"/>
      <c r="AQ16" s="368"/>
      <c r="AR16" s="368"/>
      <c r="AS16" s="369"/>
      <c r="AT16" s="362" t="s">
        <v>1524</v>
      </c>
      <c r="AU16" s="363"/>
      <c r="AV16" s="363"/>
      <c r="AW16" s="363"/>
      <c r="AX16" s="364"/>
      <c r="AY16" s="359" t="s">
        <v>1525</v>
      </c>
      <c r="AZ16" s="360"/>
      <c r="BA16" s="360"/>
      <c r="BB16" s="360"/>
      <c r="BC16" s="361"/>
      <c r="BD16" s="370" t="s">
        <v>1526</v>
      </c>
      <c r="BE16" s="371"/>
      <c r="BF16" s="371"/>
      <c r="BG16" s="371"/>
      <c r="BH16" s="372"/>
      <c r="BI16" s="373" t="s">
        <v>1527</v>
      </c>
      <c r="BJ16" s="374"/>
      <c r="BK16" s="374"/>
      <c r="BL16" s="374"/>
      <c r="BM16" s="374"/>
      <c r="BN16" s="368" t="s">
        <v>1528</v>
      </c>
      <c r="BO16" s="368"/>
      <c r="BP16" s="368"/>
      <c r="BQ16" s="368"/>
      <c r="BR16" s="369"/>
      <c r="BS16" s="362" t="s">
        <v>1529</v>
      </c>
      <c r="BT16" s="363"/>
      <c r="BU16" s="363"/>
      <c r="BV16" s="363"/>
      <c r="BW16" s="364"/>
      <c r="BX16" s="359" t="s">
        <v>1530</v>
      </c>
      <c r="BY16" s="360"/>
      <c r="BZ16" s="360"/>
      <c r="CA16" s="360"/>
      <c r="CB16" s="361"/>
      <c r="CC16" s="375" t="s">
        <v>1440</v>
      </c>
    </row>
    <row r="17" spans="2:81" s="21" customFormat="1" ht="18">
      <c r="B17" s="30"/>
      <c r="C17" s="31"/>
      <c r="D17" s="32"/>
      <c r="E17" s="33"/>
      <c r="F17" s="33"/>
      <c r="G17" s="34"/>
      <c r="H17" s="29" t="s">
        <v>1531</v>
      </c>
      <c r="I17" s="29" t="s">
        <v>856</v>
      </c>
      <c r="J17" s="29" t="s">
        <v>1247</v>
      </c>
      <c r="K17" s="35" t="s">
        <v>1248</v>
      </c>
      <c r="L17" s="36" t="s">
        <v>1249</v>
      </c>
      <c r="M17" s="36" t="s">
        <v>1250</v>
      </c>
      <c r="N17" s="36" t="s">
        <v>1251</v>
      </c>
      <c r="O17" s="36" t="s">
        <v>1252</v>
      </c>
      <c r="P17" s="37" t="s">
        <v>1248</v>
      </c>
      <c r="Q17" s="38" t="s">
        <v>1249</v>
      </c>
      <c r="R17" s="38" t="s">
        <v>1250</v>
      </c>
      <c r="S17" s="38" t="s">
        <v>1251</v>
      </c>
      <c r="T17" s="38" t="s">
        <v>1252</v>
      </c>
      <c r="U17" s="39" t="s">
        <v>1248</v>
      </c>
      <c r="V17" s="40" t="s">
        <v>1249</v>
      </c>
      <c r="W17" s="40" t="s">
        <v>1250</v>
      </c>
      <c r="X17" s="40" t="s">
        <v>1251</v>
      </c>
      <c r="Y17" s="39" t="s">
        <v>1252</v>
      </c>
      <c r="Z17" s="41" t="s">
        <v>1248</v>
      </c>
      <c r="AA17" s="42" t="s">
        <v>1249</v>
      </c>
      <c r="AB17" s="42" t="s">
        <v>1250</v>
      </c>
      <c r="AC17" s="42" t="s">
        <v>1251</v>
      </c>
      <c r="AD17" s="42" t="s">
        <v>1252</v>
      </c>
      <c r="AE17" s="43" t="s">
        <v>1248</v>
      </c>
      <c r="AF17" s="44" t="s">
        <v>1249</v>
      </c>
      <c r="AG17" s="44" t="s">
        <v>1250</v>
      </c>
      <c r="AH17" s="44" t="s">
        <v>1251</v>
      </c>
      <c r="AI17" s="44" t="s">
        <v>1252</v>
      </c>
      <c r="AJ17" s="35" t="s">
        <v>1248</v>
      </c>
      <c r="AK17" s="36" t="s">
        <v>1249</v>
      </c>
      <c r="AL17" s="36" t="s">
        <v>1250</v>
      </c>
      <c r="AM17" s="36" t="s">
        <v>1251</v>
      </c>
      <c r="AN17" s="36" t="s">
        <v>1252</v>
      </c>
      <c r="AO17" s="37" t="s">
        <v>1248</v>
      </c>
      <c r="AP17" s="38" t="s">
        <v>1249</v>
      </c>
      <c r="AQ17" s="38" t="s">
        <v>1250</v>
      </c>
      <c r="AR17" s="38" t="s">
        <v>1251</v>
      </c>
      <c r="AS17" s="38" t="s">
        <v>1252</v>
      </c>
      <c r="AT17" s="39" t="s">
        <v>1248</v>
      </c>
      <c r="AU17" s="40" t="s">
        <v>1249</v>
      </c>
      <c r="AV17" s="40" t="s">
        <v>1250</v>
      </c>
      <c r="AW17" s="40" t="s">
        <v>1251</v>
      </c>
      <c r="AX17" s="39" t="s">
        <v>1252</v>
      </c>
      <c r="AY17" s="41" t="s">
        <v>1248</v>
      </c>
      <c r="AZ17" s="42" t="s">
        <v>1249</v>
      </c>
      <c r="BA17" s="42" t="s">
        <v>1250</v>
      </c>
      <c r="BB17" s="42" t="s">
        <v>1251</v>
      </c>
      <c r="BC17" s="42" t="s">
        <v>1252</v>
      </c>
      <c r="BD17" s="45" t="s">
        <v>1248</v>
      </c>
      <c r="BE17" s="46" t="s">
        <v>1249</v>
      </c>
      <c r="BF17" s="44" t="s">
        <v>1250</v>
      </c>
      <c r="BG17" s="44" t="s">
        <v>1251</v>
      </c>
      <c r="BH17" s="44" t="s">
        <v>1252</v>
      </c>
      <c r="BI17" s="35" t="s">
        <v>1248</v>
      </c>
      <c r="BJ17" s="36" t="s">
        <v>1249</v>
      </c>
      <c r="BK17" s="36" t="s">
        <v>1250</v>
      </c>
      <c r="BL17" s="36" t="s">
        <v>1251</v>
      </c>
      <c r="BM17" s="36" t="s">
        <v>1252</v>
      </c>
      <c r="BN17" s="37" t="s">
        <v>1248</v>
      </c>
      <c r="BO17" s="38" t="s">
        <v>1249</v>
      </c>
      <c r="BP17" s="38" t="s">
        <v>1250</v>
      </c>
      <c r="BQ17" s="38" t="s">
        <v>1251</v>
      </c>
      <c r="BR17" s="38" t="s">
        <v>1252</v>
      </c>
      <c r="BS17" s="39" t="s">
        <v>1248</v>
      </c>
      <c r="BT17" s="40" t="s">
        <v>1249</v>
      </c>
      <c r="BU17" s="40" t="s">
        <v>1250</v>
      </c>
      <c r="BV17" s="40" t="s">
        <v>1251</v>
      </c>
      <c r="BW17" s="39" t="s">
        <v>1252</v>
      </c>
      <c r="BX17" s="41" t="s">
        <v>1248</v>
      </c>
      <c r="BY17" s="42" t="s">
        <v>1249</v>
      </c>
      <c r="BZ17" s="42" t="s">
        <v>1250</v>
      </c>
      <c r="CA17" s="42" t="s">
        <v>1251</v>
      </c>
      <c r="CB17" s="42" t="s">
        <v>1252</v>
      </c>
      <c r="CC17" s="376"/>
    </row>
    <row r="18" spans="2:81" ht="45">
      <c r="B18" s="47" t="s">
        <v>899</v>
      </c>
      <c r="C18" s="48" t="s">
        <v>1541</v>
      </c>
      <c r="D18" s="49" t="s">
        <v>940</v>
      </c>
      <c r="E18" s="70" t="s">
        <v>1451</v>
      </c>
      <c r="F18" s="71" t="s">
        <v>1557</v>
      </c>
      <c r="G18" s="52" t="s">
        <v>1558</v>
      </c>
      <c r="H18" s="49" t="s">
        <v>33</v>
      </c>
      <c r="I18" s="49" t="s">
        <v>1559</v>
      </c>
      <c r="J18" s="49" t="s">
        <v>1560</v>
      </c>
      <c r="K18" s="72"/>
      <c r="L18" s="73"/>
      <c r="M18" s="73"/>
      <c r="N18" s="73"/>
      <c r="O18" s="73"/>
      <c r="P18" s="56"/>
      <c r="Q18" s="56"/>
      <c r="R18" s="56"/>
      <c r="S18" s="56"/>
      <c r="T18" s="56"/>
      <c r="U18" s="57"/>
      <c r="V18" s="58"/>
      <c r="W18" s="58"/>
      <c r="X18" s="221"/>
      <c r="Y18" s="57"/>
      <c r="Z18" s="60"/>
      <c r="AA18" s="61"/>
      <c r="AB18" s="61"/>
      <c r="AC18" s="61"/>
      <c r="AD18" s="61"/>
      <c r="AE18" s="63"/>
      <c r="AF18" s="64"/>
      <c r="AG18" s="64"/>
      <c r="AH18" s="64"/>
      <c r="AI18" s="64"/>
      <c r="AJ18" s="72"/>
      <c r="AK18" s="64"/>
      <c r="AL18" s="73"/>
      <c r="AM18" s="73"/>
      <c r="AN18" s="73"/>
      <c r="AO18" s="66"/>
      <c r="AP18" s="56"/>
      <c r="AQ18" s="56"/>
      <c r="AR18" s="56"/>
      <c r="AS18" s="56"/>
      <c r="AT18" s="57"/>
      <c r="AU18" s="58"/>
      <c r="AV18" s="58"/>
      <c r="AW18" s="58"/>
      <c r="AX18" s="103"/>
      <c r="AY18" s="106"/>
      <c r="AZ18" s="223" t="s">
        <v>860</v>
      </c>
      <c r="BA18" s="107"/>
      <c r="BB18" s="139" t="s">
        <v>861</v>
      </c>
      <c r="BC18" s="64"/>
      <c r="BD18" s="63"/>
      <c r="BE18" s="64"/>
      <c r="BF18" s="64"/>
      <c r="BG18" s="64"/>
      <c r="BH18" s="64"/>
      <c r="BI18" s="72"/>
      <c r="BJ18" s="73"/>
      <c r="BK18" s="73"/>
      <c r="BL18" s="73"/>
      <c r="BM18" s="73"/>
      <c r="BN18" s="66"/>
      <c r="BO18" s="56"/>
      <c r="BP18" s="56"/>
      <c r="BQ18" s="56"/>
      <c r="BR18" s="56"/>
      <c r="BS18" s="57"/>
      <c r="BT18" s="58"/>
      <c r="BU18" s="58"/>
      <c r="BV18" s="58"/>
      <c r="BW18" s="57"/>
      <c r="BX18" s="60"/>
      <c r="BY18" s="61"/>
      <c r="BZ18" s="61"/>
      <c r="CA18" s="61"/>
      <c r="CB18" s="61"/>
      <c r="CC18" s="74"/>
    </row>
    <row r="19" spans="2:81" ht="36.75" customHeight="1">
      <c r="B19" s="47" t="s">
        <v>899</v>
      </c>
      <c r="C19" s="48" t="s">
        <v>1541</v>
      </c>
      <c r="D19" s="49" t="s">
        <v>942</v>
      </c>
      <c r="E19" s="70" t="s">
        <v>943</v>
      </c>
      <c r="F19" s="71" t="s">
        <v>1557</v>
      </c>
      <c r="G19" s="52" t="s">
        <v>1558</v>
      </c>
      <c r="H19" s="49" t="s">
        <v>33</v>
      </c>
      <c r="I19" s="49" t="s">
        <v>1559</v>
      </c>
      <c r="J19" s="49" t="s">
        <v>1560</v>
      </c>
      <c r="K19" s="72"/>
      <c r="L19" s="73"/>
      <c r="M19" s="73"/>
      <c r="N19" s="73"/>
      <c r="O19" s="73"/>
      <c r="P19" s="56"/>
      <c r="Q19" s="56"/>
      <c r="R19" s="56"/>
      <c r="S19" s="56"/>
      <c r="T19" s="56"/>
      <c r="U19" s="57"/>
      <c r="V19" s="76"/>
      <c r="W19" s="77"/>
      <c r="X19" s="96"/>
      <c r="Y19" s="57"/>
      <c r="Z19" s="60"/>
      <c r="AA19" s="61"/>
      <c r="AB19" s="61"/>
      <c r="AC19" s="61"/>
      <c r="AD19" s="61"/>
      <c r="AE19" s="63"/>
      <c r="AF19" s="64"/>
      <c r="AG19" s="64"/>
      <c r="AH19" s="64"/>
      <c r="AI19" s="64"/>
      <c r="AJ19" s="72"/>
      <c r="AK19" s="73"/>
      <c r="AL19" s="73"/>
      <c r="AM19" s="64"/>
      <c r="AN19" s="73"/>
      <c r="AO19" s="66"/>
      <c r="AP19" s="56"/>
      <c r="AQ19" s="56"/>
      <c r="AR19" s="56"/>
      <c r="AS19" s="56"/>
      <c r="AT19" s="57"/>
      <c r="AU19" s="76"/>
      <c r="AV19" s="77"/>
      <c r="AW19" s="77"/>
      <c r="AX19" s="103"/>
      <c r="AY19" s="106"/>
      <c r="AZ19" s="223" t="s">
        <v>860</v>
      </c>
      <c r="BA19" s="107"/>
      <c r="BB19" s="139" t="s">
        <v>861</v>
      </c>
      <c r="BC19" s="64"/>
      <c r="BD19" s="63"/>
      <c r="BE19" s="64"/>
      <c r="BF19" s="64"/>
      <c r="BG19" s="64"/>
      <c r="BH19" s="64"/>
      <c r="BI19" s="72"/>
      <c r="BJ19" s="73"/>
      <c r="BK19" s="73"/>
      <c r="BL19" s="73"/>
      <c r="BM19" s="73"/>
      <c r="BN19" s="66"/>
      <c r="BO19" s="56"/>
      <c r="BP19" s="56"/>
      <c r="BQ19" s="56"/>
      <c r="BR19" s="56"/>
      <c r="BS19" s="57"/>
      <c r="BT19" s="76"/>
      <c r="BU19" s="77"/>
      <c r="BV19" s="77"/>
      <c r="BW19" s="57"/>
      <c r="BX19" s="60"/>
      <c r="BY19" s="61"/>
      <c r="BZ19" s="61"/>
      <c r="CA19" s="61"/>
      <c r="CB19" s="61"/>
      <c r="CC19" s="74"/>
    </row>
    <row r="20" spans="2:81" ht="45">
      <c r="B20" s="47" t="s">
        <v>899</v>
      </c>
      <c r="C20" s="48" t="s">
        <v>1541</v>
      </c>
      <c r="D20" s="49" t="s">
        <v>944</v>
      </c>
      <c r="E20" s="70" t="s">
        <v>945</v>
      </c>
      <c r="F20" s="71" t="s">
        <v>1557</v>
      </c>
      <c r="G20" s="52" t="s">
        <v>1558</v>
      </c>
      <c r="H20" s="49" t="s">
        <v>33</v>
      </c>
      <c r="I20" s="49" t="s">
        <v>1559</v>
      </c>
      <c r="J20" s="49" t="s">
        <v>1560</v>
      </c>
      <c r="K20" s="72"/>
      <c r="L20" s="73"/>
      <c r="M20" s="73"/>
      <c r="N20" s="73"/>
      <c r="O20" s="73"/>
      <c r="P20" s="56"/>
      <c r="Q20" s="56"/>
      <c r="R20" s="56"/>
      <c r="S20" s="56"/>
      <c r="T20" s="56"/>
      <c r="U20" s="77"/>
      <c r="V20" s="77"/>
      <c r="W20" s="77"/>
      <c r="X20" s="96"/>
      <c r="Y20" s="57"/>
      <c r="Z20" s="60"/>
      <c r="AA20" s="61"/>
      <c r="AB20" s="61"/>
      <c r="AC20" s="61"/>
      <c r="AD20" s="61"/>
      <c r="AE20" s="63"/>
      <c r="AF20" s="64"/>
      <c r="AG20" s="64"/>
      <c r="AH20" s="64"/>
      <c r="AI20" s="64"/>
      <c r="AJ20" s="72"/>
      <c r="AK20" s="73"/>
      <c r="AL20" s="73"/>
      <c r="AM20" s="64"/>
      <c r="AN20" s="73"/>
      <c r="AO20" s="66"/>
      <c r="AP20" s="56"/>
      <c r="AQ20" s="56"/>
      <c r="AR20" s="56"/>
      <c r="AS20" s="56"/>
      <c r="AT20" s="77"/>
      <c r="AU20" s="77"/>
      <c r="AV20" s="77"/>
      <c r="AW20" s="77"/>
      <c r="AX20" s="103"/>
      <c r="AY20" s="106"/>
      <c r="AZ20" s="223" t="s">
        <v>860</v>
      </c>
      <c r="BA20" s="107"/>
      <c r="BB20" s="139" t="s">
        <v>861</v>
      </c>
      <c r="BC20" s="64"/>
      <c r="BD20" s="63"/>
      <c r="BE20" s="64"/>
      <c r="BF20" s="64"/>
      <c r="BG20" s="64"/>
      <c r="BH20" s="64"/>
      <c r="BI20" s="72"/>
      <c r="BJ20" s="73"/>
      <c r="BK20" s="73"/>
      <c r="BL20" s="73"/>
      <c r="BM20" s="73"/>
      <c r="BN20" s="66"/>
      <c r="BO20" s="56"/>
      <c r="BP20" s="56"/>
      <c r="BQ20" s="56"/>
      <c r="BR20" s="56"/>
      <c r="BS20" s="77"/>
      <c r="BT20" s="77"/>
      <c r="BU20" s="77"/>
      <c r="BV20" s="77"/>
      <c r="BW20" s="57"/>
      <c r="BX20" s="60"/>
      <c r="BY20" s="61"/>
      <c r="BZ20" s="61"/>
      <c r="CA20" s="61"/>
      <c r="CB20" s="61"/>
      <c r="CC20" s="74"/>
    </row>
    <row r="21" spans="2:81" ht="45">
      <c r="B21" s="47" t="s">
        <v>899</v>
      </c>
      <c r="C21" s="48" t="s">
        <v>1541</v>
      </c>
      <c r="D21" s="49" t="s">
        <v>1452</v>
      </c>
      <c r="E21" s="70" t="s">
        <v>916</v>
      </c>
      <c r="F21" s="71" t="s">
        <v>1557</v>
      </c>
      <c r="G21" s="52" t="s">
        <v>1558</v>
      </c>
      <c r="H21" s="49" t="s">
        <v>33</v>
      </c>
      <c r="I21" s="49" t="s">
        <v>1559</v>
      </c>
      <c r="J21" s="49" t="s">
        <v>1560</v>
      </c>
      <c r="K21" s="72"/>
      <c r="L21" s="73"/>
      <c r="M21" s="73"/>
      <c r="N21" s="73"/>
      <c r="O21" s="73"/>
      <c r="P21" s="56"/>
      <c r="Q21" s="56"/>
      <c r="R21" s="56"/>
      <c r="S21" s="56"/>
      <c r="T21" s="56"/>
      <c r="U21" s="54"/>
      <c r="V21" s="77"/>
      <c r="W21" s="77"/>
      <c r="X21" s="96"/>
      <c r="Y21" s="80"/>
      <c r="Z21" s="60"/>
      <c r="AA21" s="61"/>
      <c r="AB21" s="61"/>
      <c r="AC21" s="61"/>
      <c r="AD21" s="61"/>
      <c r="AE21" s="63"/>
      <c r="AF21" s="64"/>
      <c r="AG21" s="64"/>
      <c r="AH21" s="64"/>
      <c r="AI21" s="64"/>
      <c r="AJ21" s="72"/>
      <c r="AK21" s="73"/>
      <c r="AL21" s="73"/>
      <c r="AM21" s="64"/>
      <c r="AN21" s="73"/>
      <c r="AO21" s="66"/>
      <c r="AP21" s="56"/>
      <c r="AQ21" s="56"/>
      <c r="AR21" s="56"/>
      <c r="AS21" s="56"/>
      <c r="AT21" s="77"/>
      <c r="AU21" s="77"/>
      <c r="AV21" s="77"/>
      <c r="AW21" s="77"/>
      <c r="AX21" s="103"/>
      <c r="AY21" s="106"/>
      <c r="AZ21" s="223" t="s">
        <v>860</v>
      </c>
      <c r="BA21" s="107"/>
      <c r="BB21" s="139" t="s">
        <v>861</v>
      </c>
      <c r="BC21" s="64"/>
      <c r="BD21" s="63"/>
      <c r="BE21" s="64"/>
      <c r="BF21" s="64"/>
      <c r="BG21" s="64"/>
      <c r="BH21" s="64"/>
      <c r="BI21" s="72"/>
      <c r="BJ21" s="73"/>
      <c r="BK21" s="73"/>
      <c r="BL21" s="73"/>
      <c r="BM21" s="73"/>
      <c r="BN21" s="66"/>
      <c r="BO21" s="56"/>
      <c r="BP21" s="56"/>
      <c r="BQ21" s="56"/>
      <c r="BR21" s="56"/>
      <c r="BS21" s="77"/>
      <c r="BT21" s="77"/>
      <c r="BU21" s="77"/>
      <c r="BV21" s="77"/>
      <c r="BW21" s="57"/>
      <c r="BX21" s="60"/>
      <c r="BY21" s="61"/>
      <c r="BZ21" s="61"/>
      <c r="CA21" s="61"/>
      <c r="CB21" s="61"/>
      <c r="CC21" s="74"/>
    </row>
    <row r="22" spans="2:81" ht="45">
      <c r="B22" s="47" t="s">
        <v>899</v>
      </c>
      <c r="C22" s="48" t="s">
        <v>1541</v>
      </c>
      <c r="D22" s="49" t="s">
        <v>1453</v>
      </c>
      <c r="E22" s="70" t="s">
        <v>1454</v>
      </c>
      <c r="F22" s="71" t="s">
        <v>1557</v>
      </c>
      <c r="G22" s="52" t="s">
        <v>1558</v>
      </c>
      <c r="H22" s="49" t="s">
        <v>33</v>
      </c>
      <c r="I22" s="49" t="s">
        <v>1559</v>
      </c>
      <c r="J22" s="49" t="s">
        <v>1560</v>
      </c>
      <c r="K22" s="72"/>
      <c r="L22" s="73"/>
      <c r="M22" s="73"/>
      <c r="N22" s="73"/>
      <c r="O22" s="73"/>
      <c r="P22" s="56"/>
      <c r="Q22" s="56"/>
      <c r="R22" s="56"/>
      <c r="S22" s="56"/>
      <c r="T22" s="56"/>
      <c r="U22" s="54"/>
      <c r="V22" s="77"/>
      <c r="W22" s="77"/>
      <c r="X22" s="96"/>
      <c r="Y22" s="57"/>
      <c r="Z22" s="60"/>
      <c r="AA22" s="61"/>
      <c r="AB22" s="61"/>
      <c r="AC22" s="61"/>
      <c r="AD22" s="61"/>
      <c r="AE22" s="63"/>
      <c r="AF22" s="64"/>
      <c r="AG22" s="64"/>
      <c r="AH22" s="64"/>
      <c r="AI22" s="64"/>
      <c r="AJ22" s="72"/>
      <c r="AK22" s="73"/>
      <c r="AL22" s="73"/>
      <c r="AM22" s="64"/>
      <c r="AN22" s="73"/>
      <c r="AO22" s="66"/>
      <c r="AP22" s="56"/>
      <c r="AQ22" s="56"/>
      <c r="AR22" s="56"/>
      <c r="AS22" s="56"/>
      <c r="AT22" s="77"/>
      <c r="AU22" s="77"/>
      <c r="AV22" s="77"/>
      <c r="AW22" s="77"/>
      <c r="AX22" s="103"/>
      <c r="AY22" s="106"/>
      <c r="AZ22" s="223" t="s">
        <v>860</v>
      </c>
      <c r="BA22" s="107"/>
      <c r="BB22" s="139" t="s">
        <v>861</v>
      </c>
      <c r="BC22" s="64"/>
      <c r="BD22" s="63"/>
      <c r="BE22" s="64"/>
      <c r="BF22" s="64"/>
      <c r="BG22" s="64"/>
      <c r="BH22" s="64"/>
      <c r="BI22" s="72"/>
      <c r="BJ22" s="73"/>
      <c r="BK22" s="73"/>
      <c r="BL22" s="73"/>
      <c r="BM22" s="73"/>
      <c r="BN22" s="66"/>
      <c r="BO22" s="56"/>
      <c r="BP22" s="56"/>
      <c r="BQ22" s="56"/>
      <c r="BR22" s="56"/>
      <c r="BS22" s="77"/>
      <c r="BT22" s="77"/>
      <c r="BU22" s="77"/>
      <c r="BV22" s="77"/>
      <c r="BW22" s="57"/>
      <c r="BX22" s="60"/>
      <c r="BY22" s="61"/>
      <c r="BZ22" s="61"/>
      <c r="CA22" s="61"/>
      <c r="CB22" s="61"/>
      <c r="CC22" s="74"/>
    </row>
    <row r="23" spans="2:81" ht="60">
      <c r="B23" s="47" t="s">
        <v>899</v>
      </c>
      <c r="C23" s="48" t="s">
        <v>1541</v>
      </c>
      <c r="D23" s="49" t="s">
        <v>1323</v>
      </c>
      <c r="E23" s="70" t="s">
        <v>992</v>
      </c>
      <c r="F23" s="71" t="s">
        <v>1557</v>
      </c>
      <c r="G23" s="52" t="s">
        <v>1558</v>
      </c>
      <c r="H23" s="49" t="s">
        <v>33</v>
      </c>
      <c r="I23" s="49" t="s">
        <v>1559</v>
      </c>
      <c r="J23" s="49" t="s">
        <v>1560</v>
      </c>
      <c r="K23" s="72"/>
      <c r="L23" s="73"/>
      <c r="M23" s="73"/>
      <c r="N23" s="73"/>
      <c r="O23" s="73"/>
      <c r="P23" s="54"/>
      <c r="Q23" s="56"/>
      <c r="R23" s="56"/>
      <c r="S23" s="56"/>
      <c r="T23" s="80"/>
      <c r="U23" s="77"/>
      <c r="V23" s="77"/>
      <c r="W23" s="77"/>
      <c r="X23" s="96"/>
      <c r="Y23" s="57"/>
      <c r="Z23" s="60"/>
      <c r="AA23" s="61"/>
      <c r="AB23" s="61"/>
      <c r="AC23" s="61"/>
      <c r="AD23" s="61"/>
      <c r="AE23" s="63"/>
      <c r="AF23" s="64"/>
      <c r="AG23" s="64"/>
      <c r="AH23" s="64"/>
      <c r="AI23" s="64"/>
      <c r="AJ23" s="72"/>
      <c r="AK23" s="73"/>
      <c r="AL23" s="73"/>
      <c r="AM23" s="73"/>
      <c r="AN23" s="73"/>
      <c r="AO23" s="64"/>
      <c r="AP23" s="56"/>
      <c r="AQ23" s="56"/>
      <c r="AR23" s="56"/>
      <c r="AS23" s="56"/>
      <c r="AT23" s="77"/>
      <c r="AU23" s="77"/>
      <c r="AV23" s="77"/>
      <c r="AW23" s="77"/>
      <c r="AX23" s="103"/>
      <c r="AY23" s="106"/>
      <c r="AZ23" s="223" t="s">
        <v>860</v>
      </c>
      <c r="BA23" s="107"/>
      <c r="BB23" s="139" t="s">
        <v>861</v>
      </c>
      <c r="BC23" s="64"/>
      <c r="BD23" s="63"/>
      <c r="BE23" s="64"/>
      <c r="BF23" s="64"/>
      <c r="BG23" s="64"/>
      <c r="BH23" s="64"/>
      <c r="BI23" s="72"/>
      <c r="BJ23" s="73"/>
      <c r="BK23" s="73"/>
      <c r="BL23" s="73"/>
      <c r="BM23" s="73"/>
      <c r="BN23" s="66"/>
      <c r="BO23" s="56"/>
      <c r="BP23" s="56"/>
      <c r="BQ23" s="56"/>
      <c r="BR23" s="56"/>
      <c r="BS23" s="77"/>
      <c r="BT23" s="77"/>
      <c r="BU23" s="77"/>
      <c r="BV23" s="77"/>
      <c r="BW23" s="57"/>
      <c r="BX23" s="60"/>
      <c r="BY23" s="61"/>
      <c r="BZ23" s="61"/>
      <c r="CA23" s="61"/>
      <c r="CB23" s="61"/>
      <c r="CC23" s="74"/>
    </row>
    <row r="24" spans="2:81" ht="45">
      <c r="B24" s="47" t="s">
        <v>899</v>
      </c>
      <c r="C24" s="48" t="s">
        <v>1541</v>
      </c>
      <c r="D24" s="49" t="s">
        <v>929</v>
      </c>
      <c r="E24" s="70" t="s">
        <v>930</v>
      </c>
      <c r="F24" s="71" t="s">
        <v>1557</v>
      </c>
      <c r="G24" s="52" t="s">
        <v>1558</v>
      </c>
      <c r="H24" s="49" t="s">
        <v>33</v>
      </c>
      <c r="I24" s="49" t="s">
        <v>1559</v>
      </c>
      <c r="J24" s="49" t="s">
        <v>1560</v>
      </c>
      <c r="K24" s="72"/>
      <c r="L24" s="73"/>
      <c r="M24" s="73"/>
      <c r="N24" s="73"/>
      <c r="O24" s="73"/>
      <c r="P24" s="54"/>
      <c r="Q24" s="56"/>
      <c r="R24" s="56"/>
      <c r="S24" s="56"/>
      <c r="T24" s="80"/>
      <c r="U24" s="77"/>
      <c r="V24" s="77"/>
      <c r="W24" s="77"/>
      <c r="X24" s="96"/>
      <c r="Y24" s="57"/>
      <c r="Z24" s="60"/>
      <c r="AA24" s="61"/>
      <c r="AB24" s="61"/>
      <c r="AC24" s="61"/>
      <c r="AD24" s="61"/>
      <c r="AE24" s="63"/>
      <c r="AF24" s="64"/>
      <c r="AG24" s="64"/>
      <c r="AH24" s="64"/>
      <c r="AI24" s="64"/>
      <c r="AJ24" s="72"/>
      <c r="AK24" s="73"/>
      <c r="AL24" s="73"/>
      <c r="AM24" s="73"/>
      <c r="AN24" s="73"/>
      <c r="AO24" s="64"/>
      <c r="AP24" s="56"/>
      <c r="AQ24" s="56"/>
      <c r="AR24" s="56"/>
      <c r="AS24" s="56"/>
      <c r="AT24" s="77"/>
      <c r="AU24" s="77"/>
      <c r="AV24" s="77"/>
      <c r="AW24" s="77"/>
      <c r="AX24" s="103"/>
      <c r="AY24" s="106"/>
      <c r="AZ24" s="223" t="s">
        <v>860</v>
      </c>
      <c r="BA24" s="107"/>
      <c r="BB24" s="139" t="s">
        <v>861</v>
      </c>
      <c r="BC24" s="64"/>
      <c r="BD24" s="63"/>
      <c r="BE24" s="64"/>
      <c r="BF24" s="64"/>
      <c r="BG24" s="64"/>
      <c r="BH24" s="64"/>
      <c r="BI24" s="72"/>
      <c r="BJ24" s="73"/>
      <c r="BK24" s="73"/>
      <c r="BL24" s="73"/>
      <c r="BM24" s="73"/>
      <c r="BN24" s="66"/>
      <c r="BO24" s="56"/>
      <c r="BP24" s="56"/>
      <c r="BQ24" s="56"/>
      <c r="BR24" s="56"/>
      <c r="BS24" s="77"/>
      <c r="BT24" s="77"/>
      <c r="BU24" s="77"/>
      <c r="BV24" s="77"/>
      <c r="BW24" s="57"/>
      <c r="BX24" s="60"/>
      <c r="BY24" s="61"/>
      <c r="BZ24" s="61"/>
      <c r="CA24" s="61"/>
      <c r="CB24" s="61"/>
      <c r="CC24" s="74"/>
    </row>
    <row r="25" spans="2:81" ht="45">
      <c r="B25" s="47" t="s">
        <v>899</v>
      </c>
      <c r="C25" s="48" t="s">
        <v>1539</v>
      </c>
      <c r="D25" s="49" t="s">
        <v>934</v>
      </c>
      <c r="E25" s="70" t="s">
        <v>1456</v>
      </c>
      <c r="F25" s="71" t="s">
        <v>1557</v>
      </c>
      <c r="G25" s="52" t="s">
        <v>1558</v>
      </c>
      <c r="H25" s="49" t="s">
        <v>33</v>
      </c>
      <c r="I25" s="49" t="s">
        <v>1559</v>
      </c>
      <c r="J25" s="49" t="s">
        <v>1560</v>
      </c>
      <c r="K25" s="72"/>
      <c r="L25" s="73"/>
      <c r="M25" s="73"/>
      <c r="N25" s="73"/>
      <c r="O25" s="73"/>
      <c r="P25" s="56"/>
      <c r="Q25" s="56"/>
      <c r="R25" s="56"/>
      <c r="S25" s="56"/>
      <c r="T25" s="56"/>
      <c r="U25" s="77"/>
      <c r="V25" s="77"/>
      <c r="W25" s="77"/>
      <c r="X25" s="96"/>
      <c r="Y25" s="57"/>
      <c r="Z25" s="60"/>
      <c r="AA25" s="61"/>
      <c r="AB25" s="54"/>
      <c r="AC25" s="61"/>
      <c r="AD25" s="61"/>
      <c r="AE25" s="63"/>
      <c r="AF25" s="80"/>
      <c r="AG25" s="64"/>
      <c r="AH25" s="64"/>
      <c r="AI25" s="64"/>
      <c r="AJ25" s="72"/>
      <c r="AK25" s="73"/>
      <c r="AL25" s="73"/>
      <c r="AM25" s="73"/>
      <c r="AN25" s="73"/>
      <c r="AO25" s="64"/>
      <c r="AP25" s="56"/>
      <c r="AQ25" s="56"/>
      <c r="AR25" s="56"/>
      <c r="AS25" s="56"/>
      <c r="AT25" s="77"/>
      <c r="AU25" s="77"/>
      <c r="AV25" s="77"/>
      <c r="AW25" s="77"/>
      <c r="AX25" s="103"/>
      <c r="AY25" s="106"/>
      <c r="AZ25" s="223" t="s">
        <v>860</v>
      </c>
      <c r="BA25" s="107"/>
      <c r="BB25" s="139" t="s">
        <v>861</v>
      </c>
      <c r="BC25" s="64"/>
      <c r="BD25" s="63"/>
      <c r="BE25" s="64"/>
      <c r="BF25" s="64"/>
      <c r="BG25" s="64"/>
      <c r="BH25" s="64"/>
      <c r="BI25" s="72"/>
      <c r="BJ25" s="73"/>
      <c r="BK25" s="73"/>
      <c r="BL25" s="73"/>
      <c r="BM25" s="73"/>
      <c r="BN25" s="66"/>
      <c r="BO25" s="56"/>
      <c r="BP25" s="56"/>
      <c r="BQ25" s="56"/>
      <c r="BR25" s="56"/>
      <c r="BS25" s="77"/>
      <c r="BT25" s="77"/>
      <c r="BU25" s="77"/>
      <c r="BV25" s="77"/>
      <c r="BW25" s="57"/>
      <c r="BX25" s="60"/>
      <c r="BY25" s="61"/>
      <c r="BZ25" s="61"/>
      <c r="CA25" s="61"/>
      <c r="CB25" s="61"/>
      <c r="CC25" s="74"/>
    </row>
    <row r="26" spans="2:81" ht="45">
      <c r="B26" s="47" t="s">
        <v>899</v>
      </c>
      <c r="C26" s="48" t="s">
        <v>1539</v>
      </c>
      <c r="D26" s="49" t="s">
        <v>932</v>
      </c>
      <c r="E26" s="70" t="s">
        <v>933</v>
      </c>
      <c r="F26" s="71" t="s">
        <v>1557</v>
      </c>
      <c r="G26" s="52" t="s">
        <v>1558</v>
      </c>
      <c r="H26" s="49" t="s">
        <v>33</v>
      </c>
      <c r="I26" s="49" t="s">
        <v>1559</v>
      </c>
      <c r="J26" s="49" t="s">
        <v>1560</v>
      </c>
      <c r="K26" s="72"/>
      <c r="L26" s="73"/>
      <c r="M26" s="73"/>
      <c r="N26" s="73"/>
      <c r="O26" s="73"/>
      <c r="P26" s="56"/>
      <c r="Q26" s="56"/>
      <c r="R26" s="56"/>
      <c r="S26" s="56"/>
      <c r="T26" s="56"/>
      <c r="U26" s="77"/>
      <c r="V26" s="77"/>
      <c r="W26" s="77"/>
      <c r="X26" s="96"/>
      <c r="Y26" s="57"/>
      <c r="Z26" s="60"/>
      <c r="AA26" s="61"/>
      <c r="AB26" s="54"/>
      <c r="AC26" s="61"/>
      <c r="AD26" s="61"/>
      <c r="AE26" s="63"/>
      <c r="AF26" s="80"/>
      <c r="AG26" s="64"/>
      <c r="AH26" s="64"/>
      <c r="AI26" s="64"/>
      <c r="AJ26" s="72"/>
      <c r="AK26" s="73"/>
      <c r="AL26" s="73"/>
      <c r="AM26" s="73"/>
      <c r="AN26" s="73"/>
      <c r="AO26" s="64"/>
      <c r="AP26" s="56"/>
      <c r="AQ26" s="56"/>
      <c r="AR26" s="56"/>
      <c r="AS26" s="56"/>
      <c r="AT26" s="77"/>
      <c r="AU26" s="77"/>
      <c r="AV26" s="77"/>
      <c r="AW26" s="77"/>
      <c r="AX26" s="103"/>
      <c r="AY26" s="106"/>
      <c r="AZ26" s="223" t="s">
        <v>860</v>
      </c>
      <c r="BA26" s="107"/>
      <c r="BB26" s="139" t="s">
        <v>861</v>
      </c>
      <c r="BC26" s="64"/>
      <c r="BD26" s="63"/>
      <c r="BE26" s="64"/>
      <c r="BF26" s="64"/>
      <c r="BG26" s="64"/>
      <c r="BH26" s="64"/>
      <c r="BI26" s="72"/>
      <c r="BJ26" s="73"/>
      <c r="BK26" s="73"/>
      <c r="BL26" s="73"/>
      <c r="BM26" s="73"/>
      <c r="BN26" s="66"/>
      <c r="BO26" s="56"/>
      <c r="BP26" s="56"/>
      <c r="BQ26" s="56"/>
      <c r="BR26" s="56"/>
      <c r="BS26" s="77"/>
      <c r="BT26" s="77"/>
      <c r="BU26" s="77"/>
      <c r="BV26" s="77"/>
      <c r="BW26" s="57"/>
      <c r="BX26" s="60"/>
      <c r="BY26" s="61"/>
      <c r="BZ26" s="61"/>
      <c r="CA26" s="61"/>
      <c r="CB26" s="61"/>
      <c r="CC26" s="74"/>
    </row>
    <row r="27" spans="2:81" ht="45">
      <c r="B27" s="47" t="s">
        <v>899</v>
      </c>
      <c r="C27" s="48" t="s">
        <v>1539</v>
      </c>
      <c r="D27" s="49" t="s">
        <v>1418</v>
      </c>
      <c r="E27" s="70" t="s">
        <v>921</v>
      </c>
      <c r="F27" s="71" t="s">
        <v>1557</v>
      </c>
      <c r="G27" s="52" t="s">
        <v>1558</v>
      </c>
      <c r="H27" s="49" t="s">
        <v>33</v>
      </c>
      <c r="I27" s="49" t="s">
        <v>1559</v>
      </c>
      <c r="J27" s="49" t="s">
        <v>1560</v>
      </c>
      <c r="K27" s="72"/>
      <c r="L27" s="73"/>
      <c r="M27" s="73"/>
      <c r="N27" s="73"/>
      <c r="O27" s="73"/>
      <c r="P27" s="56"/>
      <c r="Q27" s="56"/>
      <c r="R27" s="56"/>
      <c r="S27" s="56"/>
      <c r="T27" s="56"/>
      <c r="U27" s="77"/>
      <c r="V27" s="77"/>
      <c r="W27" s="77"/>
      <c r="X27" s="96"/>
      <c r="Y27" s="57"/>
      <c r="Z27" s="60"/>
      <c r="AA27" s="61"/>
      <c r="AB27" s="54"/>
      <c r="AC27" s="61"/>
      <c r="AD27" s="61"/>
      <c r="AE27" s="63"/>
      <c r="AF27" s="80"/>
      <c r="AG27" s="64"/>
      <c r="AH27" s="64"/>
      <c r="AI27" s="64"/>
      <c r="AJ27" s="72"/>
      <c r="AK27" s="73"/>
      <c r="AL27" s="73"/>
      <c r="AM27" s="73"/>
      <c r="AN27" s="73"/>
      <c r="AO27" s="64"/>
      <c r="AP27" s="56"/>
      <c r="AQ27" s="56"/>
      <c r="AR27" s="56"/>
      <c r="AS27" s="56"/>
      <c r="AT27" s="77"/>
      <c r="AU27" s="77"/>
      <c r="AV27" s="77"/>
      <c r="AW27" s="77"/>
      <c r="AX27" s="103"/>
      <c r="AY27" s="106"/>
      <c r="AZ27" s="223" t="s">
        <v>860</v>
      </c>
      <c r="BA27" s="107"/>
      <c r="BB27" s="139" t="s">
        <v>861</v>
      </c>
      <c r="BC27" s="64"/>
      <c r="BD27" s="63"/>
      <c r="BE27" s="64"/>
      <c r="BF27" s="64"/>
      <c r="BG27" s="64"/>
      <c r="BH27" s="64"/>
      <c r="BI27" s="72"/>
      <c r="BJ27" s="73"/>
      <c r="BK27" s="73"/>
      <c r="BL27" s="73"/>
      <c r="BM27" s="73"/>
      <c r="BN27" s="66"/>
      <c r="BO27" s="56"/>
      <c r="BP27" s="56"/>
      <c r="BQ27" s="56"/>
      <c r="BR27" s="56"/>
      <c r="BS27" s="77"/>
      <c r="BT27" s="77"/>
      <c r="BU27" s="77"/>
      <c r="BV27" s="77"/>
      <c r="BW27" s="57"/>
      <c r="BX27" s="60"/>
      <c r="BY27" s="61"/>
      <c r="BZ27" s="61"/>
      <c r="CA27" s="61"/>
      <c r="CB27" s="61"/>
      <c r="CC27" s="74"/>
    </row>
    <row r="28" spans="2:81" ht="45">
      <c r="B28" s="47" t="s">
        <v>899</v>
      </c>
      <c r="C28" s="48" t="s">
        <v>1539</v>
      </c>
      <c r="D28" s="49" t="s">
        <v>938</v>
      </c>
      <c r="E28" s="70" t="s">
        <v>1461</v>
      </c>
      <c r="F28" s="71" t="s">
        <v>1557</v>
      </c>
      <c r="G28" s="52" t="s">
        <v>1558</v>
      </c>
      <c r="H28" s="49" t="s">
        <v>33</v>
      </c>
      <c r="I28" s="49" t="s">
        <v>1559</v>
      </c>
      <c r="J28" s="49" t="s">
        <v>1560</v>
      </c>
      <c r="K28" s="72"/>
      <c r="L28" s="73"/>
      <c r="M28" s="73"/>
      <c r="N28" s="73"/>
      <c r="O28" s="73"/>
      <c r="P28" s="56"/>
      <c r="Q28" s="56"/>
      <c r="R28" s="56"/>
      <c r="S28" s="56"/>
      <c r="T28" s="56"/>
      <c r="U28" s="77"/>
      <c r="V28" s="77"/>
      <c r="W28" s="77"/>
      <c r="X28" s="96"/>
      <c r="Y28" s="93"/>
      <c r="Z28" s="60"/>
      <c r="AA28" s="61"/>
      <c r="AB28" s="54"/>
      <c r="AC28" s="61"/>
      <c r="AD28" s="61"/>
      <c r="AE28" s="63"/>
      <c r="AF28" s="64"/>
      <c r="AG28" s="64"/>
      <c r="AH28" s="64"/>
      <c r="AI28" s="64"/>
      <c r="AJ28" s="72"/>
      <c r="AK28" s="73"/>
      <c r="AL28" s="73"/>
      <c r="AM28" s="73"/>
      <c r="AN28" s="73"/>
      <c r="AO28" s="64"/>
      <c r="AP28" s="56"/>
      <c r="AQ28" s="56"/>
      <c r="AR28" s="56"/>
      <c r="AS28" s="56"/>
      <c r="AT28" s="77"/>
      <c r="AU28" s="77"/>
      <c r="AV28" s="77"/>
      <c r="AW28" s="77"/>
      <c r="AX28" s="103"/>
      <c r="AY28" s="106"/>
      <c r="AZ28" s="223" t="s">
        <v>860</v>
      </c>
      <c r="BA28" s="107"/>
      <c r="BB28" s="139" t="s">
        <v>861</v>
      </c>
      <c r="BC28" s="64"/>
      <c r="BD28" s="63"/>
      <c r="BE28" s="64"/>
      <c r="BF28" s="64"/>
      <c r="BG28" s="64"/>
      <c r="BH28" s="64"/>
      <c r="BI28" s="72"/>
      <c r="BJ28" s="73"/>
      <c r="BK28" s="73"/>
      <c r="BL28" s="73"/>
      <c r="BM28" s="73"/>
      <c r="BN28" s="66"/>
      <c r="BO28" s="56"/>
      <c r="BP28" s="56"/>
      <c r="BQ28" s="56"/>
      <c r="BR28" s="56"/>
      <c r="BS28" s="77"/>
      <c r="BT28" s="77"/>
      <c r="BU28" s="77"/>
      <c r="BV28" s="77"/>
      <c r="BW28" s="57"/>
      <c r="BX28" s="60"/>
      <c r="BY28" s="61"/>
      <c r="BZ28" s="61"/>
      <c r="CA28" s="61"/>
      <c r="CB28" s="61"/>
      <c r="CC28" s="74"/>
    </row>
    <row r="29" spans="2:81" ht="45">
      <c r="B29" s="47" t="s">
        <v>899</v>
      </c>
      <c r="C29" s="48" t="s">
        <v>1539</v>
      </c>
      <c r="D29" s="49" t="s">
        <v>936</v>
      </c>
      <c r="E29" s="70" t="s">
        <v>937</v>
      </c>
      <c r="F29" s="71" t="s">
        <v>1557</v>
      </c>
      <c r="G29" s="52" t="s">
        <v>1558</v>
      </c>
      <c r="H29" s="49" t="s">
        <v>33</v>
      </c>
      <c r="I29" s="49" t="s">
        <v>1559</v>
      </c>
      <c r="J29" s="49" t="s">
        <v>1560</v>
      </c>
      <c r="K29" s="72"/>
      <c r="L29" s="73"/>
      <c r="M29" s="73"/>
      <c r="N29" s="73"/>
      <c r="O29" s="73"/>
      <c r="P29" s="56"/>
      <c r="Q29" s="56"/>
      <c r="R29" s="56"/>
      <c r="S29" s="56"/>
      <c r="T29" s="56"/>
      <c r="U29" s="77"/>
      <c r="V29" s="77"/>
      <c r="W29" s="77"/>
      <c r="X29" s="96"/>
      <c r="Y29" s="57"/>
      <c r="Z29" s="60"/>
      <c r="AA29" s="61"/>
      <c r="AB29" s="54"/>
      <c r="AC29" s="61"/>
      <c r="AD29" s="61"/>
      <c r="AE29" s="63"/>
      <c r="AF29" s="64"/>
      <c r="AG29" s="64"/>
      <c r="AH29" s="64"/>
      <c r="AI29" s="64"/>
      <c r="AJ29" s="72"/>
      <c r="AK29" s="73"/>
      <c r="AL29" s="73"/>
      <c r="AM29" s="73"/>
      <c r="AN29" s="73"/>
      <c r="AO29" s="64"/>
      <c r="AP29" s="56"/>
      <c r="AQ29" s="56"/>
      <c r="AR29" s="56"/>
      <c r="AS29" s="56"/>
      <c r="AT29" s="77"/>
      <c r="AU29" s="77"/>
      <c r="AV29" s="77"/>
      <c r="AW29" s="77"/>
      <c r="AX29" s="103"/>
      <c r="AY29" s="106"/>
      <c r="AZ29" s="223" t="s">
        <v>860</v>
      </c>
      <c r="BA29" s="107"/>
      <c r="BB29" s="139" t="s">
        <v>861</v>
      </c>
      <c r="BC29" s="64"/>
      <c r="BD29" s="63"/>
      <c r="BE29" s="64"/>
      <c r="BF29" s="64"/>
      <c r="BG29" s="64"/>
      <c r="BH29" s="64"/>
      <c r="BI29" s="72"/>
      <c r="BJ29" s="73"/>
      <c r="BK29" s="73"/>
      <c r="BL29" s="73"/>
      <c r="BM29" s="73"/>
      <c r="BN29" s="66"/>
      <c r="BO29" s="56"/>
      <c r="BP29" s="56"/>
      <c r="BQ29" s="56"/>
      <c r="BR29" s="56"/>
      <c r="BS29" s="77"/>
      <c r="BT29" s="77"/>
      <c r="BU29" s="77"/>
      <c r="BV29" s="77"/>
      <c r="BW29" s="57"/>
      <c r="BX29" s="60"/>
      <c r="BY29" s="61"/>
      <c r="BZ29" s="61"/>
      <c r="CA29" s="61"/>
      <c r="CB29" s="61"/>
      <c r="CC29" s="74"/>
    </row>
    <row r="30" spans="2:81" ht="45">
      <c r="B30" s="47" t="s">
        <v>899</v>
      </c>
      <c r="C30" s="48" t="s">
        <v>1539</v>
      </c>
      <c r="D30" s="49" t="s">
        <v>918</v>
      </c>
      <c r="E30" s="70" t="s">
        <v>919</v>
      </c>
      <c r="F30" s="71" t="s">
        <v>1557</v>
      </c>
      <c r="G30" s="52" t="s">
        <v>1558</v>
      </c>
      <c r="H30" s="49" t="s">
        <v>33</v>
      </c>
      <c r="I30" s="49" t="s">
        <v>1559</v>
      </c>
      <c r="J30" s="49" t="s">
        <v>1560</v>
      </c>
      <c r="K30" s="72"/>
      <c r="L30" s="73"/>
      <c r="M30" s="73"/>
      <c r="N30" s="73"/>
      <c r="O30" s="73"/>
      <c r="P30" s="56"/>
      <c r="Q30" s="56"/>
      <c r="R30" s="56"/>
      <c r="S30" s="56"/>
      <c r="T30" s="56"/>
      <c r="U30" s="77"/>
      <c r="V30" s="77"/>
      <c r="W30" s="77"/>
      <c r="X30" s="96"/>
      <c r="Y30" s="57"/>
      <c r="Z30" s="60"/>
      <c r="AA30" s="61"/>
      <c r="AB30" s="54"/>
      <c r="AC30" s="61"/>
      <c r="AD30" s="61"/>
      <c r="AE30" s="63"/>
      <c r="AF30" s="64"/>
      <c r="AG30" s="64"/>
      <c r="AH30" s="64"/>
      <c r="AI30" s="64"/>
      <c r="AJ30" s="72"/>
      <c r="AK30" s="73"/>
      <c r="AL30" s="73"/>
      <c r="AM30" s="73"/>
      <c r="AN30" s="73"/>
      <c r="AO30" s="64"/>
      <c r="AP30" s="56"/>
      <c r="AQ30" s="56"/>
      <c r="AR30" s="56"/>
      <c r="AS30" s="56"/>
      <c r="AT30" s="77"/>
      <c r="AU30" s="77"/>
      <c r="AV30" s="77"/>
      <c r="AW30" s="77"/>
      <c r="AX30" s="103"/>
      <c r="AY30" s="106"/>
      <c r="AZ30" s="223" t="s">
        <v>860</v>
      </c>
      <c r="BA30" s="107"/>
      <c r="BB30" s="139" t="s">
        <v>861</v>
      </c>
      <c r="BC30" s="64"/>
      <c r="BD30" s="63"/>
      <c r="BE30" s="64"/>
      <c r="BF30" s="64"/>
      <c r="BG30" s="64"/>
      <c r="BH30" s="64"/>
      <c r="BI30" s="72"/>
      <c r="BJ30" s="73"/>
      <c r="BK30" s="73"/>
      <c r="BL30" s="73"/>
      <c r="BM30" s="73"/>
      <c r="BN30" s="66"/>
      <c r="BO30" s="56"/>
      <c r="BP30" s="56"/>
      <c r="BQ30" s="56"/>
      <c r="BR30" s="56"/>
      <c r="BS30" s="77"/>
      <c r="BT30" s="77"/>
      <c r="BU30" s="77"/>
      <c r="BV30" s="77"/>
      <c r="BW30" s="57"/>
      <c r="BX30" s="60"/>
      <c r="BY30" s="61"/>
      <c r="BZ30" s="61"/>
      <c r="CA30" s="61"/>
      <c r="CB30" s="61"/>
      <c r="CC30" s="74"/>
    </row>
    <row r="31" spans="2:81" ht="45">
      <c r="B31" s="47" t="s">
        <v>899</v>
      </c>
      <c r="C31" s="48" t="s">
        <v>1539</v>
      </c>
      <c r="D31" s="49" t="s">
        <v>923</v>
      </c>
      <c r="E31" s="70" t="s">
        <v>924</v>
      </c>
      <c r="F31" s="71" t="s">
        <v>1557</v>
      </c>
      <c r="G31" s="52" t="s">
        <v>1558</v>
      </c>
      <c r="H31" s="49" t="s">
        <v>33</v>
      </c>
      <c r="I31" s="49" t="s">
        <v>1559</v>
      </c>
      <c r="J31" s="49" t="s">
        <v>1560</v>
      </c>
      <c r="K31" s="72"/>
      <c r="L31" s="73"/>
      <c r="M31" s="73"/>
      <c r="N31" s="73"/>
      <c r="O31" s="73"/>
      <c r="P31" s="56"/>
      <c r="Q31" s="56"/>
      <c r="R31" s="56"/>
      <c r="S31" s="56"/>
      <c r="T31" s="56"/>
      <c r="U31" s="77"/>
      <c r="V31" s="77"/>
      <c r="W31" s="77"/>
      <c r="X31" s="96"/>
      <c r="Y31" s="103"/>
      <c r="Z31" s="60"/>
      <c r="AA31" s="54"/>
      <c r="AB31" s="54"/>
      <c r="AC31" s="61"/>
      <c r="AD31" s="61"/>
      <c r="AE31" s="63"/>
      <c r="AF31" s="64"/>
      <c r="AG31" s="64"/>
      <c r="AH31" s="64"/>
      <c r="AI31" s="64"/>
      <c r="AJ31" s="72"/>
      <c r="AK31" s="73"/>
      <c r="AL31" s="73"/>
      <c r="AM31" s="73"/>
      <c r="AN31" s="73"/>
      <c r="AO31" s="64"/>
      <c r="AP31" s="56"/>
      <c r="AQ31" s="56"/>
      <c r="AR31" s="56"/>
      <c r="AS31" s="56"/>
      <c r="AT31" s="77"/>
      <c r="AU31" s="77"/>
      <c r="AV31" s="77"/>
      <c r="AW31" s="77"/>
      <c r="AX31" s="103"/>
      <c r="AY31" s="106"/>
      <c r="AZ31" s="223" t="s">
        <v>860</v>
      </c>
      <c r="BA31" s="107"/>
      <c r="BB31" s="139" t="s">
        <v>861</v>
      </c>
      <c r="BC31" s="64"/>
      <c r="BD31" s="63"/>
      <c r="BE31" s="64"/>
      <c r="BF31" s="64"/>
      <c r="BG31" s="64"/>
      <c r="BH31" s="64"/>
      <c r="BI31" s="72"/>
      <c r="BJ31" s="73"/>
      <c r="BK31" s="73"/>
      <c r="BL31" s="73"/>
      <c r="BM31" s="73"/>
      <c r="BN31" s="66"/>
      <c r="BO31" s="56"/>
      <c r="BP31" s="56"/>
      <c r="BQ31" s="56"/>
      <c r="BR31" s="56"/>
      <c r="BS31" s="77"/>
      <c r="BT31" s="77"/>
      <c r="BU31" s="77"/>
      <c r="BV31" s="77"/>
      <c r="BW31" s="57"/>
      <c r="BX31" s="60"/>
      <c r="BY31" s="61"/>
      <c r="BZ31" s="61"/>
      <c r="CA31" s="61"/>
      <c r="CB31" s="61"/>
      <c r="CC31" s="74"/>
    </row>
    <row r="32" spans="2:81" ht="45">
      <c r="B32" s="47" t="s">
        <v>899</v>
      </c>
      <c r="C32" s="48" t="s">
        <v>1539</v>
      </c>
      <c r="D32" s="49" t="s">
        <v>1463</v>
      </c>
      <c r="E32" s="70" t="s">
        <v>1464</v>
      </c>
      <c r="F32" s="71" t="s">
        <v>1557</v>
      </c>
      <c r="G32" s="52" t="s">
        <v>1558</v>
      </c>
      <c r="H32" s="49" t="s">
        <v>33</v>
      </c>
      <c r="I32" s="49" t="s">
        <v>1559</v>
      </c>
      <c r="J32" s="49" t="s">
        <v>1560</v>
      </c>
      <c r="K32" s="72"/>
      <c r="L32" s="73"/>
      <c r="M32" s="73"/>
      <c r="N32" s="73"/>
      <c r="O32" s="73"/>
      <c r="P32" s="56"/>
      <c r="Q32" s="56"/>
      <c r="R32" s="56"/>
      <c r="S32" s="56"/>
      <c r="T32" s="56"/>
      <c r="U32" s="77"/>
      <c r="V32" s="77"/>
      <c r="W32" s="77"/>
      <c r="X32" s="96"/>
      <c r="Y32" s="77"/>
      <c r="Z32" s="60"/>
      <c r="AA32" s="61"/>
      <c r="AB32" s="54"/>
      <c r="AC32" s="54"/>
      <c r="AD32" s="61"/>
      <c r="AE32" s="54"/>
      <c r="AF32" s="64"/>
      <c r="AG32" s="64"/>
      <c r="AH32" s="64"/>
      <c r="AI32" s="64"/>
      <c r="AJ32" s="72"/>
      <c r="AK32" s="73"/>
      <c r="AL32" s="73"/>
      <c r="AM32" s="73"/>
      <c r="AN32" s="73"/>
      <c r="AO32" s="66"/>
      <c r="AP32" s="56"/>
      <c r="AQ32" s="64"/>
      <c r="AR32" s="56"/>
      <c r="AS32" s="56"/>
      <c r="AT32" s="77"/>
      <c r="AU32" s="77"/>
      <c r="AV32" s="77"/>
      <c r="AW32" s="77"/>
      <c r="AX32" s="103"/>
      <c r="AY32" s="106"/>
      <c r="AZ32" s="223" t="s">
        <v>860</v>
      </c>
      <c r="BA32" s="107"/>
      <c r="BB32" s="139" t="s">
        <v>861</v>
      </c>
      <c r="BC32" s="64"/>
      <c r="BD32" s="63"/>
      <c r="BE32" s="64"/>
      <c r="BF32" s="64"/>
      <c r="BG32" s="64"/>
      <c r="BH32" s="64"/>
      <c r="BI32" s="72"/>
      <c r="BJ32" s="73"/>
      <c r="BK32" s="73"/>
      <c r="BL32" s="73"/>
      <c r="BM32" s="73"/>
      <c r="BN32" s="66"/>
      <c r="BO32" s="56"/>
      <c r="BP32" s="56"/>
      <c r="BQ32" s="56"/>
      <c r="BR32" s="56"/>
      <c r="BS32" s="77"/>
      <c r="BT32" s="77"/>
      <c r="BU32" s="77"/>
      <c r="BV32" s="77"/>
      <c r="BW32" s="57"/>
      <c r="BX32" s="60"/>
      <c r="BY32" s="61"/>
      <c r="BZ32" s="61"/>
      <c r="CA32" s="61"/>
      <c r="CB32" s="61"/>
      <c r="CC32" s="74"/>
    </row>
    <row r="33" spans="2:81" ht="45">
      <c r="B33" s="47" t="s">
        <v>899</v>
      </c>
      <c r="C33" s="48" t="s">
        <v>1539</v>
      </c>
      <c r="D33" s="49" t="s">
        <v>901</v>
      </c>
      <c r="E33" s="70" t="s">
        <v>902</v>
      </c>
      <c r="F33" s="71" t="s">
        <v>1557</v>
      </c>
      <c r="G33" s="52" t="s">
        <v>1558</v>
      </c>
      <c r="H33" s="49" t="s">
        <v>33</v>
      </c>
      <c r="I33" s="49" t="s">
        <v>1559</v>
      </c>
      <c r="J33" s="49" t="s">
        <v>1560</v>
      </c>
      <c r="K33" s="72"/>
      <c r="L33" s="73"/>
      <c r="M33" s="73"/>
      <c r="N33" s="73"/>
      <c r="O33" s="73"/>
      <c r="P33" s="56"/>
      <c r="Q33" s="56"/>
      <c r="R33" s="56"/>
      <c r="S33" s="56"/>
      <c r="T33" s="56"/>
      <c r="U33" s="77"/>
      <c r="V33" s="77"/>
      <c r="W33" s="77"/>
      <c r="X33" s="96"/>
      <c r="Y33" s="54"/>
      <c r="Z33" s="60"/>
      <c r="AA33" s="54"/>
      <c r="AB33" s="54"/>
      <c r="AC33" s="80"/>
      <c r="AD33" s="61"/>
      <c r="AE33" s="64"/>
      <c r="AF33" s="64"/>
      <c r="AG33" s="64"/>
      <c r="AH33" s="64"/>
      <c r="AI33" s="64"/>
      <c r="AJ33" s="72"/>
      <c r="AK33" s="73"/>
      <c r="AL33" s="73"/>
      <c r="AM33" s="73"/>
      <c r="AN33" s="73"/>
      <c r="AO33" s="66"/>
      <c r="AP33" s="56"/>
      <c r="AQ33" s="56"/>
      <c r="AR33" s="56"/>
      <c r="AS33" s="56"/>
      <c r="AT33" s="77"/>
      <c r="AU33" s="77"/>
      <c r="AV33" s="77"/>
      <c r="AW33" s="77"/>
      <c r="AX33" s="103"/>
      <c r="AY33" s="106"/>
      <c r="AZ33" s="223" t="s">
        <v>860</v>
      </c>
      <c r="BA33" s="107"/>
      <c r="BB33" s="139" t="s">
        <v>861</v>
      </c>
      <c r="BC33" s="64"/>
      <c r="BD33" s="63"/>
      <c r="BE33" s="64"/>
      <c r="BF33" s="64"/>
      <c r="BG33" s="64"/>
      <c r="BH33" s="64"/>
      <c r="BI33" s="72"/>
      <c r="BJ33" s="73"/>
      <c r="BK33" s="73"/>
      <c r="BL33" s="73"/>
      <c r="BM33" s="73"/>
      <c r="BN33" s="66"/>
      <c r="BO33" s="56"/>
      <c r="BP33" s="56"/>
      <c r="BQ33" s="56"/>
      <c r="BR33" s="56"/>
      <c r="BS33" s="77"/>
      <c r="BT33" s="77"/>
      <c r="BU33" s="77"/>
      <c r="BV33" s="77"/>
      <c r="BW33" s="57"/>
      <c r="BX33" s="60"/>
      <c r="BY33" s="61"/>
      <c r="BZ33" s="61"/>
      <c r="CA33" s="61"/>
      <c r="CB33" s="61"/>
      <c r="CC33" s="74"/>
    </row>
    <row r="34" spans="2:81" ht="45">
      <c r="B34" s="47" t="s">
        <v>899</v>
      </c>
      <c r="C34" s="48" t="s">
        <v>1540</v>
      </c>
      <c r="D34" s="49" t="s">
        <v>1465</v>
      </c>
      <c r="E34" s="70" t="s">
        <v>1466</v>
      </c>
      <c r="F34" s="71" t="s">
        <v>1557</v>
      </c>
      <c r="G34" s="52" t="s">
        <v>1558</v>
      </c>
      <c r="H34" s="49" t="s">
        <v>33</v>
      </c>
      <c r="I34" s="49" t="s">
        <v>1559</v>
      </c>
      <c r="J34" s="49" t="s">
        <v>1560</v>
      </c>
      <c r="K34" s="72"/>
      <c r="L34" s="73"/>
      <c r="M34" s="73"/>
      <c r="N34" s="73"/>
      <c r="O34" s="73"/>
      <c r="P34" s="56"/>
      <c r="Q34" s="56"/>
      <c r="R34" s="56"/>
      <c r="S34" s="56"/>
      <c r="T34" s="56"/>
      <c r="U34" s="77"/>
      <c r="V34" s="77"/>
      <c r="W34" s="77"/>
      <c r="X34" s="96"/>
      <c r="Y34" s="57"/>
      <c r="Z34" s="60"/>
      <c r="AA34" s="61"/>
      <c r="AB34" s="61"/>
      <c r="AC34" s="61"/>
      <c r="AD34" s="54"/>
      <c r="AE34" s="64"/>
      <c r="AF34" s="64"/>
      <c r="AG34" s="64"/>
      <c r="AH34" s="64"/>
      <c r="AI34" s="64"/>
      <c r="AJ34" s="72"/>
      <c r="AK34" s="73"/>
      <c r="AL34" s="73"/>
      <c r="AM34" s="73"/>
      <c r="AN34" s="73"/>
      <c r="AO34" s="66"/>
      <c r="AP34" s="56"/>
      <c r="AQ34" s="56"/>
      <c r="AR34" s="56"/>
      <c r="AS34" s="56"/>
      <c r="AT34" s="77"/>
      <c r="AU34" s="77"/>
      <c r="AV34" s="77"/>
      <c r="AW34" s="77"/>
      <c r="AX34" s="103"/>
      <c r="AY34" s="106"/>
      <c r="AZ34" s="223" t="s">
        <v>860</v>
      </c>
      <c r="BA34" s="107"/>
      <c r="BB34" s="139" t="s">
        <v>861</v>
      </c>
      <c r="BC34" s="64"/>
      <c r="BD34" s="63"/>
      <c r="BE34" s="64"/>
      <c r="BF34" s="64"/>
      <c r="BG34" s="64"/>
      <c r="BH34" s="64"/>
      <c r="BI34" s="72"/>
      <c r="BJ34" s="73"/>
      <c r="BK34" s="73"/>
      <c r="BL34" s="73"/>
      <c r="BM34" s="73"/>
      <c r="BN34" s="66"/>
      <c r="BO34" s="56"/>
      <c r="BP34" s="56"/>
      <c r="BQ34" s="56"/>
      <c r="BR34" s="56"/>
      <c r="BS34" s="77"/>
      <c r="BT34" s="77"/>
      <c r="BU34" s="77"/>
      <c r="BV34" s="77"/>
      <c r="BW34" s="57"/>
      <c r="BX34" s="60"/>
      <c r="BY34" s="61"/>
      <c r="BZ34" s="61"/>
      <c r="CA34" s="61"/>
      <c r="CB34" s="61"/>
      <c r="CC34" s="74"/>
    </row>
    <row r="35" spans="2:81" ht="45">
      <c r="B35" s="47" t="s">
        <v>899</v>
      </c>
      <c r="C35" s="48" t="s">
        <v>1544</v>
      </c>
      <c r="D35" s="49" t="s">
        <v>1547</v>
      </c>
      <c r="E35" s="70" t="s">
        <v>1548</v>
      </c>
      <c r="F35" s="71" t="s">
        <v>1557</v>
      </c>
      <c r="G35" s="52" t="s">
        <v>1558</v>
      </c>
      <c r="H35" s="49" t="s">
        <v>33</v>
      </c>
      <c r="I35" s="49" t="s">
        <v>1559</v>
      </c>
      <c r="J35" s="49" t="s">
        <v>1560</v>
      </c>
      <c r="K35" s="72"/>
      <c r="L35" s="73"/>
      <c r="M35" s="73"/>
      <c r="N35" s="73"/>
      <c r="O35" s="73"/>
      <c r="P35" s="66"/>
      <c r="Q35" s="56"/>
      <c r="R35" s="56"/>
      <c r="S35" s="56"/>
      <c r="T35" s="56"/>
      <c r="U35" s="54"/>
      <c r="V35" s="77"/>
      <c r="W35" s="77"/>
      <c r="X35" s="96"/>
      <c r="Y35" s="80"/>
      <c r="Z35" s="60"/>
      <c r="AA35" s="61"/>
      <c r="AB35" s="54"/>
      <c r="AC35" s="61"/>
      <c r="AD35" s="61"/>
      <c r="AE35" s="63"/>
      <c r="AF35" s="64"/>
      <c r="AG35" s="64"/>
      <c r="AH35" s="64"/>
      <c r="AI35" s="64"/>
      <c r="AJ35" s="72"/>
      <c r="AK35" s="73"/>
      <c r="AL35" s="73"/>
      <c r="AM35" s="73"/>
      <c r="AN35" s="73"/>
      <c r="AO35" s="66"/>
      <c r="AP35" s="56"/>
      <c r="AQ35" s="56"/>
      <c r="AR35" s="56"/>
      <c r="AS35" s="56"/>
      <c r="AT35" s="77"/>
      <c r="AU35" s="77"/>
      <c r="AV35" s="77"/>
      <c r="AW35" s="77"/>
      <c r="AX35" s="103"/>
      <c r="AY35" s="106"/>
      <c r="AZ35" s="223" t="s">
        <v>860</v>
      </c>
      <c r="BA35" s="107"/>
      <c r="BB35" s="139" t="s">
        <v>861</v>
      </c>
      <c r="BC35" s="64"/>
      <c r="BD35" s="63"/>
      <c r="BE35" s="64"/>
      <c r="BF35" s="64"/>
      <c r="BG35" s="64"/>
      <c r="BH35" s="64"/>
      <c r="BI35" s="72"/>
      <c r="BJ35" s="73"/>
      <c r="BK35" s="73"/>
      <c r="BL35" s="73"/>
      <c r="BM35" s="73"/>
      <c r="BN35" s="66"/>
      <c r="BO35" s="56"/>
      <c r="BP35" s="56"/>
      <c r="BQ35" s="56"/>
      <c r="BR35" s="56"/>
      <c r="BS35" s="77"/>
      <c r="BT35" s="77"/>
      <c r="BU35" s="77"/>
      <c r="BV35" s="77"/>
      <c r="BW35" s="57"/>
      <c r="BX35" s="60"/>
      <c r="BY35" s="61"/>
      <c r="BZ35" s="61"/>
      <c r="CA35" s="61"/>
      <c r="CB35" s="61"/>
      <c r="CC35" s="74"/>
    </row>
    <row r="36" spans="2:81" ht="45">
      <c r="B36" s="47" t="s">
        <v>899</v>
      </c>
      <c r="C36" s="48" t="s">
        <v>1544</v>
      </c>
      <c r="D36" s="49" t="s">
        <v>1545</v>
      </c>
      <c r="E36" s="70" t="s">
        <v>1546</v>
      </c>
      <c r="F36" s="71" t="s">
        <v>1557</v>
      </c>
      <c r="G36" s="52" t="s">
        <v>1558</v>
      </c>
      <c r="H36" s="49" t="s">
        <v>33</v>
      </c>
      <c r="I36" s="49" t="s">
        <v>1559</v>
      </c>
      <c r="J36" s="49" t="s">
        <v>1560</v>
      </c>
      <c r="K36" s="72"/>
      <c r="L36" s="73"/>
      <c r="M36" s="73"/>
      <c r="N36" s="73"/>
      <c r="O36" s="73"/>
      <c r="P36" s="66"/>
      <c r="Q36" s="56"/>
      <c r="R36" s="56"/>
      <c r="S36" s="56"/>
      <c r="T36" s="56"/>
      <c r="U36" s="77"/>
      <c r="V36" s="77"/>
      <c r="W36" s="77"/>
      <c r="Y36" s="57"/>
      <c r="Z36" s="60"/>
      <c r="AA36" s="61"/>
      <c r="AB36" s="54"/>
      <c r="AC36" s="61"/>
      <c r="AD36" s="61"/>
      <c r="AE36" s="63"/>
      <c r="AF36" s="64"/>
      <c r="AG36" s="64"/>
      <c r="AH36" s="64"/>
      <c r="AI36" s="64"/>
      <c r="AJ36" s="72"/>
      <c r="AK36" s="73"/>
      <c r="AL36" s="73"/>
      <c r="AM36" s="73"/>
      <c r="AN36" s="73"/>
      <c r="AO36" s="66"/>
      <c r="AP36" s="56"/>
      <c r="AQ36" s="56"/>
      <c r="AR36" s="56"/>
      <c r="AS36" s="56"/>
      <c r="AT36" s="77"/>
      <c r="AU36" s="77"/>
      <c r="AV36" s="77"/>
      <c r="AW36" s="77"/>
      <c r="AX36" s="103"/>
      <c r="AY36" s="106"/>
      <c r="AZ36" s="223" t="s">
        <v>860</v>
      </c>
      <c r="BA36" s="107"/>
      <c r="BB36" s="139" t="s">
        <v>861</v>
      </c>
      <c r="BC36" s="64"/>
      <c r="BD36" s="63"/>
      <c r="BE36" s="64"/>
      <c r="BF36" s="64"/>
      <c r="BG36" s="64"/>
      <c r="BH36" s="64"/>
      <c r="BI36" s="72"/>
      <c r="BJ36" s="73"/>
      <c r="BK36" s="73"/>
      <c r="BL36" s="73"/>
      <c r="BM36" s="73"/>
      <c r="BN36" s="66"/>
      <c r="BO36" s="56"/>
      <c r="BP36" s="56"/>
      <c r="BQ36" s="56"/>
      <c r="BR36" s="56"/>
      <c r="BS36" s="77"/>
      <c r="BT36" s="77"/>
      <c r="BU36" s="77"/>
      <c r="BV36" s="77"/>
      <c r="BW36" s="57"/>
      <c r="BX36" s="60"/>
      <c r="BY36" s="61"/>
      <c r="BZ36" s="61"/>
      <c r="CA36" s="61"/>
      <c r="CB36" s="61"/>
      <c r="CC36" s="74"/>
    </row>
    <row r="37" spans="2:81" ht="45">
      <c r="B37" s="47" t="s">
        <v>899</v>
      </c>
      <c r="C37" s="48" t="s">
        <v>1543</v>
      </c>
      <c r="D37" s="49" t="s">
        <v>1333</v>
      </c>
      <c r="E37" s="81" t="s">
        <v>1467</v>
      </c>
      <c r="F37" s="97" t="s">
        <v>1557</v>
      </c>
      <c r="G37" s="98" t="s">
        <v>1558</v>
      </c>
      <c r="H37" s="49" t="s">
        <v>33</v>
      </c>
      <c r="I37" s="49" t="s">
        <v>1559</v>
      </c>
      <c r="J37" s="49" t="s">
        <v>1560</v>
      </c>
      <c r="K37" s="99"/>
      <c r="L37" s="100"/>
      <c r="M37" s="100"/>
      <c r="N37" s="100"/>
      <c r="O37" s="100"/>
      <c r="P37" s="101"/>
      <c r="Q37" s="102"/>
      <c r="R37" s="102"/>
      <c r="S37" s="102"/>
      <c r="T37" s="102"/>
      <c r="U37" s="103"/>
      <c r="V37" s="104"/>
      <c r="W37" s="105"/>
      <c r="X37" s="115"/>
      <c r="Y37" s="103"/>
      <c r="Z37" s="106"/>
      <c r="AA37" s="107"/>
      <c r="AB37" s="54"/>
      <c r="AC37" s="54"/>
      <c r="AD37" s="107"/>
      <c r="AE37" s="64"/>
      <c r="AF37" s="64"/>
      <c r="AG37" s="64"/>
      <c r="AH37" s="108"/>
      <c r="AI37" s="108"/>
      <c r="AJ37" s="99"/>
      <c r="AK37" s="100"/>
      <c r="AL37" s="100"/>
      <c r="AM37" s="100"/>
      <c r="AN37" s="100"/>
      <c r="AO37" s="101"/>
      <c r="AP37" s="56"/>
      <c r="AQ37" s="102"/>
      <c r="AR37" s="102"/>
      <c r="AS37" s="56"/>
      <c r="AT37" s="103"/>
      <c r="AU37" s="104"/>
      <c r="AV37" s="105"/>
      <c r="AW37" s="105"/>
      <c r="AX37" s="106"/>
      <c r="AY37" s="106"/>
      <c r="AZ37" s="141" t="s">
        <v>860</v>
      </c>
      <c r="BA37" s="107"/>
      <c r="BB37" s="225" t="s">
        <v>861</v>
      </c>
      <c r="BC37" s="107"/>
      <c r="BD37" s="64"/>
      <c r="BE37" s="108"/>
      <c r="BF37" s="108"/>
      <c r="BG37" s="108"/>
      <c r="BH37" s="108"/>
      <c r="BI37" s="99"/>
      <c r="BJ37" s="100"/>
      <c r="BK37" s="100"/>
      <c r="BL37" s="100"/>
      <c r="BM37" s="100"/>
      <c r="BN37" s="101"/>
      <c r="BO37" s="102"/>
      <c r="BP37" s="102"/>
      <c r="BQ37" s="102"/>
      <c r="BR37" s="102"/>
      <c r="BS37" s="103"/>
      <c r="BT37" s="104"/>
      <c r="BU37" s="105"/>
      <c r="BV37" s="105"/>
      <c r="BW37" s="103"/>
      <c r="BX37" s="106"/>
      <c r="BY37" s="107"/>
      <c r="BZ37" s="107"/>
      <c r="CA37" s="107"/>
      <c r="CB37" s="107"/>
      <c r="CC37" s="74"/>
    </row>
    <row r="38" spans="2:81" ht="45">
      <c r="B38" s="47" t="s">
        <v>899</v>
      </c>
      <c r="C38" s="48" t="s">
        <v>1561</v>
      </c>
      <c r="D38" s="49" t="s">
        <v>1562</v>
      </c>
      <c r="E38" s="81" t="s">
        <v>1563</v>
      </c>
      <c r="F38" s="97" t="s">
        <v>1557</v>
      </c>
      <c r="G38" s="98" t="s">
        <v>1558</v>
      </c>
      <c r="H38" s="49" t="s">
        <v>33</v>
      </c>
      <c r="I38" s="49" t="s">
        <v>1559</v>
      </c>
      <c r="J38" s="49" t="s">
        <v>1560</v>
      </c>
      <c r="K38" s="99"/>
      <c r="L38" s="100"/>
      <c r="M38" s="100"/>
      <c r="N38" s="100"/>
      <c r="O38" s="100"/>
      <c r="P38" s="101"/>
      <c r="Q38" s="102"/>
      <c r="R38" s="102"/>
      <c r="S38" s="102"/>
      <c r="T38" s="102"/>
      <c r="U38" s="103"/>
      <c r="V38" s="104"/>
      <c r="W38" s="105"/>
      <c r="X38" s="115"/>
      <c r="Y38" s="103"/>
      <c r="Z38" s="106"/>
      <c r="AA38" s="107"/>
      <c r="AB38" s="107"/>
      <c r="AC38" s="107"/>
      <c r="AD38" s="107"/>
      <c r="AE38" s="54"/>
      <c r="AF38" s="64"/>
      <c r="AG38" s="108"/>
      <c r="AH38" s="108"/>
      <c r="AI38" s="80"/>
      <c r="AJ38" s="99"/>
      <c r="AK38" s="100"/>
      <c r="AL38" s="100"/>
      <c r="AM38" s="100"/>
      <c r="AN38" s="100"/>
      <c r="AO38" s="101"/>
      <c r="AP38" s="102"/>
      <c r="AQ38" s="102"/>
      <c r="AR38" s="102"/>
      <c r="AS38" s="108"/>
      <c r="AT38" s="103"/>
      <c r="AU38" s="104"/>
      <c r="AV38" s="105"/>
      <c r="AW38" s="105"/>
      <c r="AX38" s="106"/>
      <c r="AY38" s="106"/>
      <c r="AZ38" s="141" t="s">
        <v>860</v>
      </c>
      <c r="BA38" s="107"/>
      <c r="BB38" s="225" t="s">
        <v>861</v>
      </c>
      <c r="BC38" s="107"/>
      <c r="BD38" s="109"/>
      <c r="BE38" s="108"/>
      <c r="BF38" s="108"/>
      <c r="BG38" s="108"/>
      <c r="BH38" s="108"/>
      <c r="BI38" s="99"/>
      <c r="BJ38" s="100"/>
      <c r="BK38" s="100"/>
      <c r="BL38" s="100"/>
      <c r="BM38" s="100"/>
      <c r="BN38" s="101"/>
      <c r="BO38" s="102"/>
      <c r="BP38" s="102"/>
      <c r="BQ38" s="102"/>
      <c r="BR38" s="102"/>
      <c r="BS38" s="103"/>
      <c r="BT38" s="104"/>
      <c r="BU38" s="105"/>
      <c r="BV38" s="105"/>
      <c r="BW38" s="103"/>
      <c r="BX38" s="106"/>
      <c r="BY38" s="107"/>
      <c r="BZ38" s="107"/>
      <c r="CA38" s="107"/>
      <c r="CB38" s="107"/>
      <c r="CC38" s="74"/>
    </row>
    <row r="39" spans="2:81" ht="45">
      <c r="B39" s="47" t="s">
        <v>864</v>
      </c>
      <c r="C39" s="48" t="s">
        <v>1564</v>
      </c>
      <c r="D39" s="49" t="s">
        <v>1565</v>
      </c>
      <c r="E39" s="81" t="s">
        <v>1566</v>
      </c>
      <c r="F39" s="97" t="s">
        <v>1567</v>
      </c>
      <c r="G39" s="98" t="s">
        <v>1568</v>
      </c>
      <c r="H39" s="49" t="s">
        <v>33</v>
      </c>
      <c r="I39" s="49" t="s">
        <v>1559</v>
      </c>
      <c r="J39" s="49" t="s">
        <v>1533</v>
      </c>
      <c r="K39" s="99"/>
      <c r="L39" s="100"/>
      <c r="M39" s="100"/>
      <c r="N39" s="100"/>
      <c r="O39" s="100"/>
      <c r="P39" s="101"/>
      <c r="Q39" s="102"/>
      <c r="R39" s="102"/>
      <c r="S39" s="102"/>
      <c r="T39" s="102"/>
      <c r="U39" s="103"/>
      <c r="V39" s="104"/>
      <c r="W39" s="105"/>
      <c r="X39" s="105"/>
      <c r="Y39" s="103"/>
      <c r="Z39" s="106"/>
      <c r="AA39" s="107"/>
      <c r="AB39" s="107"/>
      <c r="AC39" s="107"/>
      <c r="AD39" s="107"/>
      <c r="AE39" s="54"/>
      <c r="AF39" s="64"/>
      <c r="AG39" s="108"/>
      <c r="AH39" s="108"/>
      <c r="AI39" s="219"/>
      <c r="AJ39" s="99"/>
      <c r="AK39" s="220"/>
      <c r="AL39" s="100"/>
      <c r="AM39" s="100"/>
      <c r="AN39" s="100"/>
      <c r="AO39" s="101"/>
      <c r="AP39" s="102"/>
      <c r="AQ39" s="102"/>
      <c r="AR39" s="102"/>
      <c r="AS39" s="108"/>
      <c r="AT39" s="103"/>
      <c r="AU39" s="104"/>
      <c r="AV39" s="105"/>
      <c r="AW39" s="105"/>
      <c r="AX39" s="106"/>
      <c r="AY39" s="106"/>
      <c r="AZ39" s="64"/>
      <c r="BA39" s="107"/>
      <c r="BB39" s="106"/>
      <c r="BC39" s="223" t="s">
        <v>860</v>
      </c>
      <c r="BD39" s="109"/>
      <c r="BE39" s="142" t="s">
        <v>861</v>
      </c>
      <c r="BF39" s="108"/>
      <c r="BG39" s="108"/>
      <c r="BH39" s="108"/>
      <c r="BI39" s="99"/>
      <c r="BJ39" s="100"/>
      <c r="BK39" s="100"/>
      <c r="BL39" s="100"/>
      <c r="BM39" s="100"/>
      <c r="BN39" s="101"/>
      <c r="BO39" s="102"/>
      <c r="BP39" s="102"/>
      <c r="BQ39" s="102"/>
      <c r="BR39" s="102"/>
      <c r="BS39" s="103"/>
      <c r="BT39" s="104"/>
      <c r="BU39" s="105"/>
      <c r="BV39" s="105"/>
      <c r="BW39" s="103"/>
      <c r="BX39" s="106"/>
      <c r="BY39" s="107"/>
      <c r="BZ39" s="107"/>
      <c r="CA39" s="107"/>
      <c r="CB39" s="107"/>
      <c r="CC39" s="74"/>
    </row>
    <row r="40" spans="2:81" ht="45">
      <c r="B40" s="47" t="s">
        <v>864</v>
      </c>
      <c r="C40" s="48" t="s">
        <v>1330</v>
      </c>
      <c r="D40" s="49" t="s">
        <v>1430</v>
      </c>
      <c r="E40" s="81" t="s">
        <v>1431</v>
      </c>
      <c r="F40" s="97" t="s">
        <v>1567</v>
      </c>
      <c r="G40" s="98" t="s">
        <v>1568</v>
      </c>
      <c r="H40" s="49" t="s">
        <v>33</v>
      </c>
      <c r="I40" s="49" t="s">
        <v>1559</v>
      </c>
      <c r="J40" s="49" t="s">
        <v>1533</v>
      </c>
      <c r="K40" s="99"/>
      <c r="L40" s="100"/>
      <c r="M40" s="100"/>
      <c r="N40" s="100"/>
      <c r="O40" s="100"/>
      <c r="P40" s="101"/>
      <c r="Q40" s="102"/>
      <c r="R40" s="102"/>
      <c r="S40" s="102"/>
      <c r="T40" s="102"/>
      <c r="U40" s="103"/>
      <c r="V40" s="104"/>
      <c r="W40" s="105"/>
      <c r="X40" s="105"/>
      <c r="Y40" s="103"/>
      <c r="Z40" s="106"/>
      <c r="AA40" s="107"/>
      <c r="AB40" s="107"/>
      <c r="AC40" s="107"/>
      <c r="AD40" s="107"/>
      <c r="AE40" s="54"/>
      <c r="AF40" s="64"/>
      <c r="AG40" s="108"/>
      <c r="AH40" s="108"/>
      <c r="AI40" s="219"/>
      <c r="AJ40" s="99"/>
      <c r="AK40" s="100"/>
      <c r="AL40" s="100"/>
      <c r="AM40" s="220"/>
      <c r="AN40" s="100"/>
      <c r="AO40" s="101"/>
      <c r="AP40" s="102"/>
      <c r="AQ40" s="102"/>
      <c r="AR40" s="102"/>
      <c r="AS40" s="108"/>
      <c r="AT40" s="103"/>
      <c r="AU40" s="104"/>
      <c r="AV40" s="105"/>
      <c r="AW40" s="105"/>
      <c r="AX40" s="106"/>
      <c r="AY40" s="106"/>
      <c r="AZ40" s="64"/>
      <c r="BA40" s="107"/>
      <c r="BB40" s="106"/>
      <c r="BC40" s="223" t="s">
        <v>860</v>
      </c>
      <c r="BD40" s="109"/>
      <c r="BE40" s="142" t="s">
        <v>861</v>
      </c>
      <c r="BF40" s="108"/>
      <c r="BG40" s="108"/>
      <c r="BH40" s="108"/>
      <c r="BI40" s="99"/>
      <c r="BJ40" s="100"/>
      <c r="BK40" s="100"/>
      <c r="BL40" s="100"/>
      <c r="BM40" s="100"/>
      <c r="BN40" s="101"/>
      <c r="BO40" s="102"/>
      <c r="BP40" s="102"/>
      <c r="BQ40" s="102"/>
      <c r="BR40" s="102"/>
      <c r="BS40" s="103"/>
      <c r="BT40" s="104"/>
      <c r="BU40" s="105"/>
      <c r="BV40" s="105"/>
      <c r="BW40" s="103"/>
      <c r="BX40" s="106"/>
      <c r="BY40" s="107"/>
      <c r="BZ40" s="107"/>
      <c r="CA40" s="107"/>
      <c r="CB40" s="107"/>
      <c r="CC40" s="74"/>
    </row>
    <row r="41" spans="2:81" ht="45">
      <c r="B41" s="47" t="s">
        <v>864</v>
      </c>
      <c r="C41" s="48" t="s">
        <v>1310</v>
      </c>
      <c r="D41" s="49" t="s">
        <v>1424</v>
      </c>
      <c r="E41" s="81" t="s">
        <v>1425</v>
      </c>
      <c r="F41" s="97" t="s">
        <v>1567</v>
      </c>
      <c r="G41" s="98" t="s">
        <v>1568</v>
      </c>
      <c r="H41" s="49" t="s">
        <v>33</v>
      </c>
      <c r="I41" s="49" t="s">
        <v>1559</v>
      </c>
      <c r="J41" s="49" t="s">
        <v>1533</v>
      </c>
      <c r="K41" s="99"/>
      <c r="L41" s="100"/>
      <c r="M41" s="100"/>
      <c r="N41" s="100"/>
      <c r="O41" s="100"/>
      <c r="P41" s="101"/>
      <c r="Q41" s="102"/>
      <c r="R41" s="102"/>
      <c r="S41" s="102"/>
      <c r="T41" s="102"/>
      <c r="U41" s="103"/>
      <c r="V41" s="104"/>
      <c r="W41" s="105"/>
      <c r="X41" s="105"/>
      <c r="Y41" s="103"/>
      <c r="Z41" s="106"/>
      <c r="AA41" s="107"/>
      <c r="AB41" s="107"/>
      <c r="AC41" s="107"/>
      <c r="AD41" s="107"/>
      <c r="AE41" s="54"/>
      <c r="AF41" s="64"/>
      <c r="AG41" s="108"/>
      <c r="AH41" s="108"/>
      <c r="AI41" s="219"/>
      <c r="AJ41" s="99"/>
      <c r="AK41" s="100"/>
      <c r="AL41" s="100"/>
      <c r="AM41" s="220"/>
      <c r="AN41" s="100"/>
      <c r="AO41" s="101"/>
      <c r="AP41" s="102"/>
      <c r="AQ41" s="102"/>
      <c r="AR41" s="102"/>
      <c r="AS41" s="108"/>
      <c r="AT41" s="103"/>
      <c r="AU41" s="104"/>
      <c r="AV41" s="105"/>
      <c r="AW41" s="105"/>
      <c r="AX41" s="106"/>
      <c r="AY41" s="106"/>
      <c r="AZ41" s="64"/>
      <c r="BA41" s="107"/>
      <c r="BB41" s="106"/>
      <c r="BC41" s="223" t="s">
        <v>860</v>
      </c>
      <c r="BD41" s="109"/>
      <c r="BE41" s="142" t="s">
        <v>861</v>
      </c>
      <c r="BF41" s="108"/>
      <c r="BG41" s="108"/>
      <c r="BH41" s="108"/>
      <c r="BI41" s="99"/>
      <c r="BJ41" s="100"/>
      <c r="BK41" s="100"/>
      <c r="BL41" s="100"/>
      <c r="BM41" s="100"/>
      <c r="BN41" s="101"/>
      <c r="BO41" s="102"/>
      <c r="BP41" s="102"/>
      <c r="BQ41" s="102"/>
      <c r="BR41" s="102"/>
      <c r="BS41" s="103"/>
      <c r="BT41" s="104"/>
      <c r="BU41" s="105"/>
      <c r="BV41" s="105"/>
      <c r="BW41" s="103"/>
      <c r="BX41" s="106"/>
      <c r="BY41" s="107"/>
      <c r="BZ41" s="107"/>
      <c r="CA41" s="107"/>
      <c r="CB41" s="107"/>
      <c r="CC41" s="74"/>
    </row>
    <row r="42" spans="2:81" ht="45">
      <c r="B42" s="47" t="s">
        <v>864</v>
      </c>
      <c r="C42" s="48" t="s">
        <v>1310</v>
      </c>
      <c r="D42" s="49" t="s">
        <v>1311</v>
      </c>
      <c r="E42" s="81" t="s">
        <v>1312</v>
      </c>
      <c r="F42" s="97" t="s">
        <v>1567</v>
      </c>
      <c r="G42" s="98" t="s">
        <v>1568</v>
      </c>
      <c r="H42" s="49" t="s">
        <v>33</v>
      </c>
      <c r="I42" s="49" t="s">
        <v>1559</v>
      </c>
      <c r="J42" s="49" t="s">
        <v>1533</v>
      </c>
      <c r="K42" s="99"/>
      <c r="L42" s="100"/>
      <c r="M42" s="100"/>
      <c r="N42" s="100"/>
      <c r="O42" s="100"/>
      <c r="P42" s="217"/>
      <c r="Q42" s="102"/>
      <c r="R42" s="102"/>
      <c r="S42" s="102"/>
      <c r="T42" s="218"/>
      <c r="U42" s="103"/>
      <c r="V42" s="104"/>
      <c r="W42" s="105"/>
      <c r="X42" s="105"/>
      <c r="Y42" s="103"/>
      <c r="Z42" s="106"/>
      <c r="AA42" s="107"/>
      <c r="AB42" s="107"/>
      <c r="AC42" s="107"/>
      <c r="AD42" s="107"/>
      <c r="AE42" s="54"/>
      <c r="AF42" s="64"/>
      <c r="AG42" s="108"/>
      <c r="AH42" s="108"/>
      <c r="AI42" s="219"/>
      <c r="AJ42" s="99"/>
      <c r="AK42" s="100"/>
      <c r="AL42" s="100"/>
      <c r="AM42" s="220"/>
      <c r="AN42" s="100"/>
      <c r="AO42" s="101"/>
      <c r="AP42" s="102"/>
      <c r="AQ42" s="102"/>
      <c r="AR42" s="102"/>
      <c r="AS42" s="108"/>
      <c r="AT42" s="103"/>
      <c r="AU42" s="104"/>
      <c r="AV42" s="105"/>
      <c r="AW42" s="105"/>
      <c r="AX42" s="106"/>
      <c r="AY42" s="106"/>
      <c r="AZ42" s="64"/>
      <c r="BA42" s="107"/>
      <c r="BB42" s="106"/>
      <c r="BC42" s="223" t="s">
        <v>860</v>
      </c>
      <c r="BD42" s="109"/>
      <c r="BE42" s="142" t="s">
        <v>861</v>
      </c>
      <c r="BF42" s="108"/>
      <c r="BG42" s="108"/>
      <c r="BH42" s="108"/>
      <c r="BI42" s="99"/>
      <c r="BJ42" s="100"/>
      <c r="BK42" s="100"/>
      <c r="BL42" s="100"/>
      <c r="BM42" s="100"/>
      <c r="BN42" s="101"/>
      <c r="BO42" s="102"/>
      <c r="BP42" s="102"/>
      <c r="BQ42" s="102"/>
      <c r="BR42" s="102"/>
      <c r="BS42" s="103"/>
      <c r="BT42" s="104"/>
      <c r="BU42" s="105"/>
      <c r="BV42" s="105"/>
      <c r="BW42" s="103"/>
      <c r="BX42" s="106"/>
      <c r="BY42" s="107"/>
      <c r="BZ42" s="107"/>
      <c r="CA42" s="107"/>
      <c r="CB42" s="107"/>
      <c r="CC42" s="74"/>
    </row>
    <row r="43" spans="2:81" ht="45">
      <c r="B43" s="47" t="s">
        <v>864</v>
      </c>
      <c r="C43" s="48" t="s">
        <v>1310</v>
      </c>
      <c r="D43" s="49" t="s">
        <v>1426</v>
      </c>
      <c r="E43" s="81" t="s">
        <v>1427</v>
      </c>
      <c r="F43" s="97" t="s">
        <v>1567</v>
      </c>
      <c r="G43" s="98" t="s">
        <v>1568</v>
      </c>
      <c r="H43" s="49" t="s">
        <v>33</v>
      </c>
      <c r="I43" s="49" t="s">
        <v>1559</v>
      </c>
      <c r="J43" s="49" t="s">
        <v>1533</v>
      </c>
      <c r="K43" s="99"/>
      <c r="L43" s="100"/>
      <c r="M43" s="100"/>
      <c r="N43" s="100"/>
      <c r="O43" s="100"/>
      <c r="P43" s="217"/>
      <c r="Q43" s="102"/>
      <c r="R43" s="102"/>
      <c r="S43" s="102"/>
      <c r="T43" s="218"/>
      <c r="U43" s="103"/>
      <c r="V43" s="104"/>
      <c r="W43" s="105"/>
      <c r="X43" s="105"/>
      <c r="Y43" s="103"/>
      <c r="Z43" s="106"/>
      <c r="AA43" s="107"/>
      <c r="AB43" s="107"/>
      <c r="AC43" s="107"/>
      <c r="AD43" s="107"/>
      <c r="AE43" s="54"/>
      <c r="AF43" s="64"/>
      <c r="AG43" s="108"/>
      <c r="AH43" s="108"/>
      <c r="AI43" s="219"/>
      <c r="AJ43" s="99"/>
      <c r="AK43" s="100"/>
      <c r="AL43" s="100"/>
      <c r="AM43" s="220"/>
      <c r="AN43" s="100"/>
      <c r="AO43" s="101"/>
      <c r="AP43" s="102"/>
      <c r="AQ43" s="102"/>
      <c r="AR43" s="102"/>
      <c r="AS43" s="108"/>
      <c r="AT43" s="103"/>
      <c r="AU43" s="104"/>
      <c r="AV43" s="105"/>
      <c r="AW43" s="105"/>
      <c r="AX43" s="106"/>
      <c r="AY43" s="106"/>
      <c r="AZ43" s="64"/>
      <c r="BA43" s="107"/>
      <c r="BB43" s="106"/>
      <c r="BC43" s="223" t="s">
        <v>860</v>
      </c>
      <c r="BD43" s="109"/>
      <c r="BE43" s="142" t="s">
        <v>861</v>
      </c>
      <c r="BF43" s="108"/>
      <c r="BG43" s="108"/>
      <c r="BH43" s="108"/>
      <c r="BI43" s="99"/>
      <c r="BJ43" s="100"/>
      <c r="BK43" s="100"/>
      <c r="BL43" s="100"/>
      <c r="BM43" s="100"/>
      <c r="BN43" s="101"/>
      <c r="BO43" s="102"/>
      <c r="BP43" s="102"/>
      <c r="BQ43" s="102"/>
      <c r="BR43" s="102"/>
      <c r="BS43" s="103"/>
      <c r="BT43" s="104"/>
      <c r="BU43" s="105"/>
      <c r="BV43" s="105"/>
      <c r="BW43" s="103"/>
      <c r="BX43" s="106"/>
      <c r="BY43" s="107"/>
      <c r="BZ43" s="107"/>
      <c r="CA43" s="107"/>
      <c r="CB43" s="107"/>
      <c r="CC43" s="74"/>
    </row>
    <row r="44" spans="2:81" ht="45">
      <c r="B44" s="47" t="s">
        <v>864</v>
      </c>
      <c r="C44" s="48" t="s">
        <v>1414</v>
      </c>
      <c r="D44" s="49" t="s">
        <v>1484</v>
      </c>
      <c r="E44" s="81" t="s">
        <v>1485</v>
      </c>
      <c r="F44" s="97" t="s">
        <v>1567</v>
      </c>
      <c r="G44" s="98" t="s">
        <v>1568</v>
      </c>
      <c r="H44" s="49" t="s">
        <v>33</v>
      </c>
      <c r="I44" s="49" t="s">
        <v>1559</v>
      </c>
      <c r="J44" s="49" t="s">
        <v>1533</v>
      </c>
      <c r="K44" s="99"/>
      <c r="L44" s="100"/>
      <c r="M44" s="100"/>
      <c r="N44" s="100"/>
      <c r="O44" s="100"/>
      <c r="P44" s="101"/>
      <c r="Q44" s="102"/>
      <c r="R44" s="102"/>
      <c r="S44" s="102"/>
      <c r="T44" s="102"/>
      <c r="U44" s="103"/>
      <c r="V44" s="104"/>
      <c r="W44" s="105"/>
      <c r="X44" s="105"/>
      <c r="Y44" s="103"/>
      <c r="Z44" s="106"/>
      <c r="AA44" s="107"/>
      <c r="AB44" s="107"/>
      <c r="AC44" s="107"/>
      <c r="AD44" s="107"/>
      <c r="AE44" s="54"/>
      <c r="AF44" s="64"/>
      <c r="AG44" s="108"/>
      <c r="AH44" s="108"/>
      <c r="AI44" s="80"/>
      <c r="AJ44" s="99"/>
      <c r="AK44" s="100"/>
      <c r="AL44" s="100"/>
      <c r="AM44" s="100"/>
      <c r="AN44" s="100"/>
      <c r="AO44" s="217"/>
      <c r="AP44" s="102"/>
      <c r="AQ44" s="102"/>
      <c r="AR44" s="102"/>
      <c r="AS44" s="108"/>
      <c r="AT44" s="103"/>
      <c r="AU44" s="104"/>
      <c r="AV44" s="105"/>
      <c r="AW44" s="105"/>
      <c r="AX44" s="106"/>
      <c r="AY44" s="106"/>
      <c r="AZ44" s="64"/>
      <c r="BA44" s="107"/>
      <c r="BB44" s="106"/>
      <c r="BC44" s="223" t="s">
        <v>860</v>
      </c>
      <c r="BD44" s="109"/>
      <c r="BE44" s="142" t="s">
        <v>861</v>
      </c>
      <c r="BF44" s="108"/>
      <c r="BG44" s="108"/>
      <c r="BH44" s="108"/>
      <c r="BI44" s="99"/>
      <c r="BJ44" s="100"/>
      <c r="BK44" s="100"/>
      <c r="BL44" s="100"/>
      <c r="BM44" s="100"/>
      <c r="BN44" s="101"/>
      <c r="BO44" s="102"/>
      <c r="BP44" s="102"/>
      <c r="BQ44" s="102"/>
      <c r="BR44" s="102"/>
      <c r="BS44" s="103"/>
      <c r="BT44" s="104"/>
      <c r="BU44" s="105"/>
      <c r="BV44" s="105"/>
      <c r="BW44" s="103"/>
      <c r="BX44" s="106"/>
      <c r="BY44" s="107"/>
      <c r="BZ44" s="107"/>
      <c r="CA44" s="107"/>
      <c r="CB44" s="107"/>
      <c r="CC44" s="74"/>
    </row>
    <row r="45" spans="2:81" ht="45">
      <c r="B45" s="47" t="s">
        <v>864</v>
      </c>
      <c r="C45" s="48" t="s">
        <v>1414</v>
      </c>
      <c r="D45" s="49" t="s">
        <v>1486</v>
      </c>
      <c r="E45" s="81" t="s">
        <v>1487</v>
      </c>
      <c r="F45" s="97" t="s">
        <v>1567</v>
      </c>
      <c r="G45" s="98" t="s">
        <v>1568</v>
      </c>
      <c r="H45" s="49" t="s">
        <v>33</v>
      </c>
      <c r="I45" s="49" t="s">
        <v>1559</v>
      </c>
      <c r="J45" s="49" t="s">
        <v>1533</v>
      </c>
      <c r="K45" s="99"/>
      <c r="L45" s="100"/>
      <c r="M45" s="100"/>
      <c r="N45" s="100"/>
      <c r="O45" s="100"/>
      <c r="P45" s="101"/>
      <c r="Q45" s="102"/>
      <c r="R45" s="102"/>
      <c r="S45" s="102"/>
      <c r="T45" s="102"/>
      <c r="U45" s="103"/>
      <c r="V45" s="104"/>
      <c r="W45" s="105"/>
      <c r="X45" s="105"/>
      <c r="Y45" s="103"/>
      <c r="Z45" s="106"/>
      <c r="AA45" s="107"/>
      <c r="AB45" s="107"/>
      <c r="AC45" s="107"/>
      <c r="AD45" s="107"/>
      <c r="AE45" s="54"/>
      <c r="AF45" s="64"/>
      <c r="AG45" s="108"/>
      <c r="AH45" s="108"/>
      <c r="AI45" s="80"/>
      <c r="AJ45" s="99"/>
      <c r="AK45" s="100"/>
      <c r="AL45" s="100"/>
      <c r="AM45" s="100"/>
      <c r="AN45" s="100"/>
      <c r="AO45" s="217"/>
      <c r="AP45" s="102"/>
      <c r="AQ45" s="102"/>
      <c r="AR45" s="102"/>
      <c r="AS45" s="108"/>
      <c r="AT45" s="103"/>
      <c r="AU45" s="104"/>
      <c r="AV45" s="105"/>
      <c r="AW45" s="105"/>
      <c r="AX45" s="106"/>
      <c r="AY45" s="106"/>
      <c r="AZ45" s="64"/>
      <c r="BA45" s="107"/>
      <c r="BB45" s="106"/>
      <c r="BC45" s="223" t="s">
        <v>860</v>
      </c>
      <c r="BD45" s="109"/>
      <c r="BE45" s="142" t="s">
        <v>861</v>
      </c>
      <c r="BF45" s="108"/>
      <c r="BG45" s="108"/>
      <c r="BH45" s="108"/>
      <c r="BI45" s="99"/>
      <c r="BJ45" s="100"/>
      <c r="BK45" s="100"/>
      <c r="BL45" s="100"/>
      <c r="BM45" s="100"/>
      <c r="BN45" s="101"/>
      <c r="BO45" s="102"/>
      <c r="BP45" s="102"/>
      <c r="BQ45" s="102"/>
      <c r="BR45" s="102"/>
      <c r="BS45" s="103"/>
      <c r="BT45" s="104"/>
      <c r="BU45" s="105"/>
      <c r="BV45" s="105"/>
      <c r="BW45" s="103"/>
      <c r="BX45" s="106"/>
      <c r="BY45" s="107"/>
      <c r="BZ45" s="107"/>
      <c r="CA45" s="107"/>
      <c r="CB45" s="107"/>
      <c r="CC45" s="74"/>
    </row>
    <row r="46" spans="2:81" ht="45">
      <c r="B46" s="47" t="s">
        <v>864</v>
      </c>
      <c r="C46" s="48" t="s">
        <v>1316</v>
      </c>
      <c r="D46" s="49" t="s">
        <v>1555</v>
      </c>
      <c r="E46" s="81" t="s">
        <v>1479</v>
      </c>
      <c r="F46" s="97" t="s">
        <v>1567</v>
      </c>
      <c r="G46" s="98" t="s">
        <v>1568</v>
      </c>
      <c r="H46" s="49" t="s">
        <v>33</v>
      </c>
      <c r="I46" s="49" t="s">
        <v>1559</v>
      </c>
      <c r="J46" s="49" t="s">
        <v>1533</v>
      </c>
      <c r="K46" s="99"/>
      <c r="L46" s="100"/>
      <c r="M46" s="100"/>
      <c r="N46" s="100"/>
      <c r="O46" s="100"/>
      <c r="P46" s="101"/>
      <c r="Q46" s="102"/>
      <c r="R46" s="102"/>
      <c r="S46" s="102"/>
      <c r="T46" s="102"/>
      <c r="U46" s="103"/>
      <c r="V46" s="104"/>
      <c r="W46" s="105"/>
      <c r="X46" s="105"/>
      <c r="Y46" s="103"/>
      <c r="Z46" s="106"/>
      <c r="AA46" s="107"/>
      <c r="AB46" s="107"/>
      <c r="AC46" s="107"/>
      <c r="AD46" s="107"/>
      <c r="AE46" s="54"/>
      <c r="AF46" s="64"/>
      <c r="AG46" s="108"/>
      <c r="AH46" s="108"/>
      <c r="AI46" s="80"/>
      <c r="AJ46" s="99"/>
      <c r="AK46" s="100"/>
      <c r="AL46" s="100"/>
      <c r="AM46" s="100"/>
      <c r="AN46" s="100"/>
      <c r="AO46" s="217"/>
      <c r="AP46" s="102"/>
      <c r="AQ46" s="102"/>
      <c r="AR46" s="102"/>
      <c r="AS46" s="108"/>
      <c r="AT46" s="103"/>
      <c r="AU46" s="104"/>
      <c r="AV46" s="105"/>
      <c r="AW46" s="105"/>
      <c r="AX46" s="106"/>
      <c r="AY46" s="106"/>
      <c r="AZ46" s="64"/>
      <c r="BA46" s="107"/>
      <c r="BB46" s="106"/>
      <c r="BC46" s="223" t="s">
        <v>860</v>
      </c>
      <c r="BD46" s="109"/>
      <c r="BE46" s="142" t="s">
        <v>861</v>
      </c>
      <c r="BF46" s="108"/>
      <c r="BG46" s="108"/>
      <c r="BH46" s="108"/>
      <c r="BI46" s="99"/>
      <c r="BJ46" s="100"/>
      <c r="BK46" s="100"/>
      <c r="BL46" s="100"/>
      <c r="BM46" s="100"/>
      <c r="BN46" s="101"/>
      <c r="BO46" s="102"/>
      <c r="BP46" s="102"/>
      <c r="BQ46" s="102"/>
      <c r="BR46" s="102"/>
      <c r="BS46" s="103"/>
      <c r="BT46" s="104"/>
      <c r="BU46" s="105"/>
      <c r="BV46" s="105"/>
      <c r="BW46" s="103"/>
      <c r="BX46" s="106"/>
      <c r="BY46" s="107"/>
      <c r="BZ46" s="107"/>
      <c r="CA46" s="107"/>
      <c r="CB46" s="107"/>
      <c r="CC46" s="74"/>
    </row>
    <row r="47" spans="2:81" ht="45">
      <c r="B47" s="47" t="s">
        <v>864</v>
      </c>
      <c r="C47" s="48" t="s">
        <v>1316</v>
      </c>
      <c r="D47" s="49" t="s">
        <v>1556</v>
      </c>
      <c r="E47" s="81" t="s">
        <v>1481</v>
      </c>
      <c r="F47" s="97" t="s">
        <v>1567</v>
      </c>
      <c r="G47" s="98" t="s">
        <v>1568</v>
      </c>
      <c r="H47" s="49" t="s">
        <v>33</v>
      </c>
      <c r="I47" s="49" t="s">
        <v>1559</v>
      </c>
      <c r="J47" s="49" t="s">
        <v>1533</v>
      </c>
      <c r="K47" s="99"/>
      <c r="L47" s="100"/>
      <c r="M47" s="100"/>
      <c r="N47" s="100"/>
      <c r="O47" s="100"/>
      <c r="P47" s="101"/>
      <c r="Q47" s="102"/>
      <c r="R47" s="102"/>
      <c r="S47" s="102"/>
      <c r="T47" s="102"/>
      <c r="U47" s="103"/>
      <c r="V47" s="104"/>
      <c r="W47" s="105"/>
      <c r="X47" s="105"/>
      <c r="Y47" s="103"/>
      <c r="Z47" s="106"/>
      <c r="AA47" s="107"/>
      <c r="AB47" s="107"/>
      <c r="AC47" s="107"/>
      <c r="AD47" s="107"/>
      <c r="AE47" s="54"/>
      <c r="AF47" s="64"/>
      <c r="AG47" s="108"/>
      <c r="AH47" s="108"/>
      <c r="AI47" s="80"/>
      <c r="AJ47" s="99"/>
      <c r="AK47" s="100"/>
      <c r="AL47" s="100"/>
      <c r="AM47" s="100"/>
      <c r="AN47" s="100"/>
      <c r="AO47" s="217"/>
      <c r="AP47" s="102"/>
      <c r="AQ47" s="102"/>
      <c r="AR47" s="102"/>
      <c r="AS47" s="108"/>
      <c r="AT47" s="103"/>
      <c r="AU47" s="104"/>
      <c r="AV47" s="105"/>
      <c r="AW47" s="105"/>
      <c r="AX47" s="106"/>
      <c r="AY47" s="106"/>
      <c r="AZ47" s="64"/>
      <c r="BA47" s="107"/>
      <c r="BB47" s="106"/>
      <c r="BC47" s="223" t="s">
        <v>860</v>
      </c>
      <c r="BD47" s="109"/>
      <c r="BE47" s="142" t="s">
        <v>861</v>
      </c>
      <c r="BF47" s="108"/>
      <c r="BG47" s="108"/>
      <c r="BH47" s="108"/>
      <c r="BI47" s="99"/>
      <c r="BJ47" s="100"/>
      <c r="BK47" s="100"/>
      <c r="BL47" s="100"/>
      <c r="BM47" s="100"/>
      <c r="BN47" s="101"/>
      <c r="BO47" s="102"/>
      <c r="BP47" s="102"/>
      <c r="BQ47" s="102"/>
      <c r="BR47" s="102"/>
      <c r="BS47" s="103"/>
      <c r="BT47" s="104"/>
      <c r="BU47" s="105"/>
      <c r="BV47" s="105"/>
      <c r="BW47" s="103"/>
      <c r="BX47" s="106"/>
      <c r="BY47" s="107"/>
      <c r="BZ47" s="107"/>
      <c r="CA47" s="107"/>
      <c r="CB47" s="107"/>
      <c r="CC47" s="74"/>
    </row>
    <row r="48" spans="2:81" ht="45">
      <c r="B48" s="47" t="s">
        <v>864</v>
      </c>
      <c r="C48" s="48" t="s">
        <v>1316</v>
      </c>
      <c r="D48" s="49" t="s">
        <v>1569</v>
      </c>
      <c r="E48" s="81" t="s">
        <v>1570</v>
      </c>
      <c r="F48" s="97" t="s">
        <v>1567</v>
      </c>
      <c r="G48" s="98" t="s">
        <v>1568</v>
      </c>
      <c r="H48" s="49" t="s">
        <v>33</v>
      </c>
      <c r="I48" s="49" t="s">
        <v>1559</v>
      </c>
      <c r="J48" s="49" t="s">
        <v>1533</v>
      </c>
      <c r="K48" s="99"/>
      <c r="L48" s="100"/>
      <c r="M48" s="100"/>
      <c r="N48" s="100"/>
      <c r="O48" s="100"/>
      <c r="P48" s="101"/>
      <c r="Q48" s="102"/>
      <c r="R48" s="102"/>
      <c r="S48" s="102"/>
      <c r="T48" s="102"/>
      <c r="U48" s="103"/>
      <c r="V48" s="104"/>
      <c r="W48" s="105"/>
      <c r="X48" s="105"/>
      <c r="Y48" s="103"/>
      <c r="Z48" s="106"/>
      <c r="AA48" s="107"/>
      <c r="AB48" s="107"/>
      <c r="AC48" s="107"/>
      <c r="AD48" s="107"/>
      <c r="AE48" s="54"/>
      <c r="AF48" s="64"/>
      <c r="AG48" s="108"/>
      <c r="AH48" s="108"/>
      <c r="AI48" s="80"/>
      <c r="AJ48" s="99"/>
      <c r="AK48" s="100"/>
      <c r="AL48" s="100"/>
      <c r="AM48" s="100"/>
      <c r="AN48" s="100"/>
      <c r="AO48" s="217"/>
      <c r="AP48" s="102"/>
      <c r="AQ48" s="102"/>
      <c r="AR48" s="102"/>
      <c r="AS48" s="108"/>
      <c r="AT48" s="103"/>
      <c r="AU48" s="104"/>
      <c r="AV48" s="105"/>
      <c r="AW48" s="105"/>
      <c r="AX48" s="106"/>
      <c r="AY48" s="106"/>
      <c r="AZ48" s="64"/>
      <c r="BA48" s="107"/>
      <c r="BB48" s="106"/>
      <c r="BC48" s="223" t="s">
        <v>860</v>
      </c>
      <c r="BD48" s="109"/>
      <c r="BE48" s="142" t="s">
        <v>861</v>
      </c>
      <c r="BF48" s="108"/>
      <c r="BG48" s="108"/>
      <c r="BH48" s="108"/>
      <c r="BI48" s="99"/>
      <c r="BJ48" s="100"/>
      <c r="BK48" s="100"/>
      <c r="BL48" s="100"/>
      <c r="BM48" s="100"/>
      <c r="BN48" s="101"/>
      <c r="BO48" s="102"/>
      <c r="BP48" s="102"/>
      <c r="BQ48" s="102"/>
      <c r="BR48" s="102"/>
      <c r="BS48" s="103"/>
      <c r="BT48" s="104"/>
      <c r="BU48" s="105"/>
      <c r="BV48" s="105"/>
      <c r="BW48" s="103"/>
      <c r="BX48" s="106"/>
      <c r="BY48" s="107"/>
      <c r="BZ48" s="107"/>
      <c r="CA48" s="107"/>
      <c r="CB48" s="107"/>
      <c r="CC48" s="74"/>
    </row>
    <row r="49" spans="2:81" ht="45">
      <c r="B49" s="47" t="s">
        <v>864</v>
      </c>
      <c r="C49" s="48" t="s">
        <v>1316</v>
      </c>
      <c r="D49" s="49" t="s">
        <v>1571</v>
      </c>
      <c r="E49" s="81" t="s">
        <v>1572</v>
      </c>
      <c r="F49" s="97" t="s">
        <v>1567</v>
      </c>
      <c r="G49" s="98" t="s">
        <v>1568</v>
      </c>
      <c r="H49" s="49" t="s">
        <v>33</v>
      </c>
      <c r="I49" s="49" t="s">
        <v>1559</v>
      </c>
      <c r="J49" s="49" t="s">
        <v>1533</v>
      </c>
      <c r="K49" s="99"/>
      <c r="L49" s="100"/>
      <c r="M49" s="100"/>
      <c r="N49" s="100"/>
      <c r="O49" s="100"/>
      <c r="P49" s="101"/>
      <c r="Q49" s="102"/>
      <c r="R49" s="102"/>
      <c r="S49" s="102"/>
      <c r="T49" s="102"/>
      <c r="U49" s="103"/>
      <c r="V49" s="104"/>
      <c r="W49" s="105"/>
      <c r="X49" s="105"/>
      <c r="Y49" s="103"/>
      <c r="Z49" s="106"/>
      <c r="AA49" s="107"/>
      <c r="AB49" s="107"/>
      <c r="AC49" s="107"/>
      <c r="AD49" s="107"/>
      <c r="AE49" s="54"/>
      <c r="AF49" s="64"/>
      <c r="AG49" s="108"/>
      <c r="AH49" s="108"/>
      <c r="AI49" s="80"/>
      <c r="AJ49" s="99"/>
      <c r="AK49" s="100"/>
      <c r="AL49" s="100"/>
      <c r="AM49" s="100"/>
      <c r="AN49" s="100"/>
      <c r="AO49" s="217"/>
      <c r="AP49" s="102"/>
      <c r="AQ49" s="102"/>
      <c r="AR49" s="102"/>
      <c r="AS49" s="108"/>
      <c r="AT49" s="103"/>
      <c r="AU49" s="104"/>
      <c r="AV49" s="105"/>
      <c r="AW49" s="105"/>
      <c r="AX49" s="106"/>
      <c r="AY49" s="106"/>
      <c r="AZ49" s="64"/>
      <c r="BA49" s="107"/>
      <c r="BB49" s="106"/>
      <c r="BC49" s="223" t="s">
        <v>860</v>
      </c>
      <c r="BD49" s="109"/>
      <c r="BE49" s="142" t="s">
        <v>861</v>
      </c>
      <c r="BF49" s="108"/>
      <c r="BG49" s="108"/>
      <c r="BH49" s="108"/>
      <c r="BI49" s="99"/>
      <c r="BJ49" s="100"/>
      <c r="BK49" s="100"/>
      <c r="BL49" s="100"/>
      <c r="BM49" s="100"/>
      <c r="BN49" s="101"/>
      <c r="BO49" s="102"/>
      <c r="BP49" s="102"/>
      <c r="BQ49" s="102"/>
      <c r="BR49" s="102"/>
      <c r="BS49" s="103"/>
      <c r="BT49" s="104"/>
      <c r="BU49" s="105"/>
      <c r="BV49" s="105"/>
      <c r="BW49" s="103"/>
      <c r="BX49" s="106"/>
      <c r="BY49" s="107"/>
      <c r="BZ49" s="107"/>
      <c r="CA49" s="107"/>
      <c r="CB49" s="107"/>
      <c r="CC49" s="74"/>
    </row>
    <row r="50" spans="2:81" ht="45">
      <c r="B50" s="47" t="s">
        <v>864</v>
      </c>
      <c r="C50" s="48" t="s">
        <v>1316</v>
      </c>
      <c r="D50" s="49" t="s">
        <v>1573</v>
      </c>
      <c r="E50" s="81" t="s">
        <v>1574</v>
      </c>
      <c r="F50" s="97" t="s">
        <v>1567</v>
      </c>
      <c r="G50" s="98" t="s">
        <v>1568</v>
      </c>
      <c r="H50" s="49" t="s">
        <v>33</v>
      </c>
      <c r="I50" s="49" t="s">
        <v>1559</v>
      </c>
      <c r="J50" s="49" t="s">
        <v>1533</v>
      </c>
      <c r="K50" s="99"/>
      <c r="L50" s="100"/>
      <c r="M50" s="100"/>
      <c r="N50" s="100"/>
      <c r="O50" s="100"/>
      <c r="P50" s="101"/>
      <c r="Q50" s="102"/>
      <c r="R50" s="102"/>
      <c r="S50" s="102"/>
      <c r="T50" s="102"/>
      <c r="U50" s="103"/>
      <c r="V50" s="104"/>
      <c r="W50" s="105"/>
      <c r="X50" s="105"/>
      <c r="Y50" s="103"/>
      <c r="Z50" s="106"/>
      <c r="AA50" s="107"/>
      <c r="AB50" s="107"/>
      <c r="AC50" s="107"/>
      <c r="AD50" s="107"/>
      <c r="AE50" s="54"/>
      <c r="AF50" s="64"/>
      <c r="AG50" s="108"/>
      <c r="AH50" s="108"/>
      <c r="AI50" s="80"/>
      <c r="AJ50" s="99"/>
      <c r="AK50" s="100"/>
      <c r="AL50" s="100"/>
      <c r="AM50" s="100"/>
      <c r="AN50" s="100"/>
      <c r="AO50" s="217"/>
      <c r="AP50" s="102"/>
      <c r="AQ50" s="102"/>
      <c r="AR50" s="102"/>
      <c r="AS50" s="108"/>
      <c r="AT50" s="103"/>
      <c r="AU50" s="104"/>
      <c r="AV50" s="105"/>
      <c r="AW50" s="105"/>
      <c r="AX50" s="106"/>
      <c r="AY50" s="106"/>
      <c r="AZ50" s="64"/>
      <c r="BA50" s="107"/>
      <c r="BB50" s="106"/>
      <c r="BC50" s="223" t="s">
        <v>860</v>
      </c>
      <c r="BD50" s="109"/>
      <c r="BE50" s="142" t="s">
        <v>861</v>
      </c>
      <c r="BF50" s="108"/>
      <c r="BG50" s="108"/>
      <c r="BH50" s="108"/>
      <c r="BI50" s="99"/>
      <c r="BJ50" s="100"/>
      <c r="BK50" s="100"/>
      <c r="BL50" s="100"/>
      <c r="BM50" s="100"/>
      <c r="BN50" s="101"/>
      <c r="BO50" s="102"/>
      <c r="BP50" s="102"/>
      <c r="BQ50" s="102"/>
      <c r="BR50" s="102"/>
      <c r="BS50" s="103"/>
      <c r="BT50" s="104"/>
      <c r="BU50" s="105"/>
      <c r="BV50" s="105"/>
      <c r="BW50" s="103"/>
      <c r="BX50" s="106"/>
      <c r="BY50" s="107"/>
      <c r="BZ50" s="107"/>
      <c r="CA50" s="107"/>
      <c r="CB50" s="107"/>
      <c r="CC50" s="74"/>
    </row>
    <row r="51" spans="2:81" ht="45">
      <c r="B51" s="47" t="s">
        <v>864</v>
      </c>
      <c r="C51" s="48" t="s">
        <v>1316</v>
      </c>
      <c r="D51" s="49" t="s">
        <v>1575</v>
      </c>
      <c r="E51" s="81" t="s">
        <v>1576</v>
      </c>
      <c r="F51" s="97" t="s">
        <v>1567</v>
      </c>
      <c r="G51" s="98" t="s">
        <v>1568</v>
      </c>
      <c r="H51" s="49" t="s">
        <v>33</v>
      </c>
      <c r="I51" s="49" t="s">
        <v>1559</v>
      </c>
      <c r="J51" s="49" t="s">
        <v>1533</v>
      </c>
      <c r="K51" s="99"/>
      <c r="L51" s="100"/>
      <c r="M51" s="100"/>
      <c r="N51" s="100"/>
      <c r="O51" s="100"/>
      <c r="P51" s="101"/>
      <c r="Q51" s="102"/>
      <c r="R51" s="102"/>
      <c r="S51" s="102"/>
      <c r="T51" s="102"/>
      <c r="U51" s="103"/>
      <c r="V51" s="104"/>
      <c r="W51" s="105"/>
      <c r="X51" s="105"/>
      <c r="Y51" s="103"/>
      <c r="Z51" s="106"/>
      <c r="AA51" s="107"/>
      <c r="AB51" s="107"/>
      <c r="AC51" s="107"/>
      <c r="AD51" s="107"/>
      <c r="AE51" s="54"/>
      <c r="AF51" s="64"/>
      <c r="AG51" s="108"/>
      <c r="AH51" s="108"/>
      <c r="AI51" s="80"/>
      <c r="AJ51" s="99"/>
      <c r="AK51" s="100"/>
      <c r="AL51" s="100"/>
      <c r="AM51" s="100"/>
      <c r="AN51" s="100"/>
      <c r="AO51" s="217"/>
      <c r="AP51" s="102"/>
      <c r="AQ51" s="102"/>
      <c r="AR51" s="102"/>
      <c r="AS51" s="108"/>
      <c r="AT51" s="103"/>
      <c r="AU51" s="104"/>
      <c r="AV51" s="105"/>
      <c r="AW51" s="105"/>
      <c r="AX51" s="106"/>
      <c r="AY51" s="106"/>
      <c r="AZ51" s="64"/>
      <c r="BA51" s="107"/>
      <c r="BB51" s="106"/>
      <c r="BC51" s="223" t="s">
        <v>860</v>
      </c>
      <c r="BD51" s="109"/>
      <c r="BE51" s="142" t="s">
        <v>861</v>
      </c>
      <c r="BF51" s="108"/>
      <c r="BG51" s="108"/>
      <c r="BH51" s="108"/>
      <c r="BI51" s="99"/>
      <c r="BJ51" s="100"/>
      <c r="BK51" s="100"/>
      <c r="BL51" s="100"/>
      <c r="BM51" s="100"/>
      <c r="BN51" s="101"/>
      <c r="BO51" s="102"/>
      <c r="BP51" s="102"/>
      <c r="BQ51" s="102"/>
      <c r="BR51" s="102"/>
      <c r="BS51" s="103"/>
      <c r="BT51" s="104"/>
      <c r="BU51" s="105"/>
      <c r="BV51" s="105"/>
      <c r="BW51" s="103"/>
      <c r="BX51" s="106"/>
      <c r="BY51" s="107"/>
      <c r="BZ51" s="107"/>
      <c r="CA51" s="107"/>
      <c r="CB51" s="107"/>
      <c r="CC51" s="74"/>
    </row>
    <row r="52" spans="2:81" ht="45">
      <c r="B52" s="47" t="s">
        <v>864</v>
      </c>
      <c r="C52" s="48" t="s">
        <v>1577</v>
      </c>
      <c r="D52" s="49" t="s">
        <v>1578</v>
      </c>
      <c r="E52" s="81" t="s">
        <v>1579</v>
      </c>
      <c r="F52" s="97" t="s">
        <v>1567</v>
      </c>
      <c r="G52" s="98" t="s">
        <v>1568</v>
      </c>
      <c r="H52" s="49" t="s">
        <v>33</v>
      </c>
      <c r="I52" s="49" t="s">
        <v>1559</v>
      </c>
      <c r="J52" s="49" t="s">
        <v>1533</v>
      </c>
      <c r="K52" s="99"/>
      <c r="L52" s="100"/>
      <c r="M52" s="100"/>
      <c r="N52" s="100"/>
      <c r="O52" s="100"/>
      <c r="P52" s="101"/>
      <c r="Q52" s="102"/>
      <c r="R52" s="102"/>
      <c r="S52" s="102"/>
      <c r="T52" s="102"/>
      <c r="U52" s="103"/>
      <c r="V52" s="104"/>
      <c r="W52" s="105"/>
      <c r="X52" s="105"/>
      <c r="Y52" s="103"/>
      <c r="Z52" s="106"/>
      <c r="AA52" s="107"/>
      <c r="AB52" s="107"/>
      <c r="AC52" s="107"/>
      <c r="AD52" s="107"/>
      <c r="AE52" s="54"/>
      <c r="AF52" s="64"/>
      <c r="AG52" s="108"/>
      <c r="AH52" s="108"/>
      <c r="AI52" s="80"/>
      <c r="AJ52" s="99"/>
      <c r="AK52" s="100"/>
      <c r="AL52" s="100"/>
      <c r="AM52" s="100"/>
      <c r="AN52" s="100"/>
      <c r="AO52" s="217"/>
      <c r="AP52" s="102"/>
      <c r="AQ52" s="102"/>
      <c r="AR52" s="102"/>
      <c r="AS52" s="108"/>
      <c r="AT52" s="103"/>
      <c r="AU52" s="104"/>
      <c r="AV52" s="105"/>
      <c r="AW52" s="105"/>
      <c r="AX52" s="106"/>
      <c r="AY52" s="106"/>
      <c r="AZ52" s="64"/>
      <c r="BA52" s="107"/>
      <c r="BB52" s="106"/>
      <c r="BC52" s="223" t="s">
        <v>860</v>
      </c>
      <c r="BD52" s="109"/>
      <c r="BE52" s="142" t="s">
        <v>861</v>
      </c>
      <c r="BF52" s="108"/>
      <c r="BG52" s="108"/>
      <c r="BH52" s="108"/>
      <c r="BI52" s="99"/>
      <c r="BJ52" s="100"/>
      <c r="BK52" s="100"/>
      <c r="BL52" s="100"/>
      <c r="BM52" s="100"/>
      <c r="BN52" s="101"/>
      <c r="BO52" s="102"/>
      <c r="BP52" s="102"/>
      <c r="BQ52" s="102"/>
      <c r="BR52" s="102"/>
      <c r="BS52" s="103"/>
      <c r="BT52" s="104"/>
      <c r="BU52" s="105"/>
      <c r="BV52" s="105"/>
      <c r="BW52" s="103"/>
      <c r="BX52" s="106"/>
      <c r="BY52" s="107"/>
      <c r="BZ52" s="107"/>
      <c r="CA52" s="107"/>
      <c r="CB52" s="107"/>
      <c r="CC52" s="74"/>
    </row>
    <row r="53" spans="2:81" ht="45">
      <c r="B53" s="47" t="s">
        <v>864</v>
      </c>
      <c r="C53" s="48" t="s">
        <v>1580</v>
      </c>
      <c r="D53" s="49" t="s">
        <v>1581</v>
      </c>
      <c r="E53" s="81" t="s">
        <v>1582</v>
      </c>
      <c r="F53" s="97" t="s">
        <v>1567</v>
      </c>
      <c r="G53" s="98" t="s">
        <v>1568</v>
      </c>
      <c r="H53" s="49" t="s">
        <v>33</v>
      </c>
      <c r="I53" s="49" t="s">
        <v>1559</v>
      </c>
      <c r="J53" s="49" t="s">
        <v>1533</v>
      </c>
      <c r="K53" s="99"/>
      <c r="L53" s="100"/>
      <c r="M53" s="100"/>
      <c r="N53" s="100"/>
      <c r="O53" s="100"/>
      <c r="P53" s="101"/>
      <c r="Q53" s="102"/>
      <c r="R53" s="102"/>
      <c r="S53" s="102"/>
      <c r="T53" s="102"/>
      <c r="U53" s="103"/>
      <c r="V53" s="104"/>
      <c r="W53" s="105"/>
      <c r="X53" s="105"/>
      <c r="Y53" s="103"/>
      <c r="Z53" s="106"/>
      <c r="AA53" s="107"/>
      <c r="AB53" s="107"/>
      <c r="AC53" s="107"/>
      <c r="AD53" s="107"/>
      <c r="AE53" s="54"/>
      <c r="AF53" s="64"/>
      <c r="AG53" s="108"/>
      <c r="AH53" s="108"/>
      <c r="AI53" s="80"/>
      <c r="AJ53" s="99"/>
      <c r="AK53" s="100"/>
      <c r="AL53" s="100"/>
      <c r="AM53" s="100"/>
      <c r="AN53" s="100"/>
      <c r="AO53" s="101"/>
      <c r="AP53" s="102"/>
      <c r="AQ53" s="218"/>
      <c r="AR53" s="102"/>
      <c r="AS53" s="108"/>
      <c r="AT53" s="103"/>
      <c r="AU53" s="104"/>
      <c r="AV53" s="105"/>
      <c r="AW53" s="105"/>
      <c r="AX53" s="106"/>
      <c r="AY53" s="106"/>
      <c r="AZ53" s="64"/>
      <c r="BA53" s="107"/>
      <c r="BB53" s="106"/>
      <c r="BC53" s="223" t="s">
        <v>860</v>
      </c>
      <c r="BD53" s="109"/>
      <c r="BE53" s="142" t="s">
        <v>861</v>
      </c>
      <c r="BF53" s="108"/>
      <c r="BG53" s="108"/>
      <c r="BH53" s="108"/>
      <c r="BI53" s="99"/>
      <c r="BJ53" s="100"/>
      <c r="BK53" s="100"/>
      <c r="BL53" s="100"/>
      <c r="BM53" s="100"/>
      <c r="BN53" s="101"/>
      <c r="BO53" s="102"/>
      <c r="BP53" s="102"/>
      <c r="BQ53" s="102"/>
      <c r="BR53" s="102"/>
      <c r="BS53" s="103"/>
      <c r="BT53" s="104"/>
      <c r="BU53" s="105"/>
      <c r="BV53" s="105"/>
      <c r="BW53" s="103"/>
      <c r="BX53" s="106"/>
      <c r="BY53" s="107"/>
      <c r="BZ53" s="107"/>
      <c r="CA53" s="107"/>
      <c r="CB53" s="107"/>
      <c r="CC53" s="74"/>
    </row>
    <row r="54" spans="2:81" ht="45">
      <c r="B54" s="47" t="s">
        <v>864</v>
      </c>
      <c r="C54" s="48" t="s">
        <v>1580</v>
      </c>
      <c r="D54" s="49" t="s">
        <v>1583</v>
      </c>
      <c r="E54" s="81" t="s">
        <v>1584</v>
      </c>
      <c r="F54" s="97" t="s">
        <v>1567</v>
      </c>
      <c r="G54" s="98" t="s">
        <v>1568</v>
      </c>
      <c r="H54" s="49" t="s">
        <v>33</v>
      </c>
      <c r="I54" s="49" t="s">
        <v>1559</v>
      </c>
      <c r="J54" s="49" t="s">
        <v>1533</v>
      </c>
      <c r="K54" s="99"/>
      <c r="L54" s="100"/>
      <c r="M54" s="100"/>
      <c r="N54" s="100"/>
      <c r="O54" s="100"/>
      <c r="P54" s="101"/>
      <c r="Q54" s="102"/>
      <c r="R54" s="102"/>
      <c r="S54" s="102"/>
      <c r="T54" s="102"/>
      <c r="U54" s="103"/>
      <c r="V54" s="104"/>
      <c r="W54" s="105"/>
      <c r="X54" s="105"/>
      <c r="Y54" s="103"/>
      <c r="Z54" s="106"/>
      <c r="AA54" s="107"/>
      <c r="AB54" s="107"/>
      <c r="AC54" s="107"/>
      <c r="AD54" s="107"/>
      <c r="AE54" s="54"/>
      <c r="AF54" s="64"/>
      <c r="AG54" s="108"/>
      <c r="AH54" s="108"/>
      <c r="AI54" s="80"/>
      <c r="AJ54" s="99"/>
      <c r="AK54" s="100"/>
      <c r="AL54" s="100"/>
      <c r="AM54" s="100"/>
      <c r="AN54" s="100"/>
      <c r="AO54" s="101"/>
      <c r="AP54" s="102"/>
      <c r="AQ54" s="102"/>
      <c r="AR54" s="102"/>
      <c r="AS54" s="108"/>
      <c r="AT54" s="103"/>
      <c r="AU54" s="104"/>
      <c r="AV54" s="105"/>
      <c r="AW54" s="105"/>
      <c r="AX54" s="106"/>
      <c r="AY54" s="106"/>
      <c r="AZ54" s="64"/>
      <c r="BA54" s="107"/>
      <c r="BB54" s="106"/>
      <c r="BC54" s="223" t="s">
        <v>860</v>
      </c>
      <c r="BD54" s="109"/>
      <c r="BE54" s="142" t="s">
        <v>861</v>
      </c>
      <c r="BF54" s="108"/>
      <c r="BG54" s="108"/>
      <c r="BH54" s="108"/>
      <c r="BI54" s="99"/>
      <c r="BJ54" s="100"/>
      <c r="BK54" s="100"/>
      <c r="BL54" s="100"/>
      <c r="BM54" s="100"/>
      <c r="BN54" s="101"/>
      <c r="BO54" s="102"/>
      <c r="BP54" s="102"/>
      <c r="BQ54" s="102"/>
      <c r="BR54" s="102"/>
      <c r="BS54" s="103"/>
      <c r="BT54" s="104"/>
      <c r="BU54" s="105"/>
      <c r="BV54" s="105"/>
      <c r="BW54" s="103"/>
      <c r="BX54" s="106"/>
      <c r="BY54" s="107"/>
      <c r="BZ54" s="107"/>
      <c r="CA54" s="107"/>
      <c r="CB54" s="107"/>
      <c r="CC54" s="74"/>
    </row>
    <row r="55" spans="2:81" ht="45">
      <c r="B55" s="110" t="s">
        <v>864</v>
      </c>
      <c r="C55" s="48" t="s">
        <v>1580</v>
      </c>
      <c r="D55" s="112" t="s">
        <v>1585</v>
      </c>
      <c r="E55" s="113" t="s">
        <v>1586</v>
      </c>
      <c r="F55" s="97" t="s">
        <v>1567</v>
      </c>
      <c r="G55" s="98" t="s">
        <v>1568</v>
      </c>
      <c r="H55" s="49" t="s">
        <v>33</v>
      </c>
      <c r="I55" s="49" t="s">
        <v>1559</v>
      </c>
      <c r="J55" s="49" t="s">
        <v>1533</v>
      </c>
      <c r="K55" s="99"/>
      <c r="L55" s="100"/>
      <c r="M55" s="100"/>
      <c r="N55" s="100"/>
      <c r="O55" s="100"/>
      <c r="P55" s="101"/>
      <c r="Q55" s="102"/>
      <c r="R55" s="102"/>
      <c r="S55" s="102"/>
      <c r="T55" s="102"/>
      <c r="U55" s="103"/>
      <c r="V55" s="104"/>
      <c r="W55" s="105"/>
      <c r="X55" s="105"/>
      <c r="Y55" s="103"/>
      <c r="Z55" s="106"/>
      <c r="AA55" s="107"/>
      <c r="AB55" s="107"/>
      <c r="AC55" s="107"/>
      <c r="AD55" s="107"/>
      <c r="AE55" s="54"/>
      <c r="AF55" s="64"/>
      <c r="AG55" s="108"/>
      <c r="AH55" s="108"/>
      <c r="AI55" s="80"/>
      <c r="AJ55" s="99"/>
      <c r="AK55" s="100"/>
      <c r="AL55" s="100"/>
      <c r="AM55" s="100"/>
      <c r="AN55" s="100"/>
      <c r="AO55" s="101"/>
      <c r="AP55" s="102"/>
      <c r="AQ55" s="102"/>
      <c r="AR55" s="102"/>
      <c r="AS55" s="108"/>
      <c r="AT55" s="103"/>
      <c r="AU55" s="104"/>
      <c r="AV55" s="105"/>
      <c r="AW55" s="105"/>
      <c r="AX55" s="106"/>
      <c r="AY55" s="106"/>
      <c r="AZ55" s="64"/>
      <c r="BA55" s="107"/>
      <c r="BB55" s="106"/>
      <c r="BC55" s="223" t="s">
        <v>860</v>
      </c>
      <c r="BD55" s="109"/>
      <c r="BE55" s="142" t="s">
        <v>861</v>
      </c>
      <c r="BF55" s="108"/>
      <c r="BG55" s="108"/>
      <c r="BH55" s="108"/>
      <c r="BI55" s="99"/>
      <c r="BJ55" s="100"/>
      <c r="BK55" s="100"/>
      <c r="BL55" s="100"/>
      <c r="BM55" s="100"/>
      <c r="BN55" s="101"/>
      <c r="BO55" s="102"/>
      <c r="BP55" s="102"/>
      <c r="BQ55" s="102"/>
      <c r="BR55" s="102"/>
      <c r="BS55" s="103"/>
      <c r="BT55" s="104"/>
      <c r="BU55" s="105"/>
      <c r="BV55" s="105"/>
      <c r="BW55" s="103"/>
      <c r="BX55" s="106"/>
      <c r="BY55" s="107"/>
      <c r="BZ55" s="107"/>
      <c r="CA55" s="107"/>
      <c r="CB55" s="107"/>
      <c r="CC55" s="74"/>
    </row>
    <row r="56" spans="2:81" ht="45">
      <c r="B56" s="47" t="s">
        <v>864</v>
      </c>
      <c r="C56" s="48" t="s">
        <v>1580</v>
      </c>
      <c r="D56" s="49" t="s">
        <v>1587</v>
      </c>
      <c r="E56" s="81" t="s">
        <v>1588</v>
      </c>
      <c r="F56" s="97" t="s">
        <v>1567</v>
      </c>
      <c r="G56" s="98" t="s">
        <v>1568</v>
      </c>
      <c r="H56" s="49" t="s">
        <v>33</v>
      </c>
      <c r="I56" s="49" t="s">
        <v>1559</v>
      </c>
      <c r="J56" s="49" t="s">
        <v>1533</v>
      </c>
      <c r="K56" s="99"/>
      <c r="L56" s="100"/>
      <c r="M56" s="100"/>
      <c r="N56" s="100"/>
      <c r="O56" s="100"/>
      <c r="P56" s="101"/>
      <c r="Q56" s="102"/>
      <c r="R56" s="102"/>
      <c r="S56" s="102"/>
      <c r="T56" s="102"/>
      <c r="U56" s="103"/>
      <c r="V56" s="104"/>
      <c r="W56" s="105"/>
      <c r="X56" s="105"/>
      <c r="Y56" s="103"/>
      <c r="Z56" s="106"/>
      <c r="AA56" s="107"/>
      <c r="AB56" s="107"/>
      <c r="AC56" s="107"/>
      <c r="AD56" s="107"/>
      <c r="AE56" s="54"/>
      <c r="AF56" s="64"/>
      <c r="AG56" s="108"/>
      <c r="AH56" s="108"/>
      <c r="AI56" s="80"/>
      <c r="AJ56" s="99"/>
      <c r="AK56" s="100"/>
      <c r="AL56" s="100"/>
      <c r="AM56" s="100"/>
      <c r="AN56" s="100"/>
      <c r="AO56" s="101"/>
      <c r="AP56" s="102"/>
      <c r="AQ56" s="102"/>
      <c r="AR56" s="102"/>
      <c r="AS56" s="108"/>
      <c r="AT56" s="103"/>
      <c r="AU56" s="104"/>
      <c r="AV56" s="105"/>
      <c r="AW56" s="105"/>
      <c r="AX56" s="106"/>
      <c r="AY56" s="106"/>
      <c r="AZ56" s="64"/>
      <c r="BA56" s="107"/>
      <c r="BB56" s="106"/>
      <c r="BC56" s="223" t="s">
        <v>860</v>
      </c>
      <c r="BD56" s="109"/>
      <c r="BE56" s="142" t="s">
        <v>861</v>
      </c>
      <c r="BF56" s="108"/>
      <c r="BG56" s="108"/>
      <c r="BH56" s="108"/>
      <c r="BI56" s="99"/>
      <c r="BJ56" s="100"/>
      <c r="BK56" s="100"/>
      <c r="BL56" s="100"/>
      <c r="BM56" s="100"/>
      <c r="BN56" s="101"/>
      <c r="BO56" s="102"/>
      <c r="BP56" s="102"/>
      <c r="BQ56" s="102"/>
      <c r="BR56" s="102"/>
      <c r="BS56" s="103"/>
      <c r="BT56" s="104"/>
      <c r="BU56" s="105"/>
      <c r="BV56" s="105"/>
      <c r="BW56" s="103"/>
      <c r="BX56" s="106"/>
      <c r="BY56" s="107"/>
      <c r="BZ56" s="107"/>
      <c r="CA56" s="107"/>
      <c r="CB56" s="107"/>
      <c r="CC56" s="74"/>
    </row>
    <row r="57" spans="2:81" ht="45">
      <c r="B57" s="47" t="s">
        <v>864</v>
      </c>
      <c r="C57" s="48" t="s">
        <v>1432</v>
      </c>
      <c r="D57" s="49" t="s">
        <v>1433</v>
      </c>
      <c r="E57" s="81" t="s">
        <v>1434</v>
      </c>
      <c r="F57" s="71" t="s">
        <v>1567</v>
      </c>
      <c r="G57" s="52" t="s">
        <v>1568</v>
      </c>
      <c r="H57" s="49" t="s">
        <v>33</v>
      </c>
      <c r="I57" s="49" t="s">
        <v>1559</v>
      </c>
      <c r="J57" s="49" t="s">
        <v>1533</v>
      </c>
      <c r="K57" s="99"/>
      <c r="L57" s="100"/>
      <c r="M57" s="100"/>
      <c r="N57" s="100"/>
      <c r="O57" s="100"/>
      <c r="P57" s="101"/>
      <c r="Q57" s="102"/>
      <c r="R57" s="102"/>
      <c r="S57" s="102"/>
      <c r="T57" s="102"/>
      <c r="U57" s="103"/>
      <c r="V57" s="104"/>
      <c r="W57" s="105"/>
      <c r="X57" s="115"/>
      <c r="Y57" s="103"/>
      <c r="Z57" s="106"/>
      <c r="AA57" s="107"/>
      <c r="AB57" s="107"/>
      <c r="AC57" s="107"/>
      <c r="AD57" s="107"/>
      <c r="AE57" s="54"/>
      <c r="AF57" s="64"/>
      <c r="AG57" s="108"/>
      <c r="AH57" s="108"/>
      <c r="AI57" s="80"/>
      <c r="AJ57" s="99"/>
      <c r="AK57" s="100"/>
      <c r="AL57" s="100"/>
      <c r="AM57" s="100"/>
      <c r="AN57" s="100"/>
      <c r="AO57" s="101"/>
      <c r="AP57" s="102"/>
      <c r="AQ57" s="102"/>
      <c r="AR57" s="102"/>
      <c r="AS57" s="108"/>
      <c r="AT57" s="103"/>
      <c r="AU57" s="104"/>
      <c r="AV57" s="105"/>
      <c r="AW57" s="105"/>
      <c r="AX57" s="64"/>
      <c r="AY57" s="106"/>
      <c r="AZ57" s="107"/>
      <c r="BA57" s="64"/>
      <c r="BB57" s="61"/>
      <c r="BC57" s="141" t="s">
        <v>860</v>
      </c>
      <c r="BD57" s="63"/>
      <c r="BE57" s="95" t="s">
        <v>861</v>
      </c>
      <c r="BF57" s="108"/>
      <c r="BG57" s="108"/>
      <c r="BH57" s="108"/>
      <c r="BI57" s="99"/>
      <c r="BJ57" s="100"/>
      <c r="BK57" s="100"/>
      <c r="BL57" s="100"/>
      <c r="BM57" s="100"/>
      <c r="BN57" s="101"/>
      <c r="BO57" s="102"/>
      <c r="BP57" s="102"/>
      <c r="BQ57" s="102"/>
      <c r="BR57" s="102"/>
      <c r="BS57" s="103"/>
      <c r="BT57" s="104"/>
      <c r="BU57" s="105"/>
      <c r="BV57" s="105"/>
      <c r="BW57" s="103"/>
      <c r="BX57" s="106"/>
      <c r="BY57" s="107"/>
      <c r="BZ57" s="107"/>
      <c r="CA57" s="107"/>
      <c r="CB57" s="107"/>
      <c r="CC57" s="74"/>
    </row>
    <row r="58" spans="2:81" ht="45">
      <c r="B58" s="47" t="s">
        <v>864</v>
      </c>
      <c r="C58" s="48" t="s">
        <v>1428</v>
      </c>
      <c r="D58" s="49" t="s">
        <v>973</v>
      </c>
      <c r="E58" s="81" t="s">
        <v>974</v>
      </c>
      <c r="F58" s="71" t="s">
        <v>1567</v>
      </c>
      <c r="G58" s="52" t="s">
        <v>1568</v>
      </c>
      <c r="H58" s="49" t="s">
        <v>33</v>
      </c>
      <c r="I58" s="49" t="s">
        <v>1559</v>
      </c>
      <c r="J58" s="49" t="s">
        <v>1533</v>
      </c>
      <c r="K58" s="99"/>
      <c r="L58" s="100"/>
      <c r="M58" s="100"/>
      <c r="N58" s="100"/>
      <c r="O58" s="100"/>
      <c r="P58" s="101"/>
      <c r="Q58" s="102"/>
      <c r="R58" s="102"/>
      <c r="S58" s="102"/>
      <c r="T58" s="102"/>
      <c r="U58" s="103"/>
      <c r="V58" s="104"/>
      <c r="W58" s="105"/>
      <c r="X58" s="115"/>
      <c r="Y58" s="103"/>
      <c r="Z58" s="106"/>
      <c r="AA58" s="107"/>
      <c r="AB58" s="107"/>
      <c r="AC58" s="107"/>
      <c r="AD58" s="107"/>
      <c r="AE58" s="54"/>
      <c r="AF58" s="64"/>
      <c r="AG58" s="108"/>
      <c r="AH58" s="108"/>
      <c r="AI58" s="80"/>
      <c r="AJ58" s="99"/>
      <c r="AK58" s="100"/>
      <c r="AL58" s="100"/>
      <c r="AM58" s="100"/>
      <c r="AN58" s="100"/>
      <c r="AO58" s="101"/>
      <c r="AP58" s="102"/>
      <c r="AQ58" s="102"/>
      <c r="AR58" s="102"/>
      <c r="AS58" s="108"/>
      <c r="AT58" s="103"/>
      <c r="AU58" s="104"/>
      <c r="AV58" s="105"/>
      <c r="AW58" s="105"/>
      <c r="AX58" s="103"/>
      <c r="AY58" s="106"/>
      <c r="AZ58" s="107"/>
      <c r="BA58" s="107"/>
      <c r="BB58" s="61"/>
      <c r="BC58" s="141" t="s">
        <v>860</v>
      </c>
      <c r="BD58" s="63"/>
      <c r="BE58" s="95" t="s">
        <v>861</v>
      </c>
      <c r="BF58" s="108"/>
      <c r="BG58" s="108"/>
      <c r="BH58" s="108"/>
      <c r="BI58" s="99"/>
      <c r="BJ58" s="100"/>
      <c r="BK58" s="100"/>
      <c r="BL58" s="100"/>
      <c r="BM58" s="100"/>
      <c r="BN58" s="101"/>
      <c r="BO58" s="102"/>
      <c r="BP58" s="102"/>
      <c r="BQ58" s="102"/>
      <c r="BR58" s="102"/>
      <c r="BS58" s="103"/>
      <c r="BT58" s="104"/>
      <c r="BU58" s="105"/>
      <c r="BV58" s="105"/>
      <c r="BW58" s="103"/>
      <c r="BX58" s="106"/>
      <c r="BY58" s="107"/>
      <c r="BZ58" s="107"/>
      <c r="CA58" s="107"/>
      <c r="CB58" s="107"/>
      <c r="CC58" s="74"/>
    </row>
    <row r="59" spans="2:81" ht="45">
      <c r="B59" s="47" t="s">
        <v>864</v>
      </c>
      <c r="C59" s="48" t="s">
        <v>1552</v>
      </c>
      <c r="D59" s="49" t="s">
        <v>1553</v>
      </c>
      <c r="E59" s="81" t="s">
        <v>1554</v>
      </c>
      <c r="F59" s="71" t="s">
        <v>1567</v>
      </c>
      <c r="G59" s="52" t="s">
        <v>1568</v>
      </c>
      <c r="H59" s="49" t="s">
        <v>33</v>
      </c>
      <c r="I59" s="49" t="s">
        <v>1559</v>
      </c>
      <c r="J59" s="49" t="s">
        <v>1533</v>
      </c>
      <c r="K59" s="99"/>
      <c r="L59" s="100"/>
      <c r="M59" s="100"/>
      <c r="N59" s="100"/>
      <c r="O59" s="100"/>
      <c r="P59" s="101"/>
      <c r="Q59" s="102"/>
      <c r="R59" s="102"/>
      <c r="S59" s="102"/>
      <c r="T59" s="102"/>
      <c r="U59" s="103"/>
      <c r="V59" s="104"/>
      <c r="W59" s="105"/>
      <c r="X59" s="115"/>
      <c r="Y59" s="103"/>
      <c r="Z59" s="106"/>
      <c r="AA59" s="107"/>
      <c r="AB59" s="107"/>
      <c r="AC59" s="107"/>
      <c r="AD59" s="107"/>
      <c r="AE59" s="54"/>
      <c r="AF59" s="64"/>
      <c r="AG59" s="108"/>
      <c r="AH59" s="108"/>
      <c r="AI59" s="80"/>
      <c r="AJ59" s="99"/>
      <c r="AK59" s="100"/>
      <c r="AL59" s="100"/>
      <c r="AM59" s="100"/>
      <c r="AN59" s="100"/>
      <c r="AO59" s="101"/>
      <c r="AP59" s="102"/>
      <c r="AQ59" s="102"/>
      <c r="AR59" s="102"/>
      <c r="AS59" s="108"/>
      <c r="AT59" s="103"/>
      <c r="AU59" s="104"/>
      <c r="AV59" s="105"/>
      <c r="AW59" s="105"/>
      <c r="AX59" s="103"/>
      <c r="AY59" s="106"/>
      <c r="AZ59" s="107"/>
      <c r="BA59" s="107"/>
      <c r="BB59" s="61"/>
      <c r="BC59" s="141" t="s">
        <v>860</v>
      </c>
      <c r="BD59" s="63"/>
      <c r="BE59" s="95" t="s">
        <v>861</v>
      </c>
      <c r="BF59" s="108"/>
      <c r="BG59" s="108"/>
      <c r="BH59" s="108"/>
      <c r="BI59" s="99"/>
      <c r="BJ59" s="100"/>
      <c r="BK59" s="100"/>
      <c r="BL59" s="100"/>
      <c r="BM59" s="100"/>
      <c r="BN59" s="101"/>
      <c r="BO59" s="102"/>
      <c r="BP59" s="102"/>
      <c r="BQ59" s="102"/>
      <c r="BR59" s="102"/>
      <c r="BS59" s="103"/>
      <c r="BT59" s="104"/>
      <c r="BU59" s="105"/>
      <c r="BV59" s="105"/>
      <c r="BW59" s="103"/>
      <c r="BX59" s="106"/>
      <c r="BY59" s="107"/>
      <c r="BZ59" s="107"/>
      <c r="CA59" s="107"/>
      <c r="CB59" s="107"/>
      <c r="CC59" s="74"/>
    </row>
    <row r="60" spans="2:81" ht="45">
      <c r="B60" s="47" t="s">
        <v>864</v>
      </c>
      <c r="C60" s="48" t="s">
        <v>1320</v>
      </c>
      <c r="D60" s="49" t="s">
        <v>1589</v>
      </c>
      <c r="E60" s="81" t="s">
        <v>1590</v>
      </c>
      <c r="F60" s="71" t="s">
        <v>1567</v>
      </c>
      <c r="G60" s="52" t="s">
        <v>1568</v>
      </c>
      <c r="H60" s="49" t="s">
        <v>33</v>
      </c>
      <c r="I60" s="49" t="s">
        <v>1559</v>
      </c>
      <c r="J60" s="49" t="s">
        <v>1533</v>
      </c>
      <c r="K60" s="99"/>
      <c r="L60" s="100"/>
      <c r="M60" s="100"/>
      <c r="N60" s="100"/>
      <c r="O60" s="100"/>
      <c r="P60" s="101"/>
      <c r="Q60" s="102"/>
      <c r="R60" s="102"/>
      <c r="S60" s="102"/>
      <c r="T60" s="102"/>
      <c r="U60" s="103"/>
      <c r="V60" s="104"/>
      <c r="W60" s="105"/>
      <c r="X60" s="115"/>
      <c r="Y60" s="103"/>
      <c r="Z60" s="106"/>
      <c r="AA60" s="107"/>
      <c r="AB60" s="107"/>
      <c r="AC60" s="107"/>
      <c r="AD60" s="107"/>
      <c r="AE60" s="54"/>
      <c r="AF60" s="64"/>
      <c r="AG60" s="108"/>
      <c r="AH60" s="108"/>
      <c r="AI60" s="80"/>
      <c r="AJ60" s="99"/>
      <c r="AK60" s="100"/>
      <c r="AL60" s="100"/>
      <c r="AM60" s="100"/>
      <c r="AN60" s="100"/>
      <c r="AO60" s="101"/>
      <c r="AP60" s="102"/>
      <c r="AQ60" s="102"/>
      <c r="AR60" s="102"/>
      <c r="AS60" s="108"/>
      <c r="AT60" s="103"/>
      <c r="AU60" s="104"/>
      <c r="AV60" s="105"/>
      <c r="AW60" s="105"/>
      <c r="AX60" s="103"/>
      <c r="AY60" s="106"/>
      <c r="AZ60" s="107"/>
      <c r="BA60" s="107"/>
      <c r="BB60" s="61"/>
      <c r="BC60" s="141" t="s">
        <v>860</v>
      </c>
      <c r="BD60" s="63"/>
      <c r="BE60" s="95" t="s">
        <v>861</v>
      </c>
      <c r="BF60" s="108"/>
      <c r="BG60" s="108"/>
      <c r="BH60" s="108"/>
      <c r="BI60" s="99"/>
      <c r="BJ60" s="100"/>
      <c r="BK60" s="100"/>
      <c r="BL60" s="100"/>
      <c r="BM60" s="100"/>
      <c r="BN60" s="101"/>
      <c r="BO60" s="102"/>
      <c r="BP60" s="102"/>
      <c r="BQ60" s="102"/>
      <c r="BR60" s="102"/>
      <c r="BS60" s="103"/>
      <c r="BT60" s="104"/>
      <c r="BU60" s="105"/>
      <c r="BV60" s="105"/>
      <c r="BW60" s="103"/>
      <c r="BX60" s="106"/>
      <c r="BY60" s="107"/>
      <c r="BZ60" s="107"/>
      <c r="CA60" s="107"/>
      <c r="CB60" s="107"/>
      <c r="CC60" s="74"/>
    </row>
    <row r="61" spans="2:81" ht="45">
      <c r="B61" s="47" t="s">
        <v>864</v>
      </c>
      <c r="C61" s="48" t="s">
        <v>1320</v>
      </c>
      <c r="D61" s="49" t="s">
        <v>1591</v>
      </c>
      <c r="E61" s="81" t="s">
        <v>1592</v>
      </c>
      <c r="F61" s="71" t="s">
        <v>1567</v>
      </c>
      <c r="G61" s="52" t="s">
        <v>1568</v>
      </c>
      <c r="H61" s="49" t="s">
        <v>33</v>
      </c>
      <c r="I61" s="49" t="s">
        <v>1559</v>
      </c>
      <c r="J61" s="49" t="s">
        <v>1533</v>
      </c>
      <c r="K61" s="99"/>
      <c r="L61" s="100"/>
      <c r="M61" s="100"/>
      <c r="N61" s="100"/>
      <c r="O61" s="100"/>
      <c r="P61" s="101"/>
      <c r="Q61" s="102"/>
      <c r="R61" s="102"/>
      <c r="S61" s="102"/>
      <c r="T61" s="102"/>
      <c r="U61" s="103"/>
      <c r="V61" s="104"/>
      <c r="W61" s="105"/>
      <c r="X61" s="115"/>
      <c r="Y61" s="103"/>
      <c r="Z61" s="106"/>
      <c r="AA61" s="107"/>
      <c r="AB61" s="107"/>
      <c r="AC61" s="107"/>
      <c r="AD61" s="107"/>
      <c r="AE61" s="54"/>
      <c r="AF61" s="64"/>
      <c r="AG61" s="108"/>
      <c r="AH61" s="108"/>
      <c r="AI61" s="80"/>
      <c r="AJ61" s="99"/>
      <c r="AK61" s="100"/>
      <c r="AL61" s="100"/>
      <c r="AM61" s="100"/>
      <c r="AN61" s="100"/>
      <c r="AO61" s="101"/>
      <c r="AP61" s="102"/>
      <c r="AQ61" s="102"/>
      <c r="AR61" s="102"/>
      <c r="AS61" s="108"/>
      <c r="AT61" s="103"/>
      <c r="AU61" s="104"/>
      <c r="AV61" s="105"/>
      <c r="AW61" s="105"/>
      <c r="AX61" s="103"/>
      <c r="AY61" s="106"/>
      <c r="AZ61" s="107"/>
      <c r="BA61" s="107"/>
      <c r="BB61" s="61"/>
      <c r="BC61" s="141" t="s">
        <v>860</v>
      </c>
      <c r="BD61" s="63"/>
      <c r="BE61" s="95" t="s">
        <v>861</v>
      </c>
      <c r="BF61" s="108"/>
      <c r="BG61" s="108"/>
      <c r="BH61" s="108"/>
      <c r="BI61" s="99"/>
      <c r="BJ61" s="100"/>
      <c r="BK61" s="100"/>
      <c r="BL61" s="100"/>
      <c r="BM61" s="100"/>
      <c r="BN61" s="101"/>
      <c r="BO61" s="102"/>
      <c r="BP61" s="102"/>
      <c r="BQ61" s="102"/>
      <c r="BR61" s="102"/>
      <c r="BS61" s="103"/>
      <c r="BT61" s="104"/>
      <c r="BU61" s="105"/>
      <c r="BV61" s="105"/>
      <c r="BW61" s="103"/>
      <c r="BX61" s="106"/>
      <c r="BY61" s="107"/>
      <c r="BZ61" s="107"/>
      <c r="CA61" s="107"/>
      <c r="CB61" s="107"/>
      <c r="CC61" s="74"/>
    </row>
    <row r="62" spans="2:81" ht="45">
      <c r="B62" s="47" t="s">
        <v>864</v>
      </c>
      <c r="C62" s="48" t="s">
        <v>1414</v>
      </c>
      <c r="D62" s="49" t="s">
        <v>1482</v>
      </c>
      <c r="E62" s="81" t="s">
        <v>1483</v>
      </c>
      <c r="F62" s="71" t="s">
        <v>1567</v>
      </c>
      <c r="G62" s="52" t="s">
        <v>1568</v>
      </c>
      <c r="H62" s="49" t="s">
        <v>33</v>
      </c>
      <c r="I62" s="49" t="s">
        <v>1559</v>
      </c>
      <c r="J62" s="49" t="s">
        <v>1533</v>
      </c>
      <c r="K62" s="99"/>
      <c r="L62" s="100"/>
      <c r="M62" s="100"/>
      <c r="N62" s="100"/>
      <c r="O62" s="100"/>
      <c r="P62" s="101"/>
      <c r="Q62" s="102"/>
      <c r="R62" s="102"/>
      <c r="S62" s="102"/>
      <c r="T62" s="102"/>
      <c r="U62" s="103"/>
      <c r="V62" s="104"/>
      <c r="W62" s="105"/>
      <c r="X62" s="115"/>
      <c r="Y62" s="103"/>
      <c r="Z62" s="106"/>
      <c r="AA62" s="107"/>
      <c r="AB62" s="107"/>
      <c r="AC62" s="107"/>
      <c r="AD62" s="107"/>
      <c r="AE62" s="54"/>
      <c r="AF62" s="64"/>
      <c r="AG62" s="108"/>
      <c r="AH62" s="108"/>
      <c r="AI62" s="80"/>
      <c r="AJ62" s="99"/>
      <c r="AK62" s="100"/>
      <c r="AL62" s="100"/>
      <c r="AM62" s="100"/>
      <c r="AN62" s="100"/>
      <c r="AO62" s="101"/>
      <c r="AP62" s="102"/>
      <c r="AQ62" s="102"/>
      <c r="AR62" s="102"/>
      <c r="AS62" s="108"/>
      <c r="AT62" s="103"/>
      <c r="AU62" s="104"/>
      <c r="AV62" s="105"/>
      <c r="AW62" s="105"/>
      <c r="AX62" s="103"/>
      <c r="AY62" s="106"/>
      <c r="AZ62" s="107"/>
      <c r="BA62" s="107"/>
      <c r="BB62" s="61"/>
      <c r="BC62" s="141" t="s">
        <v>860</v>
      </c>
      <c r="BD62" s="63"/>
      <c r="BE62" s="95" t="s">
        <v>861</v>
      </c>
      <c r="BF62" s="108"/>
      <c r="BG62" s="108"/>
      <c r="BH62" s="108"/>
      <c r="BI62" s="99"/>
      <c r="BJ62" s="100"/>
      <c r="BK62" s="100"/>
      <c r="BL62" s="100"/>
      <c r="BM62" s="100"/>
      <c r="BN62" s="101"/>
      <c r="BO62" s="102"/>
      <c r="BP62" s="102"/>
      <c r="BQ62" s="102"/>
      <c r="BR62" s="102"/>
      <c r="BS62" s="103"/>
      <c r="BT62" s="104"/>
      <c r="BU62" s="105"/>
      <c r="BV62" s="105"/>
      <c r="BW62" s="103"/>
      <c r="BX62" s="106"/>
      <c r="BY62" s="107"/>
      <c r="BZ62" s="107"/>
      <c r="CA62" s="107"/>
      <c r="CB62" s="107"/>
      <c r="CC62" s="74"/>
    </row>
    <row r="63" spans="2:81" ht="45">
      <c r="B63" s="47" t="s">
        <v>864</v>
      </c>
      <c r="C63" s="48" t="s">
        <v>1309</v>
      </c>
      <c r="D63" s="49" t="s">
        <v>959</v>
      </c>
      <c r="E63" s="81" t="s">
        <v>960</v>
      </c>
      <c r="F63" s="71" t="s">
        <v>1567</v>
      </c>
      <c r="G63" s="52" t="s">
        <v>1568</v>
      </c>
      <c r="H63" s="49" t="s">
        <v>33</v>
      </c>
      <c r="I63" s="49" t="s">
        <v>1559</v>
      </c>
      <c r="J63" s="49" t="s">
        <v>1533</v>
      </c>
      <c r="K63" s="99"/>
      <c r="L63" s="100"/>
      <c r="M63" s="100"/>
      <c r="N63" s="100"/>
      <c r="O63" s="100"/>
      <c r="P63" s="101"/>
      <c r="Q63" s="102"/>
      <c r="R63" s="102"/>
      <c r="S63" s="102"/>
      <c r="T63" s="102"/>
      <c r="U63" s="103"/>
      <c r="V63" s="104"/>
      <c r="W63" s="105"/>
      <c r="X63" s="115"/>
      <c r="Y63" s="103"/>
      <c r="Z63" s="106"/>
      <c r="AA63" s="107"/>
      <c r="AB63" s="107"/>
      <c r="AC63" s="107"/>
      <c r="AD63" s="107"/>
      <c r="AE63" s="54"/>
      <c r="AF63" s="64"/>
      <c r="AG63" s="108"/>
      <c r="AH63" s="108"/>
      <c r="AI63" s="80"/>
      <c r="AJ63" s="99"/>
      <c r="AK63" s="100"/>
      <c r="AL63" s="100"/>
      <c r="AM63" s="100"/>
      <c r="AN63" s="100"/>
      <c r="AO63" s="101"/>
      <c r="AP63" s="102"/>
      <c r="AQ63" s="102"/>
      <c r="AR63" s="102"/>
      <c r="AS63" s="108"/>
      <c r="AT63" s="103"/>
      <c r="AU63" s="104"/>
      <c r="AV63" s="105"/>
      <c r="AW63" s="105"/>
      <c r="AX63" s="103"/>
      <c r="AY63" s="106"/>
      <c r="AZ63" s="107"/>
      <c r="BA63" s="107"/>
      <c r="BB63" s="61"/>
      <c r="BC63" s="141" t="s">
        <v>860</v>
      </c>
      <c r="BD63" s="63"/>
      <c r="BE63" s="95" t="s">
        <v>861</v>
      </c>
      <c r="BF63" s="108"/>
      <c r="BG63" s="108"/>
      <c r="BH63" s="108"/>
      <c r="BI63" s="99"/>
      <c r="BJ63" s="100"/>
      <c r="BK63" s="100"/>
      <c r="BL63" s="100"/>
      <c r="BM63" s="100"/>
      <c r="BN63" s="101"/>
      <c r="BO63" s="102"/>
      <c r="BP63" s="102"/>
      <c r="BQ63" s="102"/>
      <c r="BR63" s="102"/>
      <c r="BS63" s="103"/>
      <c r="BT63" s="104"/>
      <c r="BU63" s="105"/>
      <c r="BV63" s="105"/>
      <c r="BW63" s="103"/>
      <c r="BX63" s="106"/>
      <c r="BY63" s="107"/>
      <c r="BZ63" s="107"/>
      <c r="CA63" s="107"/>
      <c r="CB63" s="107"/>
      <c r="CC63" s="74"/>
    </row>
    <row r="64" spans="2:81" ht="45">
      <c r="B64" s="47" t="s">
        <v>864</v>
      </c>
      <c r="C64" s="48" t="s">
        <v>1303</v>
      </c>
      <c r="D64" s="49" t="s">
        <v>961</v>
      </c>
      <c r="E64" s="81" t="s">
        <v>962</v>
      </c>
      <c r="F64" s="71" t="s">
        <v>1567</v>
      </c>
      <c r="G64" s="52" t="s">
        <v>1568</v>
      </c>
      <c r="H64" s="49" t="s">
        <v>33</v>
      </c>
      <c r="I64" s="49" t="s">
        <v>1559</v>
      </c>
      <c r="J64" s="49" t="s">
        <v>1533</v>
      </c>
      <c r="K64" s="99"/>
      <c r="L64" s="100"/>
      <c r="M64" s="100"/>
      <c r="N64" s="100"/>
      <c r="O64" s="100"/>
      <c r="P64" s="101"/>
      <c r="Q64" s="102"/>
      <c r="R64" s="102"/>
      <c r="S64" s="102"/>
      <c r="T64" s="102"/>
      <c r="U64" s="103"/>
      <c r="V64" s="104"/>
      <c r="W64" s="105"/>
      <c r="X64" s="115"/>
      <c r="Y64" s="103"/>
      <c r="Z64" s="106"/>
      <c r="AA64" s="107"/>
      <c r="AB64" s="107"/>
      <c r="AC64" s="107"/>
      <c r="AD64" s="107"/>
      <c r="AE64" s="54"/>
      <c r="AF64" s="64"/>
      <c r="AG64" s="108"/>
      <c r="AH64" s="108"/>
      <c r="AI64" s="80"/>
      <c r="AJ64" s="99"/>
      <c r="AK64" s="100"/>
      <c r="AL64" s="100"/>
      <c r="AM64" s="100"/>
      <c r="AN64" s="100"/>
      <c r="AO64" s="101"/>
      <c r="AP64" s="102"/>
      <c r="AQ64" s="102"/>
      <c r="AR64" s="102"/>
      <c r="AS64" s="108"/>
      <c r="AT64" s="103"/>
      <c r="AU64" s="104"/>
      <c r="AV64" s="105"/>
      <c r="AW64" s="105"/>
      <c r="AX64" s="103"/>
      <c r="AY64" s="106"/>
      <c r="AZ64" s="107"/>
      <c r="BA64" s="107"/>
      <c r="BB64" s="61"/>
      <c r="BC64" s="141" t="s">
        <v>860</v>
      </c>
      <c r="BD64" s="63"/>
      <c r="BE64" s="95" t="s">
        <v>861</v>
      </c>
      <c r="BF64" s="108"/>
      <c r="BG64" s="108"/>
      <c r="BH64" s="108"/>
      <c r="BI64" s="99"/>
      <c r="BJ64" s="100"/>
      <c r="BK64" s="100"/>
      <c r="BL64" s="100"/>
      <c r="BM64" s="100"/>
      <c r="BN64" s="101"/>
      <c r="BO64" s="102"/>
      <c r="BP64" s="102"/>
      <c r="BQ64" s="102"/>
      <c r="BR64" s="102"/>
      <c r="BS64" s="103"/>
      <c r="BT64" s="104"/>
      <c r="BU64" s="105"/>
      <c r="BV64" s="105"/>
      <c r="BW64" s="103"/>
      <c r="BX64" s="106"/>
      <c r="BY64" s="107"/>
      <c r="BZ64" s="107"/>
      <c r="CA64" s="107"/>
      <c r="CB64" s="107"/>
      <c r="CC64" s="74"/>
    </row>
    <row r="65" spans="2:81" ht="45">
      <c r="B65" s="47" t="s">
        <v>864</v>
      </c>
      <c r="C65" s="48" t="s">
        <v>1593</v>
      </c>
      <c r="D65" s="49" t="s">
        <v>866</v>
      </c>
      <c r="E65" s="81" t="s">
        <v>867</v>
      </c>
      <c r="F65" s="71" t="s">
        <v>1567</v>
      </c>
      <c r="G65" s="52" t="s">
        <v>1568</v>
      </c>
      <c r="H65" s="49" t="s">
        <v>33</v>
      </c>
      <c r="I65" s="49" t="s">
        <v>1559</v>
      </c>
      <c r="J65" s="49" t="s">
        <v>1533</v>
      </c>
      <c r="K65" s="99"/>
      <c r="L65" s="100"/>
      <c r="M65" s="100"/>
      <c r="N65" s="100"/>
      <c r="O65" s="100"/>
      <c r="P65" s="101"/>
      <c r="Q65" s="102"/>
      <c r="R65" s="102"/>
      <c r="S65" s="102"/>
      <c r="T65" s="102"/>
      <c r="U65" s="103"/>
      <c r="V65" s="104"/>
      <c r="W65" s="105"/>
      <c r="X65" s="115"/>
      <c r="Y65" s="103"/>
      <c r="Z65" s="106"/>
      <c r="AA65" s="107"/>
      <c r="AB65" s="107"/>
      <c r="AC65" s="107"/>
      <c r="AD65" s="107"/>
      <c r="AE65" s="54"/>
      <c r="AF65" s="64"/>
      <c r="AG65" s="108"/>
      <c r="AH65" s="108"/>
      <c r="AI65" s="80"/>
      <c r="AJ65" s="99"/>
      <c r="AK65" s="100"/>
      <c r="AL65" s="100"/>
      <c r="AM65" s="100"/>
      <c r="AN65" s="100"/>
      <c r="AO65" s="101"/>
      <c r="AP65" s="102"/>
      <c r="AQ65" s="102"/>
      <c r="AR65" s="102"/>
      <c r="AS65" s="108"/>
      <c r="AT65" s="103"/>
      <c r="AU65" s="104"/>
      <c r="AV65" s="105"/>
      <c r="AW65" s="105"/>
      <c r="AX65" s="103"/>
      <c r="AY65" s="106"/>
      <c r="AZ65" s="107"/>
      <c r="BA65" s="107"/>
      <c r="BB65" s="61"/>
      <c r="BC65" s="141" t="s">
        <v>860</v>
      </c>
      <c r="BD65" s="63"/>
      <c r="BE65" s="95" t="s">
        <v>861</v>
      </c>
      <c r="BF65" s="108"/>
      <c r="BG65" s="108"/>
      <c r="BH65" s="108"/>
      <c r="BI65" s="99"/>
      <c r="BJ65" s="100"/>
      <c r="BK65" s="100"/>
      <c r="BL65" s="100"/>
      <c r="BM65" s="100"/>
      <c r="BN65" s="101"/>
      <c r="BO65" s="102"/>
      <c r="BP65" s="102"/>
      <c r="BQ65" s="102"/>
      <c r="BR65" s="102"/>
      <c r="BS65" s="103"/>
      <c r="BT65" s="104"/>
      <c r="BU65" s="105"/>
      <c r="BV65" s="105"/>
      <c r="BW65" s="103"/>
      <c r="BX65" s="106"/>
      <c r="BY65" s="107"/>
      <c r="BZ65" s="107"/>
      <c r="CA65" s="107"/>
      <c r="CB65" s="107"/>
      <c r="CC65" s="74"/>
    </row>
    <row r="66" spans="2:81" ht="45">
      <c r="B66" s="47" t="s">
        <v>864</v>
      </c>
      <c r="C66" s="48" t="s">
        <v>1594</v>
      </c>
      <c r="D66" s="49" t="s">
        <v>871</v>
      </c>
      <c r="E66" s="81" t="s">
        <v>872</v>
      </c>
      <c r="F66" s="71" t="s">
        <v>1567</v>
      </c>
      <c r="G66" s="52" t="s">
        <v>1568</v>
      </c>
      <c r="H66" s="49" t="s">
        <v>33</v>
      </c>
      <c r="I66" s="49" t="s">
        <v>1559</v>
      </c>
      <c r="J66" s="49" t="s">
        <v>1533</v>
      </c>
      <c r="K66" s="99"/>
      <c r="L66" s="100"/>
      <c r="M66" s="100"/>
      <c r="N66" s="100"/>
      <c r="O66" s="100"/>
      <c r="P66" s="101"/>
      <c r="Q66" s="102"/>
      <c r="R66" s="102"/>
      <c r="S66" s="102"/>
      <c r="T66" s="102"/>
      <c r="U66" s="103"/>
      <c r="V66" s="104"/>
      <c r="W66" s="105"/>
      <c r="X66" s="115"/>
      <c r="Y66" s="103"/>
      <c r="Z66" s="106"/>
      <c r="AA66" s="107"/>
      <c r="AB66" s="107"/>
      <c r="AC66" s="107"/>
      <c r="AD66" s="107"/>
      <c r="AE66" s="54"/>
      <c r="AF66" s="64"/>
      <c r="AG66" s="108"/>
      <c r="AH66" s="108"/>
      <c r="AI66" s="80"/>
      <c r="AJ66" s="99"/>
      <c r="AK66" s="100"/>
      <c r="AL66" s="100"/>
      <c r="AM66" s="100"/>
      <c r="AN66" s="100"/>
      <c r="AO66" s="101"/>
      <c r="AP66" s="102"/>
      <c r="AQ66" s="102"/>
      <c r="AR66" s="102"/>
      <c r="AS66" s="108"/>
      <c r="AT66" s="103"/>
      <c r="AU66" s="104"/>
      <c r="AV66" s="105"/>
      <c r="AW66" s="105"/>
      <c r="AX66" s="103"/>
      <c r="AY66" s="106"/>
      <c r="AZ66" s="107"/>
      <c r="BA66" s="107"/>
      <c r="BB66" s="61"/>
      <c r="BC66" s="141" t="s">
        <v>860</v>
      </c>
      <c r="BD66" s="63"/>
      <c r="BE66" s="95" t="s">
        <v>861</v>
      </c>
      <c r="BF66" s="108"/>
      <c r="BG66" s="108"/>
      <c r="BH66" s="108"/>
      <c r="BI66" s="99"/>
      <c r="BJ66" s="100"/>
      <c r="BK66" s="100"/>
      <c r="BL66" s="100"/>
      <c r="BM66" s="100"/>
      <c r="BN66" s="101"/>
      <c r="BO66" s="102"/>
      <c r="BP66" s="102"/>
      <c r="BQ66" s="102"/>
      <c r="BR66" s="102"/>
      <c r="BS66" s="103"/>
      <c r="BT66" s="104"/>
      <c r="BU66" s="105"/>
      <c r="BV66" s="105"/>
      <c r="BW66" s="103"/>
      <c r="BX66" s="106"/>
      <c r="BY66" s="107"/>
      <c r="BZ66" s="107"/>
      <c r="CA66" s="107"/>
      <c r="CB66" s="107"/>
      <c r="CC66" s="74"/>
    </row>
    <row r="67" spans="2:81" ht="45">
      <c r="B67" s="47" t="s">
        <v>864</v>
      </c>
      <c r="C67" s="48" t="s">
        <v>1308</v>
      </c>
      <c r="D67" s="49" t="s">
        <v>963</v>
      </c>
      <c r="E67" s="81" t="s">
        <v>964</v>
      </c>
      <c r="F67" s="71" t="s">
        <v>1567</v>
      </c>
      <c r="G67" s="52" t="s">
        <v>1568</v>
      </c>
      <c r="H67" s="49" t="s">
        <v>33</v>
      </c>
      <c r="I67" s="49" t="s">
        <v>1559</v>
      </c>
      <c r="J67" s="49" t="s">
        <v>1533</v>
      </c>
      <c r="K67" s="99"/>
      <c r="L67" s="100"/>
      <c r="M67" s="100"/>
      <c r="N67" s="100"/>
      <c r="O67" s="100"/>
      <c r="P67" s="101"/>
      <c r="Q67" s="102"/>
      <c r="R67" s="102"/>
      <c r="S67" s="102"/>
      <c r="T67" s="102"/>
      <c r="U67" s="103"/>
      <c r="V67" s="104"/>
      <c r="W67" s="105"/>
      <c r="X67" s="115"/>
      <c r="Y67" s="103"/>
      <c r="Z67" s="106"/>
      <c r="AA67" s="107"/>
      <c r="AB67" s="107"/>
      <c r="AC67" s="107"/>
      <c r="AD67" s="107"/>
      <c r="AE67" s="54"/>
      <c r="AF67" s="64"/>
      <c r="AG67" s="108"/>
      <c r="AH67" s="108"/>
      <c r="AI67" s="80"/>
      <c r="AJ67" s="99"/>
      <c r="AK67" s="100"/>
      <c r="AL67" s="100"/>
      <c r="AM67" s="100"/>
      <c r="AN67" s="100"/>
      <c r="AO67" s="101"/>
      <c r="AP67" s="102"/>
      <c r="AQ67" s="102"/>
      <c r="AR67" s="102"/>
      <c r="AS67" s="108"/>
      <c r="AT67" s="103"/>
      <c r="AU67" s="104"/>
      <c r="AV67" s="105"/>
      <c r="AW67" s="105"/>
      <c r="AX67" s="103"/>
      <c r="AY67" s="106"/>
      <c r="AZ67" s="107"/>
      <c r="BA67" s="107"/>
      <c r="BB67" s="61"/>
      <c r="BC67" s="141" t="s">
        <v>860</v>
      </c>
      <c r="BD67" s="63"/>
      <c r="BE67" s="95" t="s">
        <v>861</v>
      </c>
      <c r="BF67" s="108"/>
      <c r="BG67" s="108"/>
      <c r="BH67" s="108"/>
      <c r="BI67" s="99"/>
      <c r="BJ67" s="100"/>
      <c r="BK67" s="100"/>
      <c r="BL67" s="100"/>
      <c r="BM67" s="100"/>
      <c r="BN67" s="101"/>
      <c r="BO67" s="102"/>
      <c r="BP67" s="102"/>
      <c r="BQ67" s="102"/>
      <c r="BR67" s="102"/>
      <c r="BS67" s="103"/>
      <c r="BT67" s="104"/>
      <c r="BU67" s="105"/>
      <c r="BV67" s="105"/>
      <c r="BW67" s="103"/>
      <c r="BX67" s="106"/>
      <c r="BY67" s="107"/>
      <c r="BZ67" s="107"/>
      <c r="CA67" s="107"/>
      <c r="CB67" s="107"/>
      <c r="CC67" s="74"/>
    </row>
    <row r="68" spans="2:81" ht="45">
      <c r="B68" s="47" t="s">
        <v>864</v>
      </c>
      <c r="C68" s="48" t="s">
        <v>1084</v>
      </c>
      <c r="D68" s="49" t="s">
        <v>965</v>
      </c>
      <c r="E68" s="81" t="s">
        <v>966</v>
      </c>
      <c r="F68" s="71" t="s">
        <v>1567</v>
      </c>
      <c r="G68" s="52" t="s">
        <v>1568</v>
      </c>
      <c r="H68" s="49" t="s">
        <v>33</v>
      </c>
      <c r="I68" s="49" t="s">
        <v>1559</v>
      </c>
      <c r="J68" s="49" t="s">
        <v>1533</v>
      </c>
      <c r="K68" s="99"/>
      <c r="L68" s="100"/>
      <c r="M68" s="100"/>
      <c r="N68" s="100"/>
      <c r="O68" s="100"/>
      <c r="P68" s="101"/>
      <c r="Q68" s="102"/>
      <c r="R68" s="102"/>
      <c r="S68" s="102"/>
      <c r="T68" s="102"/>
      <c r="U68" s="103"/>
      <c r="V68" s="104"/>
      <c r="W68" s="105"/>
      <c r="X68" s="115"/>
      <c r="Y68" s="103"/>
      <c r="Z68" s="106"/>
      <c r="AA68" s="107"/>
      <c r="AB68" s="107"/>
      <c r="AC68" s="107"/>
      <c r="AD68" s="107"/>
      <c r="AE68" s="54"/>
      <c r="AF68" s="64"/>
      <c r="AG68" s="108"/>
      <c r="AH68" s="108"/>
      <c r="AI68" s="80"/>
      <c r="AJ68" s="99"/>
      <c r="AK68" s="100"/>
      <c r="AL68" s="100"/>
      <c r="AM68" s="100"/>
      <c r="AN68" s="100"/>
      <c r="AO68" s="101"/>
      <c r="AP68" s="102"/>
      <c r="AQ68" s="102"/>
      <c r="AR68" s="102"/>
      <c r="AS68" s="108"/>
      <c r="AT68" s="103"/>
      <c r="AU68" s="104"/>
      <c r="AV68" s="105"/>
      <c r="AW68" s="105"/>
      <c r="AX68" s="103"/>
      <c r="AY68" s="106"/>
      <c r="AZ68" s="107"/>
      <c r="BA68" s="107"/>
      <c r="BB68" s="61"/>
      <c r="BC68" s="141" t="s">
        <v>860</v>
      </c>
      <c r="BD68" s="63"/>
      <c r="BE68" s="95" t="s">
        <v>861</v>
      </c>
      <c r="BF68" s="108"/>
      <c r="BG68" s="108"/>
      <c r="BH68" s="108"/>
      <c r="BI68" s="99"/>
      <c r="BJ68" s="100"/>
      <c r="BK68" s="100"/>
      <c r="BL68" s="100"/>
      <c r="BM68" s="100"/>
      <c r="BN68" s="101"/>
      <c r="BO68" s="102"/>
      <c r="BP68" s="102"/>
      <c r="BQ68" s="102"/>
      <c r="BR68" s="102"/>
      <c r="BS68" s="103"/>
      <c r="BT68" s="104"/>
      <c r="BU68" s="105"/>
      <c r="BV68" s="105"/>
      <c r="BW68" s="103"/>
      <c r="BX68" s="106"/>
      <c r="BY68" s="107"/>
      <c r="BZ68" s="107"/>
      <c r="CA68" s="107"/>
      <c r="CB68" s="107"/>
      <c r="CC68" s="74"/>
    </row>
    <row r="69" spans="2:81" ht="45">
      <c r="B69" s="47" t="s">
        <v>864</v>
      </c>
      <c r="C69" s="48" t="s">
        <v>1091</v>
      </c>
      <c r="D69" s="49" t="s">
        <v>874</v>
      </c>
      <c r="E69" s="81" t="s">
        <v>875</v>
      </c>
      <c r="F69" s="71" t="s">
        <v>1567</v>
      </c>
      <c r="G69" s="52" t="s">
        <v>1568</v>
      </c>
      <c r="H69" s="49" t="s">
        <v>33</v>
      </c>
      <c r="I69" s="49" t="s">
        <v>1559</v>
      </c>
      <c r="J69" s="49" t="s">
        <v>1533</v>
      </c>
      <c r="K69" s="99"/>
      <c r="L69" s="100"/>
      <c r="M69" s="100"/>
      <c r="N69" s="100"/>
      <c r="O69" s="100"/>
      <c r="P69" s="101"/>
      <c r="Q69" s="102"/>
      <c r="R69" s="102"/>
      <c r="S69" s="102"/>
      <c r="T69" s="102"/>
      <c r="U69" s="103"/>
      <c r="V69" s="104"/>
      <c r="W69" s="105"/>
      <c r="X69" s="115"/>
      <c r="Y69" s="103"/>
      <c r="Z69" s="106"/>
      <c r="AA69" s="107"/>
      <c r="AB69" s="107"/>
      <c r="AC69" s="107"/>
      <c r="AD69" s="107"/>
      <c r="AE69" s="54"/>
      <c r="AF69" s="64"/>
      <c r="AG69" s="108"/>
      <c r="AH69" s="108"/>
      <c r="AI69" s="80"/>
      <c r="AJ69" s="99"/>
      <c r="AK69" s="100"/>
      <c r="AL69" s="100"/>
      <c r="AM69" s="100"/>
      <c r="AN69" s="100"/>
      <c r="AO69" s="101"/>
      <c r="AP69" s="102"/>
      <c r="AQ69" s="102"/>
      <c r="AR69" s="102"/>
      <c r="AS69" s="108"/>
      <c r="AT69" s="103"/>
      <c r="AU69" s="104"/>
      <c r="AV69" s="105"/>
      <c r="AW69" s="105"/>
      <c r="AX69" s="103"/>
      <c r="AY69" s="106"/>
      <c r="AZ69" s="107"/>
      <c r="BA69" s="107"/>
      <c r="BB69" s="61"/>
      <c r="BC69" s="141" t="s">
        <v>860</v>
      </c>
      <c r="BD69" s="63"/>
      <c r="BE69" s="95" t="s">
        <v>861</v>
      </c>
      <c r="BF69" s="108"/>
      <c r="BG69" s="108"/>
      <c r="BH69" s="108"/>
      <c r="BI69" s="99"/>
      <c r="BJ69" s="100"/>
      <c r="BK69" s="100"/>
      <c r="BL69" s="100"/>
      <c r="BM69" s="100"/>
      <c r="BN69" s="101"/>
      <c r="BO69" s="102"/>
      <c r="BP69" s="102"/>
      <c r="BQ69" s="102"/>
      <c r="BR69" s="102"/>
      <c r="BS69" s="103"/>
      <c r="BT69" s="104"/>
      <c r="BU69" s="105"/>
      <c r="BV69" s="105"/>
      <c r="BW69" s="103"/>
      <c r="BX69" s="106"/>
      <c r="BY69" s="107"/>
      <c r="BZ69" s="107"/>
      <c r="CA69" s="107"/>
      <c r="CB69" s="107"/>
      <c r="CC69" s="74"/>
    </row>
    <row r="70" spans="2:81" ht="45">
      <c r="B70" s="47" t="s">
        <v>864</v>
      </c>
      <c r="C70" s="48" t="s">
        <v>1595</v>
      </c>
      <c r="D70" s="49" t="s">
        <v>876</v>
      </c>
      <c r="E70" s="81" t="s">
        <v>877</v>
      </c>
      <c r="F70" s="71" t="s">
        <v>1567</v>
      </c>
      <c r="G70" s="52" t="s">
        <v>1568</v>
      </c>
      <c r="H70" s="49" t="s">
        <v>33</v>
      </c>
      <c r="I70" s="49" t="s">
        <v>1559</v>
      </c>
      <c r="J70" s="49" t="s">
        <v>1533</v>
      </c>
      <c r="K70" s="99"/>
      <c r="L70" s="100"/>
      <c r="M70" s="100"/>
      <c r="N70" s="100"/>
      <c r="O70" s="100"/>
      <c r="P70" s="101"/>
      <c r="Q70" s="102"/>
      <c r="R70" s="102"/>
      <c r="S70" s="102"/>
      <c r="T70" s="102"/>
      <c r="U70" s="103"/>
      <c r="V70" s="104"/>
      <c r="W70" s="105"/>
      <c r="X70" s="115"/>
      <c r="Y70" s="103"/>
      <c r="Z70" s="106"/>
      <c r="AA70" s="107"/>
      <c r="AB70" s="107"/>
      <c r="AC70" s="107"/>
      <c r="AD70" s="107"/>
      <c r="AE70" s="54"/>
      <c r="AF70" s="64"/>
      <c r="AG70" s="108"/>
      <c r="AH70" s="108"/>
      <c r="AI70" s="80"/>
      <c r="AJ70" s="99"/>
      <c r="AK70" s="100"/>
      <c r="AL70" s="100"/>
      <c r="AM70" s="100"/>
      <c r="AN70" s="100"/>
      <c r="AO70" s="101"/>
      <c r="AP70" s="102"/>
      <c r="AQ70" s="102"/>
      <c r="AR70" s="102"/>
      <c r="AS70" s="108"/>
      <c r="AT70" s="103"/>
      <c r="AU70" s="104"/>
      <c r="AV70" s="105"/>
      <c r="AW70" s="105"/>
      <c r="AX70" s="103"/>
      <c r="AY70" s="106"/>
      <c r="AZ70" s="107"/>
      <c r="BA70" s="107"/>
      <c r="BB70" s="61"/>
      <c r="BC70" s="141" t="s">
        <v>860</v>
      </c>
      <c r="BD70" s="63"/>
      <c r="BE70" s="95" t="s">
        <v>861</v>
      </c>
      <c r="BF70" s="108"/>
      <c r="BG70" s="108"/>
      <c r="BH70" s="108"/>
      <c r="BI70" s="99"/>
      <c r="BJ70" s="100"/>
      <c r="BK70" s="100"/>
      <c r="BL70" s="100"/>
      <c r="BM70" s="100"/>
      <c r="BN70" s="101"/>
      <c r="BO70" s="102"/>
      <c r="BP70" s="102"/>
      <c r="BQ70" s="102"/>
      <c r="BR70" s="102"/>
      <c r="BS70" s="103"/>
      <c r="BT70" s="104"/>
      <c r="BU70" s="105"/>
      <c r="BV70" s="105"/>
      <c r="BW70" s="103"/>
      <c r="BX70" s="106"/>
      <c r="BY70" s="107"/>
      <c r="BZ70" s="107"/>
      <c r="CA70" s="107"/>
      <c r="CB70" s="107"/>
      <c r="CC70" s="74"/>
    </row>
    <row r="71" spans="2:81" ht="45">
      <c r="B71" s="47" t="s">
        <v>864</v>
      </c>
      <c r="C71" s="48" t="s">
        <v>1596</v>
      </c>
      <c r="D71" s="49" t="s">
        <v>878</v>
      </c>
      <c r="E71" s="81" t="s">
        <v>879</v>
      </c>
      <c r="F71" s="71" t="s">
        <v>1567</v>
      </c>
      <c r="G71" s="52" t="s">
        <v>1568</v>
      </c>
      <c r="H71" s="49" t="s">
        <v>33</v>
      </c>
      <c r="I71" s="49" t="s">
        <v>1559</v>
      </c>
      <c r="J71" s="49" t="s">
        <v>1533</v>
      </c>
      <c r="K71" s="99"/>
      <c r="L71" s="100"/>
      <c r="M71" s="100"/>
      <c r="N71" s="100"/>
      <c r="O71" s="100"/>
      <c r="P71" s="101"/>
      <c r="Q71" s="102"/>
      <c r="R71" s="102"/>
      <c r="S71" s="102"/>
      <c r="T71" s="102"/>
      <c r="U71" s="103"/>
      <c r="V71" s="104"/>
      <c r="W71" s="105"/>
      <c r="X71" s="115"/>
      <c r="Y71" s="103"/>
      <c r="Z71" s="106"/>
      <c r="AA71" s="107"/>
      <c r="AB71" s="107"/>
      <c r="AC71" s="107"/>
      <c r="AD71" s="107"/>
      <c r="AE71" s="54"/>
      <c r="AF71" s="64"/>
      <c r="AG71" s="108"/>
      <c r="AH71" s="108"/>
      <c r="AI71" s="80"/>
      <c r="AJ71" s="99"/>
      <c r="AK71" s="100"/>
      <c r="AL71" s="100"/>
      <c r="AM71" s="100"/>
      <c r="AN71" s="100"/>
      <c r="AO71" s="101"/>
      <c r="AP71" s="102"/>
      <c r="AQ71" s="102"/>
      <c r="AR71" s="102"/>
      <c r="AS71" s="108"/>
      <c r="AT71" s="103"/>
      <c r="AU71" s="104"/>
      <c r="AV71" s="105"/>
      <c r="AW71" s="105"/>
      <c r="AX71" s="103"/>
      <c r="AY71" s="106"/>
      <c r="AZ71" s="107"/>
      <c r="BA71" s="107"/>
      <c r="BB71" s="61"/>
      <c r="BC71" s="141" t="s">
        <v>860</v>
      </c>
      <c r="BD71" s="63"/>
      <c r="BE71" s="95" t="s">
        <v>861</v>
      </c>
      <c r="BF71" s="108"/>
      <c r="BG71" s="108"/>
      <c r="BH71" s="108"/>
      <c r="BI71" s="99"/>
      <c r="BJ71" s="100"/>
      <c r="BK71" s="100"/>
      <c r="BL71" s="100"/>
      <c r="BM71" s="100"/>
      <c r="BN71" s="101"/>
      <c r="BO71" s="102"/>
      <c r="BP71" s="102"/>
      <c r="BQ71" s="102"/>
      <c r="BR71" s="102"/>
      <c r="BS71" s="103"/>
      <c r="BT71" s="104"/>
      <c r="BU71" s="105"/>
      <c r="BV71" s="105"/>
      <c r="BW71" s="103"/>
      <c r="BX71" s="106"/>
      <c r="BY71" s="107"/>
      <c r="BZ71" s="107"/>
      <c r="CA71" s="107"/>
      <c r="CB71" s="107"/>
      <c r="CC71" s="74"/>
    </row>
    <row r="72" spans="2:81" ht="45">
      <c r="B72" s="47" t="s">
        <v>864</v>
      </c>
      <c r="C72" s="48" t="s">
        <v>1436</v>
      </c>
      <c r="D72" s="49" t="s">
        <v>881</v>
      </c>
      <c r="E72" s="81" t="s">
        <v>882</v>
      </c>
      <c r="F72" s="71" t="s">
        <v>1567</v>
      </c>
      <c r="G72" s="52" t="s">
        <v>1568</v>
      </c>
      <c r="H72" s="49" t="s">
        <v>33</v>
      </c>
      <c r="I72" s="49" t="s">
        <v>1559</v>
      </c>
      <c r="J72" s="49" t="s">
        <v>1533</v>
      </c>
      <c r="K72" s="99"/>
      <c r="L72" s="100"/>
      <c r="M72" s="100"/>
      <c r="N72" s="100"/>
      <c r="O72" s="100"/>
      <c r="P72" s="101"/>
      <c r="Q72" s="102"/>
      <c r="R72" s="102"/>
      <c r="S72" s="102"/>
      <c r="T72" s="102"/>
      <c r="U72" s="103"/>
      <c r="V72" s="104"/>
      <c r="W72" s="105"/>
      <c r="X72" s="115"/>
      <c r="Y72" s="103"/>
      <c r="Z72" s="106"/>
      <c r="AA72" s="107"/>
      <c r="AB72" s="107"/>
      <c r="AC72" s="107"/>
      <c r="AD72" s="107"/>
      <c r="AE72" s="54"/>
      <c r="AF72" s="64"/>
      <c r="AG72" s="108"/>
      <c r="AH72" s="108"/>
      <c r="AI72" s="80"/>
      <c r="AJ72" s="99"/>
      <c r="AK72" s="100"/>
      <c r="AL72" s="100"/>
      <c r="AM72" s="100"/>
      <c r="AN72" s="100"/>
      <c r="AO72" s="101"/>
      <c r="AP72" s="102"/>
      <c r="AQ72" s="102"/>
      <c r="AR72" s="102"/>
      <c r="AS72" s="108"/>
      <c r="AT72" s="103"/>
      <c r="AU72" s="104"/>
      <c r="AV72" s="105"/>
      <c r="AW72" s="105"/>
      <c r="AX72" s="103"/>
      <c r="AY72" s="106"/>
      <c r="AZ72" s="107"/>
      <c r="BA72" s="107"/>
      <c r="BB72" s="61"/>
      <c r="BC72" s="141" t="s">
        <v>860</v>
      </c>
      <c r="BD72" s="63"/>
      <c r="BE72" s="95" t="s">
        <v>861</v>
      </c>
      <c r="BF72" s="108"/>
      <c r="BG72" s="108"/>
      <c r="BH72" s="108"/>
      <c r="BI72" s="99"/>
      <c r="BJ72" s="100"/>
      <c r="BK72" s="100"/>
      <c r="BL72" s="100"/>
      <c r="BM72" s="100"/>
      <c r="BN72" s="101"/>
      <c r="BO72" s="102"/>
      <c r="BP72" s="102"/>
      <c r="BQ72" s="102"/>
      <c r="BR72" s="102"/>
      <c r="BS72" s="103"/>
      <c r="BT72" s="104"/>
      <c r="BU72" s="105"/>
      <c r="BV72" s="105"/>
      <c r="BW72" s="103"/>
      <c r="BX72" s="106"/>
      <c r="BY72" s="107"/>
      <c r="BZ72" s="107"/>
      <c r="CA72" s="107"/>
      <c r="CB72" s="107"/>
      <c r="CC72" s="74"/>
    </row>
    <row r="73" spans="2:81" ht="45">
      <c r="B73" s="47" t="s">
        <v>864</v>
      </c>
      <c r="C73" s="48" t="s">
        <v>1304</v>
      </c>
      <c r="D73" s="49" t="s">
        <v>884</v>
      </c>
      <c r="E73" s="81" t="s">
        <v>885</v>
      </c>
      <c r="F73" s="71" t="s">
        <v>1567</v>
      </c>
      <c r="G73" s="52" t="s">
        <v>1568</v>
      </c>
      <c r="H73" s="49" t="s">
        <v>33</v>
      </c>
      <c r="I73" s="49" t="s">
        <v>1559</v>
      </c>
      <c r="J73" s="49" t="s">
        <v>1533</v>
      </c>
      <c r="K73" s="99"/>
      <c r="L73" s="100"/>
      <c r="M73" s="100"/>
      <c r="N73" s="100"/>
      <c r="O73" s="100"/>
      <c r="P73" s="101"/>
      <c r="Q73" s="102"/>
      <c r="R73" s="102"/>
      <c r="S73" s="102"/>
      <c r="T73" s="102"/>
      <c r="U73" s="103"/>
      <c r="V73" s="104"/>
      <c r="W73" s="105"/>
      <c r="X73" s="115"/>
      <c r="Y73" s="103"/>
      <c r="Z73" s="106"/>
      <c r="AA73" s="107"/>
      <c r="AB73" s="107"/>
      <c r="AC73" s="107"/>
      <c r="AD73" s="107"/>
      <c r="AE73" s="54"/>
      <c r="AF73" s="64"/>
      <c r="AG73" s="108"/>
      <c r="AH73" s="108"/>
      <c r="AI73" s="80"/>
      <c r="AJ73" s="99"/>
      <c r="AK73" s="100"/>
      <c r="AL73" s="100"/>
      <c r="AM73" s="100"/>
      <c r="AN73" s="100"/>
      <c r="AO73" s="101"/>
      <c r="AP73" s="102"/>
      <c r="AQ73" s="102"/>
      <c r="AR73" s="102"/>
      <c r="AS73" s="108"/>
      <c r="AT73" s="103"/>
      <c r="AU73" s="104"/>
      <c r="AV73" s="105"/>
      <c r="AW73" s="105"/>
      <c r="AX73" s="103"/>
      <c r="AY73" s="106"/>
      <c r="AZ73" s="107"/>
      <c r="BA73" s="107"/>
      <c r="BB73" s="61"/>
      <c r="BC73" s="141" t="s">
        <v>860</v>
      </c>
      <c r="BD73" s="63"/>
      <c r="BE73" s="95" t="s">
        <v>861</v>
      </c>
      <c r="BF73" s="108"/>
      <c r="BG73" s="108"/>
      <c r="BH73" s="108"/>
      <c r="BI73" s="99"/>
      <c r="BJ73" s="100"/>
      <c r="BK73" s="100"/>
      <c r="BL73" s="100"/>
      <c r="BM73" s="100"/>
      <c r="BN73" s="101"/>
      <c r="BO73" s="102"/>
      <c r="BP73" s="102"/>
      <c r="BQ73" s="102"/>
      <c r="BR73" s="102"/>
      <c r="BS73" s="103"/>
      <c r="BT73" s="104"/>
      <c r="BU73" s="105"/>
      <c r="BV73" s="105"/>
      <c r="BW73" s="103"/>
      <c r="BX73" s="106"/>
      <c r="BY73" s="107"/>
      <c r="BZ73" s="107"/>
      <c r="CA73" s="107"/>
      <c r="CB73" s="107"/>
      <c r="CC73" s="74"/>
    </row>
    <row r="74" spans="2:81" ht="45">
      <c r="B74" s="47" t="s">
        <v>864</v>
      </c>
      <c r="C74" s="48" t="s">
        <v>1064</v>
      </c>
      <c r="D74" s="49" t="s">
        <v>886</v>
      </c>
      <c r="E74" s="81" t="s">
        <v>887</v>
      </c>
      <c r="F74" s="71" t="s">
        <v>1567</v>
      </c>
      <c r="G74" s="52" t="s">
        <v>1568</v>
      </c>
      <c r="H74" s="49" t="s">
        <v>33</v>
      </c>
      <c r="I74" s="49" t="s">
        <v>1559</v>
      </c>
      <c r="J74" s="49" t="s">
        <v>1533</v>
      </c>
      <c r="K74" s="99"/>
      <c r="L74" s="100"/>
      <c r="M74" s="100"/>
      <c r="N74" s="100"/>
      <c r="O74" s="100"/>
      <c r="P74" s="101"/>
      <c r="Q74" s="102"/>
      <c r="R74" s="102"/>
      <c r="S74" s="102"/>
      <c r="T74" s="102"/>
      <c r="U74" s="103"/>
      <c r="V74" s="104"/>
      <c r="W74" s="105"/>
      <c r="X74" s="115"/>
      <c r="Y74" s="103"/>
      <c r="Z74" s="106"/>
      <c r="AA74" s="107"/>
      <c r="AB74" s="107"/>
      <c r="AC74" s="107"/>
      <c r="AD74" s="107"/>
      <c r="AE74" s="54"/>
      <c r="AF74" s="64"/>
      <c r="AG74" s="108"/>
      <c r="AH74" s="108"/>
      <c r="AI74" s="80"/>
      <c r="AJ74" s="99"/>
      <c r="AK74" s="100"/>
      <c r="AL74" s="100"/>
      <c r="AM74" s="100"/>
      <c r="AN74" s="100"/>
      <c r="AO74" s="101"/>
      <c r="AP74" s="102"/>
      <c r="AQ74" s="102"/>
      <c r="AR74" s="102"/>
      <c r="AS74" s="108"/>
      <c r="AT74" s="103"/>
      <c r="AU74" s="104"/>
      <c r="AV74" s="105"/>
      <c r="AW74" s="105"/>
      <c r="AX74" s="103"/>
      <c r="AY74" s="106"/>
      <c r="AZ74" s="107"/>
      <c r="BA74" s="107"/>
      <c r="BB74" s="61"/>
      <c r="BC74" s="141" t="s">
        <v>860</v>
      </c>
      <c r="BD74" s="63"/>
      <c r="BE74" s="95" t="s">
        <v>861</v>
      </c>
      <c r="BF74" s="108"/>
      <c r="BG74" s="108"/>
      <c r="BH74" s="108"/>
      <c r="BI74" s="99"/>
      <c r="BJ74" s="100"/>
      <c r="BK74" s="100"/>
      <c r="BL74" s="100"/>
      <c r="BM74" s="100"/>
      <c r="BN74" s="101"/>
      <c r="BO74" s="102"/>
      <c r="BP74" s="102"/>
      <c r="BQ74" s="102"/>
      <c r="BR74" s="102"/>
      <c r="BS74" s="103"/>
      <c r="BT74" s="104"/>
      <c r="BU74" s="105"/>
      <c r="BV74" s="105"/>
      <c r="BW74" s="103"/>
      <c r="BX74" s="106"/>
      <c r="BY74" s="107"/>
      <c r="BZ74" s="107"/>
      <c r="CA74" s="107"/>
      <c r="CB74" s="107"/>
      <c r="CC74" s="74"/>
    </row>
    <row r="75" spans="2:81" ht="45">
      <c r="B75" s="47" t="s">
        <v>864</v>
      </c>
      <c r="C75" s="48" t="s">
        <v>1597</v>
      </c>
      <c r="D75" s="49" t="s">
        <v>888</v>
      </c>
      <c r="E75" s="81" t="s">
        <v>889</v>
      </c>
      <c r="F75" s="71" t="s">
        <v>1567</v>
      </c>
      <c r="G75" s="52" t="s">
        <v>1568</v>
      </c>
      <c r="H75" s="49" t="s">
        <v>33</v>
      </c>
      <c r="I75" s="49" t="s">
        <v>1559</v>
      </c>
      <c r="J75" s="49" t="s">
        <v>1533</v>
      </c>
      <c r="K75" s="99"/>
      <c r="L75" s="100"/>
      <c r="M75" s="100"/>
      <c r="N75" s="100"/>
      <c r="O75" s="100"/>
      <c r="P75" s="101"/>
      <c r="Q75" s="102"/>
      <c r="R75" s="102"/>
      <c r="S75" s="102"/>
      <c r="T75" s="102"/>
      <c r="U75" s="103"/>
      <c r="V75" s="104"/>
      <c r="W75" s="105"/>
      <c r="X75" s="115"/>
      <c r="Y75" s="103"/>
      <c r="Z75" s="106"/>
      <c r="AA75" s="107"/>
      <c r="AB75" s="107"/>
      <c r="AC75" s="107"/>
      <c r="AD75" s="107"/>
      <c r="AE75" s="54"/>
      <c r="AF75" s="64"/>
      <c r="AG75" s="108"/>
      <c r="AH75" s="108"/>
      <c r="AI75" s="80"/>
      <c r="AJ75" s="99"/>
      <c r="AK75" s="100"/>
      <c r="AL75" s="100"/>
      <c r="AM75" s="100"/>
      <c r="AN75" s="100"/>
      <c r="AO75" s="101"/>
      <c r="AP75" s="102"/>
      <c r="AQ75" s="102"/>
      <c r="AR75" s="102"/>
      <c r="AS75" s="108"/>
      <c r="AT75" s="103"/>
      <c r="AU75" s="104"/>
      <c r="AV75" s="105"/>
      <c r="AW75" s="105"/>
      <c r="AX75" s="103"/>
      <c r="AY75" s="106"/>
      <c r="AZ75" s="107"/>
      <c r="BA75" s="107"/>
      <c r="BB75" s="61"/>
      <c r="BC75" s="141" t="s">
        <v>860</v>
      </c>
      <c r="BD75" s="63"/>
      <c r="BE75" s="95" t="s">
        <v>861</v>
      </c>
      <c r="BF75" s="108"/>
      <c r="BG75" s="108"/>
      <c r="BH75" s="108"/>
      <c r="BI75" s="99"/>
      <c r="BJ75" s="100"/>
      <c r="BK75" s="100"/>
      <c r="BL75" s="100"/>
      <c r="BM75" s="100"/>
      <c r="BN75" s="101"/>
      <c r="BO75" s="102"/>
      <c r="BP75" s="102"/>
      <c r="BQ75" s="102"/>
      <c r="BR75" s="102"/>
      <c r="BS75" s="103"/>
      <c r="BT75" s="104"/>
      <c r="BU75" s="105"/>
      <c r="BV75" s="105"/>
      <c r="BW75" s="103"/>
      <c r="BX75" s="106"/>
      <c r="BY75" s="107"/>
      <c r="BZ75" s="107"/>
      <c r="CA75" s="107"/>
      <c r="CB75" s="107"/>
      <c r="CC75" s="74"/>
    </row>
    <row r="76" spans="2:81" ht="45">
      <c r="B76" s="47" t="s">
        <v>864</v>
      </c>
      <c r="C76" s="48" t="s">
        <v>1598</v>
      </c>
      <c r="D76" s="49" t="s">
        <v>890</v>
      </c>
      <c r="E76" s="81" t="s">
        <v>891</v>
      </c>
      <c r="F76" s="71" t="s">
        <v>1567</v>
      </c>
      <c r="G76" s="52" t="s">
        <v>1568</v>
      </c>
      <c r="H76" s="49" t="s">
        <v>33</v>
      </c>
      <c r="I76" s="49" t="s">
        <v>1559</v>
      </c>
      <c r="J76" s="49" t="s">
        <v>1533</v>
      </c>
      <c r="K76" s="99"/>
      <c r="L76" s="100"/>
      <c r="M76" s="100"/>
      <c r="N76" s="100"/>
      <c r="O76" s="100"/>
      <c r="P76" s="101"/>
      <c r="Q76" s="102"/>
      <c r="R76" s="102"/>
      <c r="S76" s="102"/>
      <c r="T76" s="102"/>
      <c r="U76" s="103"/>
      <c r="V76" s="104"/>
      <c r="W76" s="105"/>
      <c r="X76" s="115"/>
      <c r="Y76" s="103"/>
      <c r="Z76" s="106"/>
      <c r="AA76" s="107"/>
      <c r="AB76" s="107"/>
      <c r="AC76" s="107"/>
      <c r="AD76" s="107"/>
      <c r="AE76" s="54"/>
      <c r="AF76" s="64"/>
      <c r="AG76" s="108"/>
      <c r="AH76" s="108"/>
      <c r="AI76" s="80"/>
      <c r="AJ76" s="99"/>
      <c r="AK76" s="100"/>
      <c r="AL76" s="100"/>
      <c r="AM76" s="100"/>
      <c r="AN76" s="100"/>
      <c r="AO76" s="101"/>
      <c r="AP76" s="102"/>
      <c r="AQ76" s="102"/>
      <c r="AR76" s="102"/>
      <c r="AS76" s="108"/>
      <c r="AT76" s="103"/>
      <c r="AU76" s="104"/>
      <c r="AV76" s="105"/>
      <c r="AW76" s="105"/>
      <c r="AX76" s="103"/>
      <c r="AY76" s="106"/>
      <c r="AZ76" s="107"/>
      <c r="BA76" s="107"/>
      <c r="BB76" s="61"/>
      <c r="BC76" s="141" t="s">
        <v>860</v>
      </c>
      <c r="BD76" s="63"/>
      <c r="BE76" s="95" t="s">
        <v>861</v>
      </c>
      <c r="BF76" s="108"/>
      <c r="BG76" s="108"/>
      <c r="BH76" s="108"/>
      <c r="BI76" s="99"/>
      <c r="BJ76" s="100"/>
      <c r="BK76" s="100"/>
      <c r="BL76" s="100"/>
      <c r="BM76" s="100"/>
      <c r="BN76" s="101"/>
      <c r="BO76" s="102"/>
      <c r="BP76" s="102"/>
      <c r="BQ76" s="102"/>
      <c r="BR76" s="102"/>
      <c r="BS76" s="103"/>
      <c r="BT76" s="104"/>
      <c r="BU76" s="105"/>
      <c r="BV76" s="105"/>
      <c r="BW76" s="103"/>
      <c r="BX76" s="106"/>
      <c r="BY76" s="107"/>
      <c r="BZ76" s="107"/>
      <c r="CA76" s="107"/>
      <c r="CB76" s="107"/>
      <c r="CC76" s="74"/>
    </row>
    <row r="77" spans="2:81" ht="45">
      <c r="B77" s="47" t="s">
        <v>864</v>
      </c>
      <c r="C77" s="48" t="s">
        <v>1599</v>
      </c>
      <c r="D77" s="49" t="s">
        <v>892</v>
      </c>
      <c r="E77" s="81" t="s">
        <v>893</v>
      </c>
      <c r="F77" s="71" t="s">
        <v>1567</v>
      </c>
      <c r="G77" s="52" t="s">
        <v>1568</v>
      </c>
      <c r="H77" s="49" t="s">
        <v>33</v>
      </c>
      <c r="I77" s="49" t="s">
        <v>1559</v>
      </c>
      <c r="J77" s="49" t="s">
        <v>1533</v>
      </c>
      <c r="K77" s="99"/>
      <c r="L77" s="100"/>
      <c r="M77" s="100"/>
      <c r="N77" s="100"/>
      <c r="O77" s="100"/>
      <c r="P77" s="101"/>
      <c r="Q77" s="102"/>
      <c r="R77" s="102"/>
      <c r="S77" s="102"/>
      <c r="T77" s="102"/>
      <c r="U77" s="103"/>
      <c r="V77" s="104"/>
      <c r="W77" s="105"/>
      <c r="X77" s="115"/>
      <c r="Y77" s="103"/>
      <c r="Z77" s="106"/>
      <c r="AA77" s="107"/>
      <c r="AB77" s="107"/>
      <c r="AC77" s="107"/>
      <c r="AD77" s="107"/>
      <c r="AE77" s="54"/>
      <c r="AF77" s="64"/>
      <c r="AG77" s="108"/>
      <c r="AH77" s="108"/>
      <c r="AI77" s="80"/>
      <c r="AJ77" s="99"/>
      <c r="AK77" s="100"/>
      <c r="AL77" s="100"/>
      <c r="AM77" s="100"/>
      <c r="AN77" s="100"/>
      <c r="AO77" s="101"/>
      <c r="AP77" s="102"/>
      <c r="AQ77" s="102"/>
      <c r="AR77" s="102"/>
      <c r="AS77" s="108"/>
      <c r="AT77" s="103"/>
      <c r="AU77" s="104"/>
      <c r="AV77" s="105"/>
      <c r="AW77" s="105"/>
      <c r="AX77" s="103"/>
      <c r="AY77" s="106"/>
      <c r="AZ77" s="107"/>
      <c r="BA77" s="107"/>
      <c r="BB77" s="61"/>
      <c r="BC77" s="141" t="s">
        <v>860</v>
      </c>
      <c r="BD77" s="63"/>
      <c r="BE77" s="95" t="s">
        <v>861</v>
      </c>
      <c r="BF77" s="108"/>
      <c r="BG77" s="108"/>
      <c r="BH77" s="108"/>
      <c r="BI77" s="99"/>
      <c r="BJ77" s="100"/>
      <c r="BK77" s="100"/>
      <c r="BL77" s="100"/>
      <c r="BM77" s="100"/>
      <c r="BN77" s="101"/>
      <c r="BO77" s="102"/>
      <c r="BP77" s="102"/>
      <c r="BQ77" s="102"/>
      <c r="BR77" s="102"/>
      <c r="BS77" s="103"/>
      <c r="BT77" s="104"/>
      <c r="BU77" s="105"/>
      <c r="BV77" s="105"/>
      <c r="BW77" s="103"/>
      <c r="BX77" s="106"/>
      <c r="BY77" s="107"/>
      <c r="BZ77" s="107"/>
      <c r="CA77" s="107"/>
      <c r="CB77" s="107"/>
      <c r="CC77" s="74"/>
    </row>
    <row r="78" spans="2:81" ht="45">
      <c r="B78" s="47" t="s">
        <v>864</v>
      </c>
      <c r="C78" s="48" t="s">
        <v>1437</v>
      </c>
      <c r="D78" s="49" t="s">
        <v>903</v>
      </c>
      <c r="E78" s="81" t="s">
        <v>904</v>
      </c>
      <c r="F78" s="71" t="s">
        <v>1567</v>
      </c>
      <c r="G78" s="52" t="s">
        <v>1568</v>
      </c>
      <c r="H78" s="49" t="s">
        <v>33</v>
      </c>
      <c r="I78" s="49" t="s">
        <v>1559</v>
      </c>
      <c r="J78" s="49" t="s">
        <v>1533</v>
      </c>
      <c r="K78" s="99"/>
      <c r="L78" s="100"/>
      <c r="M78" s="100"/>
      <c r="N78" s="100"/>
      <c r="O78" s="100"/>
      <c r="P78" s="101"/>
      <c r="Q78" s="102"/>
      <c r="R78" s="102"/>
      <c r="S78" s="102"/>
      <c r="T78" s="102"/>
      <c r="U78" s="103"/>
      <c r="V78" s="104"/>
      <c r="W78" s="105"/>
      <c r="X78" s="115"/>
      <c r="Y78" s="103"/>
      <c r="Z78" s="106"/>
      <c r="AA78" s="107"/>
      <c r="AB78" s="107"/>
      <c r="AC78" s="107"/>
      <c r="AD78" s="107"/>
      <c r="AE78" s="54"/>
      <c r="AF78" s="64"/>
      <c r="AG78" s="108"/>
      <c r="AH78" s="108"/>
      <c r="AI78" s="80"/>
      <c r="AJ78" s="99"/>
      <c r="AK78" s="100"/>
      <c r="AL78" s="100"/>
      <c r="AM78" s="100"/>
      <c r="AN78" s="100"/>
      <c r="AO78" s="101"/>
      <c r="AP78" s="102"/>
      <c r="AQ78" s="102"/>
      <c r="AR78" s="102"/>
      <c r="AS78" s="108"/>
      <c r="AT78" s="103"/>
      <c r="AU78" s="104"/>
      <c r="AV78" s="105"/>
      <c r="AW78" s="105"/>
      <c r="AX78" s="103"/>
      <c r="AY78" s="106"/>
      <c r="AZ78" s="107"/>
      <c r="BA78" s="107"/>
      <c r="BB78" s="61"/>
      <c r="BC78" s="141" t="s">
        <v>860</v>
      </c>
      <c r="BD78" s="63"/>
      <c r="BE78" s="95" t="s">
        <v>861</v>
      </c>
      <c r="BF78" s="108"/>
      <c r="BG78" s="108"/>
      <c r="BH78" s="108"/>
      <c r="BI78" s="99"/>
      <c r="BJ78" s="100"/>
      <c r="BK78" s="100"/>
      <c r="BL78" s="100"/>
      <c r="BM78" s="100"/>
      <c r="BN78" s="101"/>
      <c r="BO78" s="102"/>
      <c r="BP78" s="102"/>
      <c r="BQ78" s="102"/>
      <c r="BR78" s="102"/>
      <c r="BS78" s="103"/>
      <c r="BT78" s="104"/>
      <c r="BU78" s="105"/>
      <c r="BV78" s="105"/>
      <c r="BW78" s="103"/>
      <c r="BX78" s="106"/>
      <c r="BY78" s="107"/>
      <c r="BZ78" s="107"/>
      <c r="CA78" s="107"/>
      <c r="CB78" s="107"/>
      <c r="CC78" s="74"/>
    </row>
    <row r="79" spans="2:81" ht="45">
      <c r="B79" s="47" t="s">
        <v>864</v>
      </c>
      <c r="C79" s="48" t="s">
        <v>1551</v>
      </c>
      <c r="D79" s="49" t="s">
        <v>895</v>
      </c>
      <c r="E79" s="81" t="s">
        <v>896</v>
      </c>
      <c r="F79" s="71" t="s">
        <v>1567</v>
      </c>
      <c r="G79" s="52" t="s">
        <v>1568</v>
      </c>
      <c r="H79" s="49" t="s">
        <v>33</v>
      </c>
      <c r="I79" s="49" t="s">
        <v>1559</v>
      </c>
      <c r="J79" s="49" t="s">
        <v>1533</v>
      </c>
      <c r="K79" s="99"/>
      <c r="L79" s="100"/>
      <c r="M79" s="100"/>
      <c r="N79" s="100"/>
      <c r="O79" s="100"/>
      <c r="P79" s="101"/>
      <c r="Q79" s="102"/>
      <c r="R79" s="102"/>
      <c r="S79" s="102"/>
      <c r="T79" s="102"/>
      <c r="U79" s="103"/>
      <c r="V79" s="104"/>
      <c r="W79" s="105"/>
      <c r="X79" s="115"/>
      <c r="Y79" s="103"/>
      <c r="Z79" s="106"/>
      <c r="AA79" s="107"/>
      <c r="AB79" s="107"/>
      <c r="AC79" s="107"/>
      <c r="AD79" s="107"/>
      <c r="AE79" s="54"/>
      <c r="AF79" s="64"/>
      <c r="AG79" s="108"/>
      <c r="AH79" s="108"/>
      <c r="AI79" s="80"/>
      <c r="AJ79" s="99"/>
      <c r="AK79" s="100"/>
      <c r="AL79" s="100"/>
      <c r="AM79" s="100"/>
      <c r="AN79" s="100"/>
      <c r="AO79" s="101"/>
      <c r="AP79" s="102"/>
      <c r="AQ79" s="102"/>
      <c r="AR79" s="102"/>
      <c r="AS79" s="108"/>
      <c r="AT79" s="103"/>
      <c r="AU79" s="104"/>
      <c r="AV79" s="105"/>
      <c r="AW79" s="105"/>
      <c r="AX79" s="103"/>
      <c r="AY79" s="106"/>
      <c r="AZ79" s="107"/>
      <c r="BA79" s="107"/>
      <c r="BB79" s="61"/>
      <c r="BC79" s="141" t="s">
        <v>860</v>
      </c>
      <c r="BD79" s="63"/>
      <c r="BE79" s="95" t="s">
        <v>861</v>
      </c>
      <c r="BF79" s="108"/>
      <c r="BG79" s="108"/>
      <c r="BH79" s="108"/>
      <c r="BI79" s="99"/>
      <c r="BJ79" s="100"/>
      <c r="BK79" s="100"/>
      <c r="BL79" s="100"/>
      <c r="BM79" s="100"/>
      <c r="BN79" s="101"/>
      <c r="BO79" s="102"/>
      <c r="BP79" s="102"/>
      <c r="BQ79" s="102"/>
      <c r="BR79" s="102"/>
      <c r="BS79" s="103"/>
      <c r="BT79" s="104"/>
      <c r="BU79" s="105"/>
      <c r="BV79" s="105"/>
      <c r="BW79" s="103"/>
      <c r="BX79" s="106"/>
      <c r="BY79" s="107"/>
      <c r="BZ79" s="107"/>
      <c r="CA79" s="107"/>
      <c r="CB79" s="107"/>
      <c r="CC79" s="74"/>
    </row>
    <row r="80" spans="2:81" ht="45">
      <c r="B80" s="47" t="s">
        <v>864</v>
      </c>
      <c r="C80" s="48" t="s">
        <v>1551</v>
      </c>
      <c r="D80" s="49" t="s">
        <v>897</v>
      </c>
      <c r="E80" s="81" t="s">
        <v>898</v>
      </c>
      <c r="F80" s="71" t="s">
        <v>1567</v>
      </c>
      <c r="G80" s="52" t="s">
        <v>1568</v>
      </c>
      <c r="H80" s="49" t="s">
        <v>33</v>
      </c>
      <c r="I80" s="49" t="s">
        <v>1559</v>
      </c>
      <c r="J80" s="49" t="s">
        <v>1533</v>
      </c>
      <c r="K80" s="99"/>
      <c r="L80" s="100"/>
      <c r="M80" s="100"/>
      <c r="N80" s="100"/>
      <c r="O80" s="100"/>
      <c r="P80" s="101"/>
      <c r="Q80" s="102"/>
      <c r="R80" s="102"/>
      <c r="S80" s="102"/>
      <c r="T80" s="102"/>
      <c r="U80" s="103"/>
      <c r="V80" s="104"/>
      <c r="W80" s="105"/>
      <c r="X80" s="115"/>
      <c r="Y80" s="103"/>
      <c r="Z80" s="106"/>
      <c r="AA80" s="107"/>
      <c r="AB80" s="107"/>
      <c r="AC80" s="107"/>
      <c r="AD80" s="107"/>
      <c r="AE80" s="54"/>
      <c r="AF80" s="64"/>
      <c r="AG80" s="108"/>
      <c r="AH80" s="108"/>
      <c r="AI80" s="80"/>
      <c r="AJ80" s="99"/>
      <c r="AK80" s="100"/>
      <c r="AL80" s="100"/>
      <c r="AM80" s="100"/>
      <c r="AN80" s="100"/>
      <c r="AO80" s="101"/>
      <c r="AP80" s="102"/>
      <c r="AQ80" s="102"/>
      <c r="AR80" s="102"/>
      <c r="AS80" s="108"/>
      <c r="AT80" s="103"/>
      <c r="AU80" s="104"/>
      <c r="AV80" s="105"/>
      <c r="AW80" s="105"/>
      <c r="AX80" s="103"/>
      <c r="AY80" s="106"/>
      <c r="AZ80" s="107"/>
      <c r="BA80" s="107"/>
      <c r="BB80" s="61"/>
      <c r="BC80" s="141" t="s">
        <v>860</v>
      </c>
      <c r="BD80" s="63"/>
      <c r="BE80" s="95" t="s">
        <v>861</v>
      </c>
      <c r="BF80" s="108"/>
      <c r="BG80" s="108"/>
      <c r="BH80" s="108"/>
      <c r="BI80" s="99"/>
      <c r="BJ80" s="100"/>
      <c r="BK80" s="100"/>
      <c r="BL80" s="100"/>
      <c r="BM80" s="100"/>
      <c r="BN80" s="101"/>
      <c r="BO80" s="102"/>
      <c r="BP80" s="102"/>
      <c r="BQ80" s="102"/>
      <c r="BR80" s="102"/>
      <c r="BS80" s="103"/>
      <c r="BT80" s="104"/>
      <c r="BU80" s="105"/>
      <c r="BV80" s="105"/>
      <c r="BW80" s="103"/>
      <c r="BX80" s="106"/>
      <c r="BY80" s="107"/>
      <c r="BZ80" s="107"/>
      <c r="CA80" s="107"/>
      <c r="CB80" s="107"/>
      <c r="CC80" s="74"/>
    </row>
    <row r="81" spans="2:80" ht="45">
      <c r="B81" s="47" t="s">
        <v>864</v>
      </c>
      <c r="C81" s="48" t="s">
        <v>1320</v>
      </c>
      <c r="D81" s="49" t="s">
        <v>1469</v>
      </c>
      <c r="E81" s="81" t="s">
        <v>1470</v>
      </c>
      <c r="F81" s="71" t="s">
        <v>1567</v>
      </c>
      <c r="G81" s="52" t="s">
        <v>1568</v>
      </c>
      <c r="H81" s="49" t="s">
        <v>33</v>
      </c>
      <c r="I81" s="49" t="s">
        <v>1559</v>
      </c>
      <c r="J81" s="49" t="s">
        <v>1533</v>
      </c>
      <c r="K81" s="99"/>
      <c r="L81" s="100"/>
      <c r="M81" s="100"/>
      <c r="N81" s="100"/>
      <c r="O81" s="100"/>
      <c r="P81" s="101"/>
      <c r="Q81" s="102"/>
      <c r="R81" s="102"/>
      <c r="S81" s="102"/>
      <c r="T81" s="102"/>
      <c r="U81" s="103"/>
      <c r="V81" s="104"/>
      <c r="W81" s="105"/>
      <c r="X81" s="115"/>
      <c r="Y81" s="103"/>
      <c r="Z81" s="106"/>
      <c r="AA81" s="107"/>
      <c r="AB81" s="107"/>
      <c r="AC81" s="107"/>
      <c r="AD81" s="107"/>
      <c r="AE81" s="54"/>
      <c r="AF81" s="64"/>
      <c r="AG81" s="108"/>
      <c r="AH81" s="108"/>
      <c r="AI81" s="80"/>
      <c r="AJ81" s="99"/>
      <c r="AK81" s="100"/>
      <c r="AL81" s="100"/>
      <c r="AM81" s="100"/>
      <c r="AN81" s="100"/>
      <c r="AO81" s="101"/>
      <c r="AP81" s="102"/>
      <c r="AQ81" s="102"/>
      <c r="AR81" s="102"/>
      <c r="AS81" s="108"/>
      <c r="AT81" s="103"/>
      <c r="AU81" s="104"/>
      <c r="AV81" s="105"/>
      <c r="AW81" s="105"/>
      <c r="AX81" s="103"/>
      <c r="AY81" s="106"/>
      <c r="AZ81" s="107"/>
      <c r="BA81" s="107"/>
      <c r="BB81" s="61"/>
      <c r="BC81" s="141" t="s">
        <v>860</v>
      </c>
      <c r="BD81" s="63"/>
      <c r="BE81" s="95" t="s">
        <v>861</v>
      </c>
      <c r="BF81" s="108"/>
      <c r="BG81" s="108"/>
      <c r="BH81" s="108"/>
      <c r="BI81" s="99"/>
      <c r="BJ81" s="100"/>
      <c r="BK81" s="100"/>
      <c r="BL81" s="100"/>
      <c r="BM81" s="100"/>
      <c r="BN81" s="101"/>
      <c r="BO81" s="102"/>
      <c r="BP81" s="102"/>
      <c r="BQ81" s="102"/>
      <c r="BR81" s="102"/>
      <c r="BS81" s="103"/>
      <c r="BT81" s="104"/>
      <c r="BU81" s="105"/>
      <c r="BV81" s="105"/>
      <c r="BW81" s="103"/>
      <c r="BX81" s="106"/>
      <c r="BY81" s="107"/>
      <c r="BZ81" s="107"/>
      <c r="CA81" s="107"/>
      <c r="CB81" s="107"/>
    </row>
    <row r="82" spans="2:80" ht="45">
      <c r="B82" s="47" t="s">
        <v>864</v>
      </c>
      <c r="C82" s="48" t="s">
        <v>1320</v>
      </c>
      <c r="D82" s="49" t="s">
        <v>1600</v>
      </c>
      <c r="E82" s="81" t="s">
        <v>1601</v>
      </c>
      <c r="F82" s="71" t="s">
        <v>1567</v>
      </c>
      <c r="G82" s="52" t="s">
        <v>1568</v>
      </c>
      <c r="H82" s="49" t="s">
        <v>33</v>
      </c>
      <c r="I82" s="49" t="s">
        <v>1559</v>
      </c>
      <c r="J82" s="49" t="s">
        <v>1533</v>
      </c>
      <c r="K82" s="99"/>
      <c r="L82" s="100"/>
      <c r="M82" s="100"/>
      <c r="N82" s="100"/>
      <c r="O82" s="100"/>
      <c r="P82" s="101"/>
      <c r="Q82" s="102"/>
      <c r="R82" s="102"/>
      <c r="S82" s="102"/>
      <c r="T82" s="102"/>
      <c r="U82" s="103"/>
      <c r="V82" s="104"/>
      <c r="W82" s="105"/>
      <c r="X82" s="115"/>
      <c r="Y82" s="103"/>
      <c r="Z82" s="106"/>
      <c r="AA82" s="107"/>
      <c r="AB82" s="107"/>
      <c r="AC82" s="107"/>
      <c r="AD82" s="107"/>
      <c r="AE82" s="54"/>
      <c r="AF82" s="64"/>
      <c r="AG82" s="108"/>
      <c r="AH82" s="108"/>
      <c r="AI82" s="80"/>
      <c r="AJ82" s="99"/>
      <c r="AK82" s="100"/>
      <c r="AL82" s="100"/>
      <c r="AM82" s="100"/>
      <c r="AN82" s="100"/>
      <c r="AO82" s="101"/>
      <c r="AP82" s="102"/>
      <c r="AQ82" s="102"/>
      <c r="AR82" s="102"/>
      <c r="AS82" s="108"/>
      <c r="AT82" s="103"/>
      <c r="AU82" s="104"/>
      <c r="AV82" s="105"/>
      <c r="AW82" s="105"/>
      <c r="AX82" s="103"/>
      <c r="AY82" s="106"/>
      <c r="AZ82" s="107"/>
      <c r="BA82" s="107"/>
      <c r="BB82" s="61"/>
      <c r="BC82" s="141" t="s">
        <v>860</v>
      </c>
      <c r="BD82" s="63"/>
      <c r="BE82" s="95" t="s">
        <v>861</v>
      </c>
      <c r="BF82" s="108"/>
      <c r="BG82" s="108"/>
      <c r="BH82" s="108"/>
      <c r="BI82" s="99"/>
      <c r="BJ82" s="100"/>
      <c r="BK82" s="100"/>
      <c r="BL82" s="100"/>
      <c r="BM82" s="100"/>
      <c r="BN82" s="101"/>
      <c r="BO82" s="102"/>
      <c r="BP82" s="102"/>
      <c r="BQ82" s="102"/>
      <c r="BR82" s="102"/>
      <c r="BS82" s="103"/>
      <c r="BT82" s="104"/>
      <c r="BU82" s="105"/>
      <c r="BV82" s="105"/>
      <c r="BW82" s="103"/>
      <c r="BX82" s="106"/>
      <c r="BY82" s="107"/>
      <c r="BZ82" s="107"/>
      <c r="CA82" s="107"/>
      <c r="CB82" s="107"/>
    </row>
    <row r="83" spans="2:80" ht="45">
      <c r="B83" s="47" t="s">
        <v>864</v>
      </c>
      <c r="C83" s="48" t="s">
        <v>1310</v>
      </c>
      <c r="D83" s="49" t="s">
        <v>1422</v>
      </c>
      <c r="E83" s="70" t="s">
        <v>1423</v>
      </c>
      <c r="F83" s="71" t="s">
        <v>1567</v>
      </c>
      <c r="G83" s="52" t="s">
        <v>1568</v>
      </c>
      <c r="H83" s="49" t="s">
        <v>33</v>
      </c>
      <c r="I83" s="49" t="s">
        <v>1559</v>
      </c>
      <c r="J83" s="49" t="s">
        <v>1533</v>
      </c>
      <c r="K83" s="99"/>
      <c r="L83" s="100"/>
      <c r="M83" s="100"/>
      <c r="N83" s="100"/>
      <c r="O83" s="100"/>
      <c r="P83" s="101"/>
      <c r="Q83" s="102"/>
      <c r="R83" s="102"/>
      <c r="S83" s="102"/>
      <c r="T83" s="102"/>
      <c r="U83" s="103"/>
      <c r="V83" s="104"/>
      <c r="W83" s="105"/>
      <c r="X83" s="115"/>
      <c r="Y83" s="103"/>
      <c r="Z83" s="106"/>
      <c r="AA83" s="107"/>
      <c r="AB83" s="107"/>
      <c r="AC83" s="107"/>
      <c r="AD83" s="107"/>
      <c r="AE83" s="54"/>
      <c r="AF83" s="64"/>
      <c r="AG83" s="108"/>
      <c r="AH83" s="108"/>
      <c r="AI83" s="80"/>
      <c r="AJ83" s="99"/>
      <c r="AK83" s="100"/>
      <c r="AL83" s="100"/>
      <c r="AM83" s="100"/>
      <c r="AN83" s="100"/>
      <c r="AO83" s="101"/>
      <c r="AP83" s="102"/>
      <c r="AQ83" s="102"/>
      <c r="AR83" s="102"/>
      <c r="AS83" s="108"/>
      <c r="AT83" s="103"/>
      <c r="AU83" s="104"/>
      <c r="AV83" s="105"/>
      <c r="AW83" s="105"/>
      <c r="AX83" s="103"/>
      <c r="AY83" s="106"/>
      <c r="AZ83" s="107"/>
      <c r="BA83" s="107"/>
      <c r="BB83" s="61"/>
      <c r="BC83" s="138" t="s">
        <v>860</v>
      </c>
      <c r="BD83" s="63"/>
      <c r="BE83" s="95" t="s">
        <v>861</v>
      </c>
      <c r="BF83" s="108"/>
      <c r="BG83" s="64"/>
      <c r="BH83" s="108"/>
      <c r="BI83" s="99"/>
      <c r="BJ83" s="100"/>
      <c r="BK83" s="100"/>
      <c r="BL83" s="100"/>
      <c r="BM83" s="100"/>
      <c r="BN83" s="101"/>
      <c r="BO83" s="102"/>
      <c r="BP83" s="102"/>
      <c r="BQ83" s="102"/>
      <c r="BR83" s="102"/>
      <c r="BS83" s="103"/>
      <c r="BT83" s="104"/>
      <c r="BU83" s="105"/>
      <c r="BV83" s="105"/>
      <c r="BW83" s="103"/>
      <c r="BX83" s="106"/>
      <c r="BY83" s="107"/>
      <c r="BZ83" s="107"/>
      <c r="CA83" s="107"/>
      <c r="CB83" s="107"/>
    </row>
    <row r="84" spans="2:80" ht="45">
      <c r="B84" s="47" t="s">
        <v>864</v>
      </c>
      <c r="C84" s="48" t="s">
        <v>1059</v>
      </c>
      <c r="D84" s="49" t="s">
        <v>967</v>
      </c>
      <c r="E84" s="81" t="s">
        <v>968</v>
      </c>
      <c r="F84" s="97" t="s">
        <v>1568</v>
      </c>
      <c r="G84" s="98" t="s">
        <v>1602</v>
      </c>
      <c r="H84" s="49" t="s">
        <v>33</v>
      </c>
      <c r="I84" s="49" t="s">
        <v>1559</v>
      </c>
      <c r="J84" s="49" t="s">
        <v>1533</v>
      </c>
      <c r="K84" s="99"/>
      <c r="L84" s="100"/>
      <c r="M84" s="100"/>
      <c r="N84" s="100"/>
      <c r="O84" s="100"/>
      <c r="P84" s="101"/>
      <c r="Q84" s="102"/>
      <c r="R84" s="102"/>
      <c r="S84" s="102"/>
      <c r="T84" s="102"/>
      <c r="U84" s="103"/>
      <c r="V84" s="104"/>
      <c r="W84" s="105"/>
      <c r="X84" s="115"/>
      <c r="Y84" s="103"/>
      <c r="Z84" s="106"/>
      <c r="AA84" s="107"/>
      <c r="AB84" s="107"/>
      <c r="AC84" s="107"/>
      <c r="AD84" s="107"/>
      <c r="AE84" s="54"/>
      <c r="AF84" s="64"/>
      <c r="AG84" s="108"/>
      <c r="AH84" s="108"/>
      <c r="AI84" s="80"/>
      <c r="AJ84" s="99"/>
      <c r="AK84" s="100"/>
      <c r="AL84" s="100"/>
      <c r="AM84" s="100"/>
      <c r="AN84" s="100"/>
      <c r="AO84" s="101"/>
      <c r="AP84" s="102"/>
      <c r="AQ84" s="102"/>
      <c r="AR84" s="102"/>
      <c r="AS84" s="108"/>
      <c r="AT84" s="103"/>
      <c r="AU84" s="104"/>
      <c r="AV84" s="105"/>
      <c r="AW84" s="105"/>
      <c r="AX84" s="106"/>
      <c r="AY84" s="106"/>
      <c r="AZ84" s="64"/>
      <c r="BA84" s="107"/>
      <c r="BB84" s="106"/>
      <c r="BC84" s="107"/>
      <c r="BD84" s="109"/>
      <c r="BE84" s="228" t="s">
        <v>860</v>
      </c>
      <c r="BF84" s="108"/>
      <c r="BG84" s="142" t="s">
        <v>861</v>
      </c>
      <c r="BH84" s="108"/>
      <c r="BI84" s="99"/>
      <c r="BJ84" s="100"/>
      <c r="BK84" s="100"/>
      <c r="BL84" s="100"/>
      <c r="BM84" s="100"/>
      <c r="BN84" s="101"/>
      <c r="BO84" s="102"/>
      <c r="BP84" s="102"/>
      <c r="BQ84" s="102"/>
      <c r="BR84" s="102"/>
      <c r="BS84" s="103"/>
      <c r="BT84" s="104"/>
      <c r="BU84" s="105"/>
      <c r="BV84" s="105"/>
      <c r="BW84" s="103"/>
      <c r="BX84" s="106"/>
      <c r="BY84" s="107"/>
      <c r="BZ84" s="107"/>
      <c r="CA84" s="107"/>
      <c r="CB84" s="107"/>
    </row>
  </sheetData>
  <sheetProtection algorithmName="SHA-512" hashValue="cs0qtiDVLnl8EDSSXB7tmzcAxDjnjWy09jnNdGwYL1EhQ49bMteUxqF8aik1mXdvO9i8LRlrfbBfQAc04hgNvA==" saltValue="MI+dJeeq4NGC1IR6IhiUTw==" spinCount="100000" sheet="1" objects="1" scenarios="1" sort="0" autoFilter="0"/>
  <autoFilter ref="B17:CB84" xr:uid="{4502421D-2F48-47FB-A199-BA13FA50A5F3}">
    <sortState xmlns:xlrd2="http://schemas.microsoft.com/office/spreadsheetml/2017/richdata2" ref="B18:CB84">
      <sortCondition ref="F17:F84"/>
    </sortState>
  </autoFilter>
  <mergeCells count="25">
    <mergeCell ref="CC16:CC17"/>
    <mergeCell ref="AY16:BC16"/>
    <mergeCell ref="BD16:BH16"/>
    <mergeCell ref="BI16:BM16"/>
    <mergeCell ref="BN16:BR16"/>
    <mergeCell ref="BS16:BW16"/>
    <mergeCell ref="BX16:CB16"/>
    <mergeCell ref="AT16:AX16"/>
    <mergeCell ref="E9:J9"/>
    <mergeCell ref="E10:J10"/>
    <mergeCell ref="E11:J11"/>
    <mergeCell ref="E12:J12"/>
    <mergeCell ref="K16:O16"/>
    <mergeCell ref="P16:T16"/>
    <mergeCell ref="U16:Y16"/>
    <mergeCell ref="Z16:AD16"/>
    <mergeCell ref="AE16:AI16"/>
    <mergeCell ref="AJ16:AN16"/>
    <mergeCell ref="AO16:AS16"/>
    <mergeCell ref="E8:J8"/>
    <mergeCell ref="E3:J3"/>
    <mergeCell ref="E4:J4"/>
    <mergeCell ref="E5:J5"/>
    <mergeCell ref="E6:J6"/>
    <mergeCell ref="E7:J7"/>
  </mergeCells>
  <phoneticPr fontId="32" type="noConversion"/>
  <conditionalFormatting sqref="K18:O84 BI18:BM84 AJ23:AN84">
    <cfRule type="expression" dxfId="325" priority="10">
      <formula>(TEXT(TODAY(),"aaaa"))="Thursday"</formula>
    </cfRule>
  </conditionalFormatting>
  <conditionalFormatting sqref="K18:T84">
    <cfRule type="cellIs" dxfId="324" priority="15" operator="equal">
      <formula>"✔"</formula>
    </cfRule>
    <cfRule type="cellIs" dxfId="323" priority="16" operator="equal">
      <formula>"✖"</formula>
    </cfRule>
  </conditionalFormatting>
  <conditionalFormatting sqref="K35:T36 Q18:T18 T25:T34 Q19:S34 K18:O34 T20:T22">
    <cfRule type="iconSet" priority="3044">
      <iconSet iconSet="3Symbols2" showValue="0">
        <cfvo type="percent" val="0"/>
        <cfvo type="percent" val="33"/>
        <cfvo type="percent" val="67"/>
      </iconSet>
    </cfRule>
  </conditionalFormatting>
  <conditionalFormatting sqref="K37:T58">
    <cfRule type="iconSet" priority="434">
      <iconSet iconSet="3Symbols2" showValue="0">
        <cfvo type="percent" val="0"/>
        <cfvo type="percent" val="33"/>
        <cfvo type="percent" val="67"/>
      </iconSet>
    </cfRule>
  </conditionalFormatting>
  <conditionalFormatting sqref="K59:T59">
    <cfRule type="iconSet" priority="84">
      <iconSet iconSet="3Symbols2" showValue="0">
        <cfvo type="percent" val="0"/>
        <cfvo type="percent" val="33"/>
        <cfvo type="percent" val="67"/>
      </iconSet>
    </cfRule>
  </conditionalFormatting>
  <conditionalFormatting sqref="K60:T60">
    <cfRule type="iconSet" priority="76">
      <iconSet iconSet="3Symbols2" showValue="0">
        <cfvo type="percent" val="0"/>
        <cfvo type="percent" val="33"/>
        <cfvo type="percent" val="67"/>
      </iconSet>
    </cfRule>
  </conditionalFormatting>
  <conditionalFormatting sqref="K61:T83">
    <cfRule type="iconSet" priority="68">
      <iconSet iconSet="3Symbols2" showValue="0">
        <cfvo type="percent" val="0"/>
        <cfvo type="percent" val="33"/>
        <cfvo type="percent" val="67"/>
      </iconSet>
    </cfRule>
  </conditionalFormatting>
  <conditionalFormatting sqref="K84:T84">
    <cfRule type="iconSet" priority="14">
      <iconSet iconSet="3Symbols2" showValue="0">
        <cfvo type="percent" val="0"/>
        <cfvo type="percent" val="33"/>
        <cfvo type="percent" val="67"/>
      </iconSet>
    </cfRule>
  </conditionalFormatting>
  <conditionalFormatting sqref="P18">
    <cfRule type="iconSet" priority="394">
      <iconSet iconSet="3Symbols2" showValue="0">
        <cfvo type="percent" val="0"/>
        <cfvo type="percent" val="33"/>
        <cfvo type="percent" val="67"/>
      </iconSet>
    </cfRule>
  </conditionalFormatting>
  <conditionalFormatting sqref="P18:P22">
    <cfRule type="expression" dxfId="322" priority="255">
      <formula>(TEXT(TODAY(),"aaaa"))="Friday"</formula>
    </cfRule>
  </conditionalFormatting>
  <conditionalFormatting sqref="P19">
    <cfRule type="iconSet" priority="264">
      <iconSet iconSet="3Symbols2" showValue="0">
        <cfvo type="percent" val="0"/>
        <cfvo type="percent" val="33"/>
        <cfvo type="percent" val="67"/>
      </iconSet>
    </cfRule>
  </conditionalFormatting>
  <conditionalFormatting sqref="P20">
    <cfRule type="iconSet" priority="256">
      <iconSet iconSet="3Symbols2" showValue="0">
        <cfvo type="percent" val="0"/>
        <cfvo type="percent" val="33"/>
        <cfvo type="percent" val="67"/>
      </iconSet>
    </cfRule>
  </conditionalFormatting>
  <conditionalFormatting sqref="P23">
    <cfRule type="iconSet" priority="379">
      <iconSet iconSet="3Symbols2" showValue="0">
        <cfvo type="percent" val="0"/>
        <cfvo type="percent" val="33"/>
        <cfvo type="percent" val="67"/>
      </iconSet>
    </cfRule>
  </conditionalFormatting>
  <conditionalFormatting sqref="P23:P24">
    <cfRule type="expression" dxfId="321" priority="374">
      <formula>(TEXT(TODAY(),"aaaa"))="Thursday"</formula>
    </cfRule>
  </conditionalFormatting>
  <conditionalFormatting sqref="P24">
    <cfRule type="iconSet" priority="375">
      <iconSet iconSet="3Symbols2" showValue="0">
        <cfvo type="percent" val="0"/>
        <cfvo type="percent" val="33"/>
        <cfvo type="percent" val="67"/>
      </iconSet>
    </cfRule>
  </conditionalFormatting>
  <conditionalFormatting sqref="P25:P34 P21:P22">
    <cfRule type="iconSet" priority="2830">
      <iconSet iconSet="3Symbols2" showValue="0">
        <cfvo type="percent" val="0"/>
        <cfvo type="percent" val="33"/>
        <cfvo type="percent" val="67"/>
      </iconSet>
    </cfRule>
  </conditionalFormatting>
  <conditionalFormatting sqref="Q18:T18 AO18:AS22 Q19:S24 AP23:AS31 AO32:AP32 AR32:AS32 AO33:AS36">
    <cfRule type="expression" dxfId="320" priority="409">
      <formula>(TEXT(TODAY(),"aaaa"))="Friday"</formula>
    </cfRule>
  </conditionalFormatting>
  <conditionalFormatting sqref="T19">
    <cfRule type="iconSet" priority="252">
      <iconSet iconSet="3Symbols2" showValue="0">
        <cfvo type="percent" val="0"/>
        <cfvo type="percent" val="33"/>
        <cfvo type="percent" val="67"/>
      </iconSet>
    </cfRule>
  </conditionalFormatting>
  <conditionalFormatting sqref="T19:T22">
    <cfRule type="expression" dxfId="319" priority="251">
      <formula>(TEXT(TODAY(),"aaaa"))="Friday"</formula>
    </cfRule>
  </conditionalFormatting>
  <conditionalFormatting sqref="T23">
    <cfRule type="iconSet" priority="370">
      <iconSet iconSet="3Symbols2" showValue="0">
        <cfvo type="percent" val="0"/>
        <cfvo type="percent" val="33"/>
        <cfvo type="percent" val="67"/>
      </iconSet>
    </cfRule>
  </conditionalFormatting>
  <conditionalFormatting sqref="T23:T24">
    <cfRule type="expression" dxfId="318" priority="367">
      <formula>(TEXT(TODAY(),"aaaa"))="Wednesday"</formula>
    </cfRule>
  </conditionalFormatting>
  <conditionalFormatting sqref="T24">
    <cfRule type="iconSet" priority="366">
      <iconSet iconSet="3Symbols2" showValue="0">
        <cfvo type="percent" val="0"/>
        <cfvo type="percent" val="33"/>
        <cfvo type="percent" val="67"/>
      </iconSet>
    </cfRule>
  </conditionalFormatting>
  <conditionalFormatting sqref="T33:T35">
    <cfRule type="expression" dxfId="317" priority="398">
      <formula>(TEXT(TODAY(),"aaaa"))="Thursday"</formula>
    </cfRule>
  </conditionalFormatting>
  <conditionalFormatting sqref="U21">
    <cfRule type="iconSet" priority="387">
      <iconSet iconSet="3Symbols2" showValue="0">
        <cfvo type="percent" val="0"/>
        <cfvo type="percent" val="33"/>
        <cfvo type="percent" val="67"/>
      </iconSet>
    </cfRule>
  </conditionalFormatting>
  <conditionalFormatting sqref="U21:U22">
    <cfRule type="expression" dxfId="316" priority="382">
      <formula>(TEXT(TODAY(),"aaaa"))="Thursday"</formula>
    </cfRule>
  </conditionalFormatting>
  <conditionalFormatting sqref="U22">
    <cfRule type="iconSet" priority="383">
      <iconSet iconSet="3Symbols2" showValue="0">
        <cfvo type="percent" val="0"/>
        <cfvo type="percent" val="33"/>
        <cfvo type="percent" val="67"/>
      </iconSet>
    </cfRule>
  </conditionalFormatting>
  <conditionalFormatting sqref="U35">
    <cfRule type="expression" dxfId="315" priority="317">
      <formula>(TEXT(TODAY(),"aaaa"))="Thursday"</formula>
    </cfRule>
    <cfRule type="iconSet" priority="318">
      <iconSet iconSet="3Symbols2" showValue="0">
        <cfvo type="percent" val="0"/>
        <cfvo type="percent" val="33"/>
        <cfvo type="percent" val="67"/>
      </iconSet>
    </cfRule>
  </conditionalFormatting>
  <conditionalFormatting sqref="U18:Y20 AT18:AW57 V21:X22 U23:U33 V32:X33 U34:Y34 V35:X35 U36:W36 Y36">
    <cfRule type="expression" dxfId="314" priority="408">
      <formula>(TEXT(TODAY(),"aaaa"))="Monday"</formula>
    </cfRule>
  </conditionalFormatting>
  <conditionalFormatting sqref="U21:Y35">
    <cfRule type="cellIs" dxfId="313" priority="194" operator="equal">
      <formula>"✖"</formula>
    </cfRule>
    <cfRule type="cellIs" dxfId="312" priority="193" operator="equal">
      <formula>"✔"</formula>
    </cfRule>
  </conditionalFormatting>
  <conditionalFormatting sqref="U37:AA37 AD37 AH37 AT37:AW57 AY57:AZ57 BC37:CB56 U38:AD83 AG38:AH83 AJ37:AO83 AQ37:AR83 AT58:BA83 BF57:CB82 BF83 BH83:CB83 AX37:AY56">
    <cfRule type="iconSet" priority="413">
      <iconSet iconSet="3Symbols2" showValue="0">
        <cfvo type="percent" val="0"/>
        <cfvo type="percent" val="33"/>
        <cfvo type="percent" val="67"/>
      </iconSet>
    </cfRule>
  </conditionalFormatting>
  <conditionalFormatting sqref="U37:AA37">
    <cfRule type="cellIs" dxfId="311" priority="414" operator="equal">
      <formula>"✔"</formula>
    </cfRule>
    <cfRule type="cellIs" dxfId="310" priority="415" operator="equal">
      <formula>"✖"</formula>
    </cfRule>
  </conditionalFormatting>
  <conditionalFormatting sqref="U18:AH20 Z21:AH22 AB23:AN24 U36:W36 Y36:AA36 BB83:BD83">
    <cfRule type="cellIs" dxfId="309" priority="421" operator="equal">
      <formula>"✖"</formula>
    </cfRule>
    <cfRule type="cellIs" dxfId="308" priority="420" operator="equal">
      <formula>"✔"</formula>
    </cfRule>
  </conditionalFormatting>
  <conditionalFormatting sqref="V23">
    <cfRule type="iconSet" priority="244">
      <iconSet iconSet="3Symbols2" showValue="0">
        <cfvo type="percent" val="0"/>
        <cfvo type="percent" val="33"/>
        <cfvo type="percent" val="67"/>
      </iconSet>
    </cfRule>
  </conditionalFormatting>
  <conditionalFormatting sqref="V24">
    <cfRule type="iconSet" priority="240">
      <iconSet iconSet="3Symbols2" showValue="0">
        <cfvo type="percent" val="0"/>
        <cfvo type="percent" val="33"/>
        <cfvo type="percent" val="67"/>
      </iconSet>
    </cfRule>
  </conditionalFormatting>
  <conditionalFormatting sqref="V25">
    <cfRule type="iconSet" priority="224">
      <iconSet iconSet="3Symbols2" showValue="0">
        <cfvo type="percent" val="0"/>
        <cfvo type="percent" val="33"/>
        <cfvo type="percent" val="67"/>
      </iconSet>
    </cfRule>
  </conditionalFormatting>
  <conditionalFormatting sqref="V26">
    <cfRule type="iconSet" priority="220">
      <iconSet iconSet="3Symbols2" showValue="0">
        <cfvo type="percent" val="0"/>
        <cfvo type="percent" val="33"/>
        <cfvo type="percent" val="67"/>
      </iconSet>
    </cfRule>
  </conditionalFormatting>
  <conditionalFormatting sqref="V27">
    <cfRule type="iconSet" priority="216">
      <iconSet iconSet="3Symbols2" showValue="0">
        <cfvo type="percent" val="0"/>
        <cfvo type="percent" val="33"/>
        <cfvo type="percent" val="67"/>
      </iconSet>
    </cfRule>
  </conditionalFormatting>
  <conditionalFormatting sqref="V28">
    <cfRule type="iconSet" priority="212">
      <iconSet iconSet="3Symbols2" showValue="0">
        <cfvo type="percent" val="0"/>
        <cfvo type="percent" val="33"/>
        <cfvo type="percent" val="67"/>
      </iconSet>
    </cfRule>
  </conditionalFormatting>
  <conditionalFormatting sqref="V29">
    <cfRule type="iconSet" priority="208">
      <iconSet iconSet="3Symbols2" showValue="0">
        <cfvo type="percent" val="0"/>
        <cfvo type="percent" val="33"/>
        <cfvo type="percent" val="67"/>
      </iconSet>
    </cfRule>
  </conditionalFormatting>
  <conditionalFormatting sqref="V30">
    <cfRule type="iconSet" priority="204">
      <iconSet iconSet="3Symbols2" showValue="0">
        <cfvo type="percent" val="0"/>
        <cfvo type="percent" val="33"/>
        <cfvo type="percent" val="67"/>
      </iconSet>
    </cfRule>
  </conditionalFormatting>
  <conditionalFormatting sqref="V31">
    <cfRule type="iconSet" priority="196">
      <iconSet iconSet="3Symbols2" showValue="0">
        <cfvo type="percent" val="0"/>
        <cfvo type="percent" val="33"/>
        <cfvo type="percent" val="67"/>
      </iconSet>
    </cfRule>
  </conditionalFormatting>
  <conditionalFormatting sqref="V23:Y31">
    <cfRule type="expression" dxfId="307" priority="195">
      <formula>(TEXT(TODAY(),"aaaa"))="Monday"</formula>
    </cfRule>
  </conditionalFormatting>
  <conditionalFormatting sqref="Y21">
    <cfRule type="expression" dxfId="306" priority="363">
      <formula>(TEXT(TODAY(),"aaaa"))="Wednesday"</formula>
    </cfRule>
    <cfRule type="iconSet" priority="362">
      <iconSet iconSet="3Symbols2" showValue="0">
        <cfvo type="percent" val="0"/>
        <cfvo type="percent" val="33"/>
        <cfvo type="percent" val="67"/>
      </iconSet>
    </cfRule>
  </conditionalFormatting>
  <conditionalFormatting sqref="Y22">
    <cfRule type="expression" dxfId="305" priority="286">
      <formula>(TEXT(TODAY(),"aaaa"))="Monday"</formula>
    </cfRule>
    <cfRule type="iconSet" priority="285">
      <iconSet iconSet="3Symbols2" showValue="0">
        <cfvo type="percent" val="0"/>
        <cfvo type="percent" val="33"/>
        <cfvo type="percent" val="67"/>
      </iconSet>
    </cfRule>
  </conditionalFormatting>
  <conditionalFormatting sqref="Y23:Y31">
    <cfRule type="iconSet" priority="2587">
      <iconSet iconSet="3Symbols2" showValue="0">
        <cfvo type="percent" val="0"/>
        <cfvo type="percent" val="33"/>
        <cfvo type="percent" val="67"/>
      </iconSet>
    </cfRule>
  </conditionalFormatting>
  <conditionalFormatting sqref="Y32">
    <cfRule type="expression" dxfId="304" priority="191">
      <formula>(TEXT(TODAY(),"aaaa"))="Monday"</formula>
    </cfRule>
    <cfRule type="iconSet" priority="192">
      <iconSet iconSet="3Symbols2" showValue="0">
        <cfvo type="percent" val="0"/>
        <cfvo type="percent" val="33"/>
        <cfvo type="percent" val="67"/>
      </iconSet>
    </cfRule>
  </conditionalFormatting>
  <conditionalFormatting sqref="Y33">
    <cfRule type="iconSet" priority="314">
      <iconSet iconSet="3Symbols2" showValue="0">
        <cfvo type="percent" val="0"/>
        <cfvo type="percent" val="33"/>
        <cfvo type="percent" val="67"/>
      </iconSet>
    </cfRule>
    <cfRule type="expression" dxfId="303" priority="313">
      <formula>(TEXT(TODAY(),"aaaa"))="Thursday"</formula>
    </cfRule>
  </conditionalFormatting>
  <conditionalFormatting sqref="Y35">
    <cfRule type="expression" dxfId="302" priority="327">
      <formula>(TEXT(TODAY(),"aaaa"))="Wednesday"</formula>
    </cfRule>
    <cfRule type="iconSet" priority="326">
      <iconSet iconSet="3Symbols2" showValue="0">
        <cfvo type="percent" val="0"/>
        <cfvo type="percent" val="33"/>
        <cfvo type="percent" val="67"/>
      </iconSet>
    </cfRule>
  </conditionalFormatting>
  <conditionalFormatting sqref="Y36:AA36 U34:Y34 U36:W36 AC25:AE27 AG25:AN27 V35:X35 V21:X22 Z32:AA32 Z34:AA35 W23:X31 V32:X33 U23:U33 Z23:Z31 AF32:AP32 Z33 AD32:AD33 AC34 AE37:AF37 AC35:AW36 AJ18 AL18:AW18 U18:AH20 Z21:AH22 AN19:AW22 AJ19:AL22 AB23:AN24 AC28:AN31 AP23:AW31 AR32:AW32 AE33:AW34 BB18:BB36 BB83:BD83 BD18:CB36 BB57:BB82 BD57:BE82 AF38:AF84">
    <cfRule type="iconSet" priority="419">
      <iconSet iconSet="3Symbols2" showValue="0">
        <cfvo type="percent" val="0"/>
        <cfvo type="percent" val="33"/>
        <cfvo type="percent" val="67"/>
      </iconSet>
    </cfRule>
  </conditionalFormatting>
  <conditionalFormatting sqref="Z23:AA35">
    <cfRule type="cellIs" dxfId="301" priority="181" operator="equal">
      <formula>"✔"</formula>
    </cfRule>
    <cfRule type="cellIs" dxfId="300" priority="182" operator="equal">
      <formula>"✖"</formula>
    </cfRule>
  </conditionalFormatting>
  <conditionalFormatting sqref="Z34:AA37 AD37">
    <cfRule type="expression" dxfId="299" priority="406">
      <formula>(TEXT(TODAY(),"aaaa"))="Tuesday"</formula>
    </cfRule>
  </conditionalFormatting>
  <conditionalFormatting sqref="Z18:AD22 AY18:BB36 AB23:AD24 AA23:AA30 Z23:Z31 AC25:AD31 Z32:AA32 AD32:AD33 Z33 AB34:AC34 AC35:AD36 AX37:AY56 BC37:BC56 AY57:AZ57 AY58:BA83 BB83:BC83">
    <cfRule type="expression" dxfId="298" priority="410">
      <formula>(TEXT(TODAY(),"aaaa"))="Tuesday"</formula>
    </cfRule>
  </conditionalFormatting>
  <conditionalFormatting sqref="Z38:AD84">
    <cfRule type="expression" dxfId="297" priority="5">
      <formula>(TEXT(TODAY(),"aaaa"))="Tuesday"</formula>
    </cfRule>
  </conditionalFormatting>
  <conditionalFormatting sqref="AA23:AA30">
    <cfRule type="iconSet" priority="2593">
      <iconSet iconSet="3Symbols2" showValue="0">
        <cfvo type="percent" val="0"/>
        <cfvo type="percent" val="33"/>
        <cfvo type="percent" val="67"/>
      </iconSet>
    </cfRule>
  </conditionalFormatting>
  <conditionalFormatting sqref="AA31">
    <cfRule type="expression" dxfId="296" priority="183">
      <formula>(TEXT(TODAY(),"aaaa"))="Thursday"</formula>
    </cfRule>
    <cfRule type="iconSet" priority="184">
      <iconSet iconSet="3Symbols2" showValue="0">
        <cfvo type="percent" val="0"/>
        <cfvo type="percent" val="33"/>
        <cfvo type="percent" val="67"/>
      </iconSet>
    </cfRule>
  </conditionalFormatting>
  <conditionalFormatting sqref="AA33">
    <cfRule type="iconSet" priority="180">
      <iconSet iconSet="3Symbols2" showValue="0">
        <cfvo type="percent" val="0"/>
        <cfvo type="percent" val="33"/>
        <cfvo type="percent" val="67"/>
      </iconSet>
    </cfRule>
    <cfRule type="expression" dxfId="295" priority="179">
      <formula>(TEXT(TODAY(),"aaaa"))="Thursday"</formula>
    </cfRule>
  </conditionalFormatting>
  <conditionalFormatting sqref="AB25">
    <cfRule type="iconSet" priority="359">
      <iconSet iconSet="3Symbols2" showValue="0">
        <cfvo type="percent" val="0"/>
        <cfvo type="percent" val="33"/>
        <cfvo type="percent" val="67"/>
      </iconSet>
    </cfRule>
  </conditionalFormatting>
  <conditionalFormatting sqref="AB25:AB33">
    <cfRule type="expression" dxfId="294" priority="354">
      <formula>(TEXT(TODAY(),"aaaa"))="Thursday"</formula>
    </cfRule>
  </conditionalFormatting>
  <conditionalFormatting sqref="AB25:AB37">
    <cfRule type="cellIs" dxfId="293" priority="158" operator="equal">
      <formula>"✖"</formula>
    </cfRule>
    <cfRule type="cellIs" dxfId="292" priority="157" operator="equal">
      <formula>"✔"</formula>
    </cfRule>
  </conditionalFormatting>
  <conditionalFormatting sqref="AB26">
    <cfRule type="iconSet" priority="355">
      <iconSet iconSet="3Symbols2" showValue="0">
        <cfvo type="percent" val="0"/>
        <cfvo type="percent" val="33"/>
        <cfvo type="percent" val="67"/>
      </iconSet>
    </cfRule>
  </conditionalFormatting>
  <conditionalFormatting sqref="AB27:AB33">
    <cfRule type="iconSet" priority="2360">
      <iconSet iconSet="3Symbols2" showValue="0">
        <cfvo type="percent" val="0"/>
        <cfvo type="percent" val="33"/>
        <cfvo type="percent" val="67"/>
      </iconSet>
    </cfRule>
  </conditionalFormatting>
  <conditionalFormatting sqref="AB34">
    <cfRule type="iconSet" priority="2827">
      <iconSet iconSet="3Symbols2" showValue="0">
        <cfvo type="percent" val="0"/>
        <cfvo type="percent" val="33"/>
        <cfvo type="percent" val="67"/>
      </iconSet>
    </cfRule>
  </conditionalFormatting>
  <conditionalFormatting sqref="AB35">
    <cfRule type="iconSet" priority="164">
      <iconSet iconSet="3Symbols2" showValue="0">
        <cfvo type="percent" val="0"/>
        <cfvo type="percent" val="33"/>
        <cfvo type="percent" val="67"/>
      </iconSet>
    </cfRule>
  </conditionalFormatting>
  <conditionalFormatting sqref="AB35:AB37">
    <cfRule type="expression" dxfId="291" priority="155">
      <formula>(TEXT(TODAY(),"aaaa"))="Thursday"</formula>
    </cfRule>
  </conditionalFormatting>
  <conditionalFormatting sqref="AB36">
    <cfRule type="iconSet" priority="160">
      <iconSet iconSet="3Symbols2" showValue="0">
        <cfvo type="percent" val="0"/>
        <cfvo type="percent" val="33"/>
        <cfvo type="percent" val="67"/>
      </iconSet>
    </cfRule>
  </conditionalFormatting>
  <conditionalFormatting sqref="AB37">
    <cfRule type="iconSet" priority="156">
      <iconSet iconSet="3Symbols2" showValue="0">
        <cfvo type="percent" val="0"/>
        <cfvo type="percent" val="33"/>
        <cfvo type="percent" val="67"/>
      </iconSet>
    </cfRule>
  </conditionalFormatting>
  <conditionalFormatting sqref="AC32">
    <cfRule type="iconSet" priority="176">
      <iconSet iconSet="3Symbols2" showValue="0">
        <cfvo type="percent" val="0"/>
        <cfvo type="percent" val="33"/>
        <cfvo type="percent" val="67"/>
      </iconSet>
    </cfRule>
    <cfRule type="expression" dxfId="290" priority="175">
      <formula>(TEXT(TODAY(),"aaaa"))="Thursday"</formula>
    </cfRule>
  </conditionalFormatting>
  <conditionalFormatting sqref="AC33">
    <cfRule type="iconSet" priority="297">
      <iconSet iconSet="3Symbols2" showValue="0">
        <cfvo type="percent" val="0"/>
        <cfvo type="percent" val="33"/>
        <cfvo type="percent" val="67"/>
      </iconSet>
    </cfRule>
    <cfRule type="expression" dxfId="289" priority="298">
      <formula>(TEXT(TODAY(),"aaaa"))="Wednesday"</formula>
    </cfRule>
  </conditionalFormatting>
  <conditionalFormatting sqref="AC37">
    <cfRule type="expression" dxfId="288" priority="289">
      <formula>(TEXT(TODAY(),"aaaa"))="Thursday"</formula>
    </cfRule>
    <cfRule type="iconSet" priority="290">
      <iconSet iconSet="3Symbols2" showValue="0">
        <cfvo type="percent" val="0"/>
        <cfvo type="percent" val="33"/>
        <cfvo type="percent" val="67"/>
      </iconSet>
    </cfRule>
  </conditionalFormatting>
  <conditionalFormatting sqref="AC37:AH37">
    <cfRule type="cellIs" dxfId="287" priority="291" operator="equal">
      <formula>"✔"</formula>
    </cfRule>
    <cfRule type="cellIs" dxfId="286" priority="292" operator="equal">
      <formula>"✖"</formula>
    </cfRule>
  </conditionalFormatting>
  <conditionalFormatting sqref="AC25:AN31">
    <cfRule type="cellIs" dxfId="285" priority="337" operator="equal">
      <formula>"✖"</formula>
    </cfRule>
    <cfRule type="cellIs" dxfId="284" priority="336" operator="equal">
      <formula>"✔"</formula>
    </cfRule>
  </conditionalFormatting>
  <conditionalFormatting sqref="AC32:AW36">
    <cfRule type="cellIs" dxfId="283" priority="113" operator="equal">
      <formula>"✔"</formula>
    </cfRule>
    <cfRule type="cellIs" dxfId="282" priority="114" operator="equal">
      <formula>"✖"</formula>
    </cfRule>
  </conditionalFormatting>
  <conditionalFormatting sqref="AD34">
    <cfRule type="iconSet" priority="152">
      <iconSet iconSet="3Symbols2" showValue="0">
        <cfvo type="percent" val="0"/>
        <cfvo type="percent" val="33"/>
        <cfvo type="percent" val="67"/>
      </iconSet>
    </cfRule>
    <cfRule type="expression" dxfId="281" priority="151">
      <formula>(TEXT(TODAY(),"aaaa"))="Thursday"</formula>
    </cfRule>
  </conditionalFormatting>
  <conditionalFormatting sqref="AE32">
    <cfRule type="iconSet" priority="278">
      <iconSet iconSet="3Symbols2" showValue="0">
        <cfvo type="percent" val="0"/>
        <cfvo type="percent" val="33"/>
        <cfvo type="percent" val="67"/>
      </iconSet>
    </cfRule>
    <cfRule type="expression" dxfId="280" priority="277">
      <formula>(TEXT(TODAY(),"aaaa"))="Thursday"</formula>
    </cfRule>
  </conditionalFormatting>
  <conditionalFormatting sqref="AE38:AE84">
    <cfRule type="iconSet" priority="416">
      <iconSet iconSet="3Symbols2" showValue="0">
        <cfvo type="percent" val="0"/>
        <cfvo type="percent" val="33"/>
        <cfvo type="percent" val="67"/>
      </iconSet>
    </cfRule>
    <cfRule type="expression" dxfId="279" priority="325">
      <formula>(TEXT(TODAY(),"aaaa"))="Thursday"</formula>
    </cfRule>
  </conditionalFormatting>
  <conditionalFormatting sqref="AE18:AI31">
    <cfRule type="expression" dxfId="278" priority="335">
      <formula>(TEXT(TODAY(),"aaaa"))="Wednesday"</formula>
    </cfRule>
  </conditionalFormatting>
  <conditionalFormatting sqref="AE33:AI37">
    <cfRule type="expression" dxfId="277" priority="310">
      <formula>(TEXT(TODAY(),"aaaa"))="Wednesday"</formula>
    </cfRule>
  </conditionalFormatting>
  <conditionalFormatting sqref="AF25">
    <cfRule type="iconSet" priority="342">
      <iconSet iconSet="3Symbols2" showValue="0">
        <cfvo type="percent" val="0"/>
        <cfvo type="percent" val="33"/>
        <cfvo type="percent" val="67"/>
      </iconSet>
    </cfRule>
  </conditionalFormatting>
  <conditionalFormatting sqref="AF26">
    <cfRule type="iconSet" priority="338">
      <iconSet iconSet="3Symbols2" showValue="0">
        <cfvo type="percent" val="0"/>
        <cfvo type="percent" val="33"/>
        <cfvo type="percent" val="67"/>
      </iconSet>
    </cfRule>
  </conditionalFormatting>
  <conditionalFormatting sqref="AF27">
    <cfRule type="iconSet" priority="334">
      <iconSet iconSet="3Symbols2" showValue="0">
        <cfvo type="percent" val="0"/>
        <cfvo type="percent" val="33"/>
        <cfvo type="percent" val="67"/>
      </iconSet>
    </cfRule>
  </conditionalFormatting>
  <conditionalFormatting sqref="AF38:AI84 BD83:BH84">
    <cfRule type="expression" dxfId="276" priority="9">
      <formula>(TEXT(TODAY(),"aaaa"))="Wednesday"</formula>
    </cfRule>
  </conditionalFormatting>
  <conditionalFormatting sqref="AG37">
    <cfRule type="iconSet" priority="309">
      <iconSet iconSet="3Symbols2" showValue="0">
        <cfvo type="percent" val="0"/>
        <cfvo type="percent" val="33"/>
        <cfvo type="percent" val="67"/>
      </iconSet>
    </cfRule>
  </conditionalFormatting>
  <conditionalFormatting sqref="AI18:AI22">
    <cfRule type="iconSet" priority="2016">
      <iconSet iconSet="3Symbols2" showValue="0">
        <cfvo type="percent" val="0"/>
        <cfvo type="percent" val="33"/>
        <cfvo type="percent" val="67"/>
      </iconSet>
    </cfRule>
  </conditionalFormatting>
  <conditionalFormatting sqref="AI37">
    <cfRule type="iconSet" priority="428">
      <iconSet iconSet="3Symbols2" showValue="0">
        <cfvo type="percent" val="0"/>
        <cfvo type="percent" val="33"/>
        <cfvo type="percent" val="67"/>
      </iconSet>
    </cfRule>
  </conditionalFormatting>
  <conditionalFormatting sqref="AI38:AI84">
    <cfRule type="iconSet" priority="422">
      <iconSet iconSet="3Symbols2" showValue="0">
        <cfvo type="percent" val="0"/>
        <cfvo type="percent" val="33"/>
        <cfvo type="percent" val="67"/>
      </iconSet>
    </cfRule>
  </conditionalFormatting>
  <conditionalFormatting sqref="AI37:AS84 U38:AH84 AT84:CB84">
    <cfRule type="cellIs" dxfId="275" priority="12" operator="equal">
      <formula>"✔"</formula>
    </cfRule>
    <cfRule type="cellIs" dxfId="274" priority="13" operator="equal">
      <formula>"✖"</formula>
    </cfRule>
  </conditionalFormatting>
  <conditionalFormatting sqref="AI18:AW22">
    <cfRule type="cellIs" dxfId="273" priority="142" operator="equal">
      <formula>"✖"</formula>
    </cfRule>
    <cfRule type="cellIs" dxfId="272" priority="141" operator="equal">
      <formula>"✔"</formula>
    </cfRule>
  </conditionalFormatting>
  <conditionalFormatting sqref="AJ18 AL18:AN18 AJ19:AL22 AN19:AN22">
    <cfRule type="expression" dxfId="271" priority="412">
      <formula>(TEXT(TODAY(),"aaaa"))="Thursday"</formula>
    </cfRule>
  </conditionalFormatting>
  <conditionalFormatting sqref="AK18">
    <cfRule type="expression" dxfId="270" priority="140">
      <formula>(TEXT(TODAY(),"aaaa"))="Wednesday"</formula>
    </cfRule>
    <cfRule type="iconSet" priority="139">
      <iconSet iconSet="3Symbols2" showValue="0">
        <cfvo type="percent" val="0"/>
        <cfvo type="percent" val="33"/>
        <cfvo type="percent" val="67"/>
      </iconSet>
    </cfRule>
  </conditionalFormatting>
  <conditionalFormatting sqref="AM19:AM22">
    <cfRule type="iconSet" priority="2024">
      <iconSet iconSet="3Symbols2" showValue="0">
        <cfvo type="percent" val="0"/>
        <cfvo type="percent" val="33"/>
        <cfvo type="percent" val="67"/>
      </iconSet>
    </cfRule>
  </conditionalFormatting>
  <conditionalFormatting sqref="AO23">
    <cfRule type="iconSet" priority="131">
      <iconSet iconSet="3Symbols2" showValue="0">
        <cfvo type="percent" val="0"/>
        <cfvo type="percent" val="33"/>
        <cfvo type="percent" val="67"/>
      </iconSet>
    </cfRule>
  </conditionalFormatting>
  <conditionalFormatting sqref="AO23:AO31">
    <cfRule type="expression" dxfId="269" priority="128">
      <formula>(TEXT(TODAY(),"aaaa"))="Wednesday"</formula>
    </cfRule>
  </conditionalFormatting>
  <conditionalFormatting sqref="AO24">
    <cfRule type="iconSet" priority="127">
      <iconSet iconSet="3Symbols2" showValue="0">
        <cfvo type="percent" val="0"/>
        <cfvo type="percent" val="33"/>
        <cfvo type="percent" val="67"/>
      </iconSet>
    </cfRule>
  </conditionalFormatting>
  <conditionalFormatting sqref="AO25:AO31">
    <cfRule type="iconSet" priority="2596">
      <iconSet iconSet="3Symbols2" showValue="0">
        <cfvo type="percent" val="0"/>
        <cfvo type="percent" val="33"/>
        <cfvo type="percent" val="67"/>
      </iconSet>
    </cfRule>
  </conditionalFormatting>
  <conditionalFormatting sqref="AO37:AR84">
    <cfRule type="expression" dxfId="268" priority="147">
      <formula>(TEXT(TODAY(),"aaaa"))="Friday"</formula>
    </cfRule>
  </conditionalFormatting>
  <conditionalFormatting sqref="AO23:AW31">
    <cfRule type="cellIs" dxfId="267" priority="129" operator="equal">
      <formula>"✔"</formula>
    </cfRule>
    <cfRule type="cellIs" dxfId="266" priority="130" operator="equal">
      <formula>"✖"</formula>
    </cfRule>
  </conditionalFormatting>
  <conditionalFormatting sqref="AP37">
    <cfRule type="iconSet" priority="305">
      <iconSet iconSet="3Symbols2" showValue="0">
        <cfvo type="percent" val="0"/>
        <cfvo type="percent" val="33"/>
        <cfvo type="percent" val="67"/>
      </iconSet>
    </cfRule>
  </conditionalFormatting>
  <conditionalFormatting sqref="AP38:AP84">
    <cfRule type="iconSet" priority="148">
      <iconSet iconSet="3Symbols2" showValue="0">
        <cfvo type="percent" val="0"/>
        <cfvo type="percent" val="33"/>
        <cfvo type="percent" val="67"/>
      </iconSet>
    </cfRule>
  </conditionalFormatting>
  <conditionalFormatting sqref="AQ32">
    <cfRule type="iconSet" priority="111">
      <iconSet iconSet="3Symbols2" showValue="0">
        <cfvo type="percent" val="0"/>
        <cfvo type="percent" val="33"/>
        <cfvo type="percent" val="67"/>
      </iconSet>
    </cfRule>
    <cfRule type="expression" dxfId="265" priority="112">
      <formula>(TEXT(TODAY(),"aaaa"))="Wednesday"</formula>
    </cfRule>
  </conditionalFormatting>
  <conditionalFormatting sqref="AS37">
    <cfRule type="expression" dxfId="264" priority="302">
      <formula>(TEXT(TODAY(),"aaaa"))="Friday"</formula>
    </cfRule>
    <cfRule type="iconSet" priority="301">
      <iconSet iconSet="3Symbols2" showValue="0">
        <cfvo type="percent" val="0"/>
        <cfvo type="percent" val="33"/>
        <cfvo type="percent" val="67"/>
      </iconSet>
    </cfRule>
  </conditionalFormatting>
  <conditionalFormatting sqref="AS38:AS84">
    <cfRule type="expression" dxfId="263" priority="269">
      <formula>(TEXT(TODAY(),"aaaa"))="Wednesday"</formula>
    </cfRule>
    <cfRule type="iconSet" priority="268">
      <iconSet iconSet="3Symbols2" showValue="0">
        <cfvo type="percent" val="0"/>
        <cfvo type="percent" val="33"/>
        <cfvo type="percent" val="67"/>
      </iconSet>
    </cfRule>
  </conditionalFormatting>
  <conditionalFormatting sqref="AT58:AX83">
    <cfRule type="expression" dxfId="262" priority="64">
      <formula>(TEXT(TODAY(),"aaaa"))="Monday"</formula>
    </cfRule>
  </conditionalFormatting>
  <conditionalFormatting sqref="AT37:BA83">
    <cfRule type="cellIs" dxfId="261" priority="20" operator="equal">
      <formula>"✖"</formula>
    </cfRule>
    <cfRule type="cellIs" dxfId="260" priority="19" operator="equal">
      <formula>"✔"</formula>
    </cfRule>
  </conditionalFormatting>
  <conditionalFormatting sqref="AX18:AX36">
    <cfRule type="expression" dxfId="259" priority="37">
      <formula>(TEXT(TODAY(),"aaaa"))="Monday"</formula>
    </cfRule>
  </conditionalFormatting>
  <conditionalFormatting sqref="AX57">
    <cfRule type="iconSet" priority="3062">
      <iconSet iconSet="3Symbols2" showValue="0">
        <cfvo type="percent" val="0"/>
        <cfvo type="percent" val="33"/>
        <cfvo type="percent" val="67"/>
      </iconSet>
    </cfRule>
  </conditionalFormatting>
  <conditionalFormatting sqref="AX18:BA36">
    <cfRule type="cellIs" dxfId="258" priority="40" operator="equal">
      <formula>"✖"</formula>
    </cfRule>
    <cfRule type="cellIs" dxfId="257" priority="39" operator="equal">
      <formula>"✔"</formula>
    </cfRule>
    <cfRule type="iconSet" priority="38">
      <iconSet iconSet="3Symbols2" showValue="0">
        <cfvo type="percent" val="0"/>
        <cfvo type="percent" val="33"/>
        <cfvo type="percent" val="67"/>
      </iconSet>
    </cfRule>
  </conditionalFormatting>
  <conditionalFormatting sqref="AZ37:AZ56 AZ84">
    <cfRule type="expression" dxfId="256" priority="21">
      <formula>(TEXT(TODAY(),"aaaa"))="Wednesday"</formula>
    </cfRule>
    <cfRule type="iconSet" priority="22">
      <iconSet iconSet="3Symbols2" showValue="0">
        <cfvo type="percent" val="0"/>
        <cfvo type="percent" val="33"/>
        <cfvo type="percent" val="67"/>
      </iconSet>
    </cfRule>
  </conditionalFormatting>
  <conditionalFormatting sqref="BA37:BA56 BA84">
    <cfRule type="iconSet" priority="18">
      <iconSet iconSet="3Symbols2" showValue="0">
        <cfvo type="percent" val="0"/>
        <cfvo type="percent" val="33"/>
        <cfvo type="percent" val="67"/>
      </iconSet>
    </cfRule>
  </conditionalFormatting>
  <conditionalFormatting sqref="BA37:BA56">
    <cfRule type="expression" dxfId="255" priority="17">
      <formula>(TEXT(TODAY(),"aaaa"))="Tuesday"</formula>
    </cfRule>
  </conditionalFormatting>
  <conditionalFormatting sqref="BA57">
    <cfRule type="iconSet" priority="3068">
      <iconSet iconSet="3Symbols2" showValue="0">
        <cfvo type="percent" val="0"/>
        <cfvo type="percent" val="33"/>
        <cfvo type="percent" val="67"/>
      </iconSet>
    </cfRule>
  </conditionalFormatting>
  <conditionalFormatting sqref="BB37:BB56 BB84">
    <cfRule type="iconSet" priority="49">
      <iconSet iconSet="3Symbols2" showValue="0">
        <cfvo type="percent" val="0"/>
        <cfvo type="percent" val="33"/>
        <cfvo type="percent" val="67"/>
      </iconSet>
    </cfRule>
  </conditionalFormatting>
  <conditionalFormatting sqref="BB37:BB82">
    <cfRule type="expression" dxfId="254" priority="48">
      <formula>(TEXT(TODAY(),"aaaa"))="Tuesday"</formula>
    </cfRule>
  </conditionalFormatting>
  <conditionalFormatting sqref="BB18:CB82">
    <cfRule type="cellIs" dxfId="253" priority="42" operator="equal">
      <formula>"✔"</formula>
    </cfRule>
    <cfRule type="cellIs" dxfId="252" priority="43" operator="equal">
      <formula>"✖"</formula>
    </cfRule>
  </conditionalFormatting>
  <conditionalFormatting sqref="BC18:BC36 BC57:BC82">
    <cfRule type="iconSet" priority="45">
      <iconSet iconSet="3Symbols2" showValue="0">
        <cfvo type="percent" val="0"/>
        <cfvo type="percent" val="33"/>
        <cfvo type="percent" val="67"/>
      </iconSet>
    </cfRule>
  </conditionalFormatting>
  <conditionalFormatting sqref="BC18:BC36 BC57:BH82">
    <cfRule type="expression" dxfId="251" priority="44">
      <formula>(TEXT(TODAY(),"aaaa"))="Wednesday"</formula>
    </cfRule>
  </conditionalFormatting>
  <conditionalFormatting sqref="BC84:CB84 U84:AD84 AG84:AH84 AJ84:AO84 AQ84:AR84 AT84:AY84">
    <cfRule type="iconSet" priority="11">
      <iconSet iconSet="3Symbols2" showValue="0">
        <cfvo type="percent" val="0"/>
        <cfvo type="percent" val="33"/>
        <cfvo type="percent" val="67"/>
      </iconSet>
    </cfRule>
  </conditionalFormatting>
  <conditionalFormatting sqref="BD37">
    <cfRule type="cellIs" dxfId="250" priority="58" operator="equal">
      <formula>"✖"</formula>
    </cfRule>
    <cfRule type="cellIs" dxfId="249" priority="57" operator="equal">
      <formula>"✔"</formula>
    </cfRule>
    <cfRule type="iconSet" priority="56">
      <iconSet iconSet="3Symbols2" showValue="0">
        <cfvo type="percent" val="0"/>
        <cfvo type="percent" val="33"/>
        <cfvo type="percent" val="67"/>
      </iconSet>
    </cfRule>
  </conditionalFormatting>
  <conditionalFormatting sqref="BD18:BH56 AM19:AM22 AF32:AI32 AX57 BA57">
    <cfRule type="expression" dxfId="248" priority="411">
      <formula>(TEXT(TODAY(),"aaaa"))="Wednesday"</formula>
    </cfRule>
  </conditionalFormatting>
  <conditionalFormatting sqref="BE18:BE36 BE57:BE82">
    <cfRule type="iconSet" priority="41">
      <iconSet iconSet="3Symbols2" showValue="0">
        <cfvo type="percent" val="0"/>
        <cfvo type="percent" val="33"/>
        <cfvo type="percent" val="67"/>
      </iconSet>
    </cfRule>
  </conditionalFormatting>
  <conditionalFormatting sqref="BE57:BE83">
    <cfRule type="cellIs" dxfId="247" priority="36" operator="equal">
      <formula>"✖"</formula>
    </cfRule>
    <cfRule type="cellIs" dxfId="246" priority="35" operator="equal">
      <formula>"✔"</formula>
    </cfRule>
  </conditionalFormatting>
  <conditionalFormatting sqref="BE83">
    <cfRule type="iconSet" priority="34">
      <iconSet iconSet="3Symbols2" showValue="0">
        <cfvo type="percent" val="0"/>
        <cfvo type="percent" val="33"/>
        <cfvo type="percent" val="67"/>
      </iconSet>
    </cfRule>
  </conditionalFormatting>
  <conditionalFormatting sqref="BF83:CB83">
    <cfRule type="cellIs" dxfId="245" priority="28" operator="equal">
      <formula>"✖"</formula>
    </cfRule>
    <cfRule type="cellIs" dxfId="244" priority="27" operator="equal">
      <formula>"✔"</formula>
    </cfRule>
  </conditionalFormatting>
  <conditionalFormatting sqref="BG83">
    <cfRule type="iconSet" priority="26">
      <iconSet iconSet="3Symbols2" showValue="0">
        <cfvo type="percent" val="0"/>
        <cfvo type="percent" val="33"/>
        <cfvo type="percent" val="67"/>
      </iconSet>
    </cfRule>
    <cfRule type="iconSet" priority="30">
      <iconSet iconSet="3Symbols2" showValue="0">
        <cfvo type="percent" val="0"/>
        <cfvo type="percent" val="33"/>
        <cfvo type="percent" val="67"/>
      </iconSet>
    </cfRule>
  </conditionalFormatting>
  <conditionalFormatting sqref="BN18:BR84 P25:T84">
    <cfRule type="expression" dxfId="243" priority="7">
      <formula>(TEXT(TODAY(),"aaaa"))="Friday"</formula>
    </cfRule>
  </conditionalFormatting>
  <conditionalFormatting sqref="BS18:BW84 U37:Y84 AT84:AW84">
    <cfRule type="expression" dxfId="242" priority="6">
      <formula>(TEXT(TODAY(),"aaaa"))="Monday"</formula>
    </cfRule>
  </conditionalFormatting>
  <conditionalFormatting sqref="BX18:CB84 AX84:AY84 BA84:BC84">
    <cfRule type="expression" dxfId="241" priority="8">
      <formula>(TEXT(TODAY(),"aaaa"))="Tuesday"</formula>
    </cfRule>
  </conditionalFormatting>
  <dataValidations count="3">
    <dataValidation allowBlank="1" showInputMessage="1" showErrorMessage="1" prompt="Enter Time in this cell." sqref="Z14 BX14 AY14" xr:uid="{F3911D7C-340F-4041-A18C-3A6614B19B7C}"/>
    <dataValidation allowBlank="1" showInputMessage="1" showErrorMessage="1" prompt="Enter Period time in this cell." sqref="AJ14 BI14 K14" xr:uid="{853DB99F-28FA-44CE-9883-A54263F636AA}"/>
    <dataValidation allowBlank="1" showInputMessage="1" showErrorMessage="1" prompt="Enter Period time in next cell T7." sqref="AE14 BD14" xr:uid="{FE549EF1-B032-4EDF-82D2-4E4D8919FE6E}"/>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421D-2F48-47FB-A199-BA13FA50A5F3}">
  <sheetPr codeName="Sheet8"/>
  <dimension ref="B1:CF66"/>
  <sheetViews>
    <sheetView zoomScale="60" zoomScaleNormal="60" workbookViewId="0">
      <pane xSplit="10" ySplit="17" topLeftCell="K66" activePane="bottomRight" state="frozen"/>
      <selection pane="bottomRight" activeCell="B66" sqref="B66"/>
      <selection pane="bottomLeft" activeCell="A15" sqref="A15"/>
      <selection pane="topRight" activeCell="J1" sqref="J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5" style="8" customWidth="1"/>
    <col min="10" max="10" width="24" style="8" customWidth="1"/>
    <col min="11" max="11" width="19.85546875" style="7" customWidth="1"/>
    <col min="12" max="16" width="19.140625" style="7" bestFit="1" customWidth="1"/>
    <col min="17" max="19" width="22.42578125" style="7" bestFit="1" customWidth="1"/>
    <col min="20" max="20" width="17.85546875" style="7" customWidth="1"/>
    <col min="21" max="21" width="20.85546875" style="7" bestFit="1" customWidth="1"/>
    <col min="22" max="22" width="23.85546875" style="7" bestFit="1" customWidth="1"/>
    <col min="23" max="23" width="22.42578125" style="7" bestFit="1" customWidth="1"/>
    <col min="24" max="24" width="17.85546875" style="7" customWidth="1"/>
    <col min="25" max="25" width="21.7109375" style="7" bestFit="1" customWidth="1"/>
    <col min="26" max="26" width="17.85546875" style="7" customWidth="1"/>
    <col min="27" max="27" width="20.140625" style="7" customWidth="1"/>
    <col min="28" max="28" width="21.7109375" style="7" customWidth="1"/>
    <col min="29" max="30" width="22.42578125" style="7" bestFit="1" customWidth="1"/>
    <col min="31" max="31" width="18" style="7" bestFit="1" customWidth="1"/>
    <col min="32" max="32" width="22.42578125" style="7" bestFit="1" customWidth="1"/>
    <col min="33" max="33" width="19.85546875" style="7" bestFit="1" customWidth="1"/>
    <col min="34" max="34" width="22.42578125" style="7" bestFit="1" customWidth="1"/>
    <col min="35" max="35" width="23.85546875" style="7" bestFit="1" customWidth="1"/>
    <col min="36" max="36" width="17.85546875" style="7" customWidth="1"/>
    <col min="37" max="37" width="19.42578125" style="7" bestFit="1" customWidth="1"/>
    <col min="38" max="40" width="23.85546875" style="7" bestFit="1" customWidth="1"/>
    <col min="41" max="48" width="17.85546875" style="7" customWidth="1"/>
    <col min="49" max="51" width="23.85546875" style="7" bestFit="1" customWidth="1"/>
    <col min="52" max="52" width="17.85546875" style="7" customWidth="1"/>
    <col min="53" max="53" width="19.5703125" style="7" customWidth="1"/>
    <col min="54" max="56" width="23.85546875" style="7" bestFit="1" customWidth="1"/>
    <col min="57" max="59" width="17.85546875" style="7" customWidth="1"/>
    <col min="60" max="60" width="22.85546875" style="7" customWidth="1"/>
    <col min="61" max="80" width="17.85546875" style="7" customWidth="1"/>
    <col min="81" max="81" width="34.7109375" style="9" customWidth="1"/>
    <col min="82" max="82" width="1.7109375" style="7" bestFit="1" customWidth="1"/>
    <col min="83" max="16384" width="10.42578125" style="7"/>
  </cols>
  <sheetData>
    <row r="1" spans="2:84" ht="39.75">
      <c r="B1" s="6" t="s">
        <v>1213</v>
      </c>
      <c r="CD1" s="10" t="s">
        <v>1336</v>
      </c>
    </row>
    <row r="2" spans="2:84" ht="39.75">
      <c r="B2" s="6"/>
      <c r="CD2" s="10"/>
    </row>
    <row r="3" spans="2:84" ht="18.75" customHeight="1">
      <c r="B3" s="6"/>
      <c r="E3" s="366" t="s">
        <v>0</v>
      </c>
      <c r="F3" s="366"/>
      <c r="G3" s="366"/>
      <c r="H3" s="366"/>
      <c r="I3" s="366"/>
      <c r="J3" s="366"/>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1"/>
      <c r="CD3" s="10"/>
    </row>
    <row r="4" spans="2:84" ht="18.75" customHeight="1">
      <c r="B4" s="6"/>
      <c r="E4" s="365" t="s">
        <v>1214</v>
      </c>
      <c r="F4" s="365"/>
      <c r="G4" s="365"/>
      <c r="H4" s="365"/>
      <c r="I4" s="365"/>
      <c r="J4" s="365"/>
      <c r="CD4" s="10"/>
    </row>
    <row r="5" spans="2:84" ht="18.75" customHeight="1">
      <c r="B5" s="6"/>
      <c r="E5" s="365" t="s">
        <v>1215</v>
      </c>
      <c r="F5" s="365"/>
      <c r="G5" s="365"/>
      <c r="H5" s="365"/>
      <c r="I5" s="365"/>
      <c r="J5" s="365"/>
      <c r="K5" s="11"/>
      <c r="L5" s="11"/>
      <c r="M5" s="11"/>
      <c r="N5" s="129" t="s">
        <v>1492</v>
      </c>
      <c r="O5" s="11"/>
      <c r="P5" s="11"/>
      <c r="R5" s="136" t="s">
        <v>1493</v>
      </c>
      <c r="S5" s="136" t="s">
        <v>1494</v>
      </c>
      <c r="CD5" s="10"/>
    </row>
    <row r="6" spans="2:84" ht="18.75" customHeight="1">
      <c r="B6" s="6"/>
      <c r="E6" s="367" t="s">
        <v>1216</v>
      </c>
      <c r="F6" s="367"/>
      <c r="G6" s="367"/>
      <c r="H6" s="367"/>
      <c r="I6" s="367"/>
      <c r="J6" s="367"/>
      <c r="Q6" s="129" t="s">
        <v>1495</v>
      </c>
      <c r="CD6" s="10"/>
    </row>
    <row r="7" spans="2:84" ht="18.75" customHeight="1">
      <c r="E7" s="366" t="s">
        <v>33</v>
      </c>
      <c r="F7" s="366"/>
      <c r="G7" s="366"/>
      <c r="H7" s="366"/>
      <c r="I7" s="366"/>
      <c r="J7" s="366"/>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1"/>
      <c r="CD7" s="10"/>
    </row>
    <row r="8" spans="2:84" ht="18.75" customHeight="1">
      <c r="E8" s="365" t="s">
        <v>1217</v>
      </c>
      <c r="F8" s="365"/>
      <c r="G8" s="365"/>
      <c r="H8" s="365"/>
      <c r="I8" s="365"/>
      <c r="J8" s="365"/>
      <c r="R8" s="129" t="s">
        <v>145</v>
      </c>
      <c r="S8" s="129" t="s">
        <v>150</v>
      </c>
      <c r="CD8" s="10"/>
    </row>
    <row r="9" spans="2:84" ht="21.75" customHeight="1">
      <c r="E9" s="365" t="s">
        <v>1218</v>
      </c>
      <c r="F9" s="365"/>
      <c r="G9" s="365"/>
      <c r="H9" s="365"/>
      <c r="I9" s="365"/>
      <c r="J9" s="365"/>
      <c r="U9" s="129" t="s">
        <v>155</v>
      </c>
      <c r="V9" s="129" t="s">
        <v>159</v>
      </c>
      <c r="W9" s="129" t="s">
        <v>168</v>
      </c>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D9" s="10"/>
    </row>
    <row r="10" spans="2:84" ht="28.5">
      <c r="E10" s="365" t="s">
        <v>1219</v>
      </c>
      <c r="F10" s="365"/>
      <c r="G10" s="365"/>
      <c r="H10" s="365"/>
      <c r="I10" s="365"/>
      <c r="J10" s="365"/>
      <c r="K10" s="11"/>
      <c r="L10" s="11"/>
      <c r="M10" s="11"/>
      <c r="N10" s="11"/>
      <c r="O10" s="11"/>
      <c r="P10" s="11"/>
      <c r="Q10" s="11"/>
      <c r="R10" s="11"/>
      <c r="S10" s="11"/>
      <c r="T10" s="11"/>
      <c r="U10" s="11"/>
      <c r="V10" s="11"/>
      <c r="W10" s="11"/>
      <c r="X10" s="11"/>
      <c r="Y10" s="129" t="s">
        <v>177</v>
      </c>
      <c r="Z10" s="11"/>
      <c r="AA10" s="129" t="s">
        <v>180</v>
      </c>
      <c r="AB10" s="129" t="s">
        <v>186</v>
      </c>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D10" s="10"/>
    </row>
    <row r="11" spans="2:84" ht="21" customHeight="1">
      <c r="E11" s="365" t="s">
        <v>1220</v>
      </c>
      <c r="F11" s="365"/>
      <c r="G11" s="365"/>
      <c r="H11" s="365"/>
      <c r="I11" s="365"/>
      <c r="J11" s="365"/>
      <c r="K11" s="11"/>
      <c r="L11" s="11"/>
      <c r="M11" s="11"/>
      <c r="N11" s="11"/>
      <c r="O11" s="11"/>
      <c r="P11" s="11"/>
      <c r="Q11" s="11"/>
      <c r="R11" s="11"/>
      <c r="S11" s="11"/>
      <c r="T11" s="11"/>
      <c r="U11" s="11"/>
      <c r="V11" s="11"/>
      <c r="W11" s="11"/>
      <c r="X11" s="11"/>
      <c r="Y11" s="11"/>
      <c r="Z11" s="11"/>
      <c r="AA11" s="11"/>
      <c r="AB11" s="11"/>
      <c r="AC11" s="129" t="s">
        <v>190</v>
      </c>
      <c r="AD11" s="129" t="s">
        <v>193</v>
      </c>
      <c r="AE11" s="11"/>
      <c r="AF11" s="129" t="s">
        <v>197</v>
      </c>
      <c r="AG11" s="129" t="s">
        <v>200</v>
      </c>
      <c r="AH11" s="129" t="s">
        <v>203</v>
      </c>
      <c r="AI11" s="129" t="s">
        <v>210</v>
      </c>
      <c r="AJ11" s="11"/>
      <c r="AK11" s="11"/>
      <c r="AL11" s="129" t="s">
        <v>214</v>
      </c>
      <c r="AM11" s="129" t="s">
        <v>217</v>
      </c>
      <c r="AN11" s="129" t="s">
        <v>220</v>
      </c>
      <c r="AO11" s="11"/>
      <c r="AP11" s="11"/>
      <c r="AQ11" s="11"/>
      <c r="AR11" s="11"/>
      <c r="AS11" s="11"/>
      <c r="AT11" s="11"/>
      <c r="AU11" s="11"/>
      <c r="AV11" s="11"/>
      <c r="AW11" s="129" t="s">
        <v>224</v>
      </c>
      <c r="AX11" s="129" t="s">
        <v>228</v>
      </c>
      <c r="AY11" s="129" t="s">
        <v>231</v>
      </c>
      <c r="AZ11" s="11"/>
      <c r="BA11" s="129" t="s">
        <v>235</v>
      </c>
      <c r="BB11" s="129" t="s">
        <v>239</v>
      </c>
      <c r="BC11" s="129" t="s">
        <v>242</v>
      </c>
      <c r="BD11" s="129" t="s">
        <v>246</v>
      </c>
      <c r="BE11" s="11"/>
      <c r="BF11" s="11"/>
      <c r="BG11" s="11"/>
      <c r="BH11" s="129" t="s">
        <v>249</v>
      </c>
      <c r="BI11" s="11"/>
      <c r="BJ11" s="11"/>
      <c r="BK11" s="11"/>
      <c r="BL11" s="11"/>
      <c r="BM11" s="11"/>
      <c r="BN11" s="11"/>
      <c r="BO11" s="11"/>
      <c r="BP11" s="11"/>
      <c r="BQ11" s="11"/>
      <c r="BR11" s="11"/>
      <c r="BS11" s="11"/>
      <c r="BT11" s="11"/>
      <c r="BU11" s="11"/>
      <c r="BV11" s="11"/>
      <c r="BW11" s="11"/>
      <c r="BX11" s="11"/>
      <c r="BY11" s="11"/>
      <c r="BZ11" s="11"/>
      <c r="CA11" s="11"/>
      <c r="CB11" s="11"/>
      <c r="CD11" s="10"/>
    </row>
    <row r="12" spans="2:84" ht="28.5">
      <c r="E12" s="367" t="s">
        <v>1216</v>
      </c>
      <c r="F12" s="367"/>
      <c r="G12" s="367"/>
      <c r="H12" s="367"/>
      <c r="I12" s="367"/>
      <c r="J12" s="367"/>
      <c r="K12" s="122"/>
      <c r="L12" s="122"/>
      <c r="M12" s="122"/>
      <c r="N12" s="122"/>
      <c r="O12" s="122"/>
      <c r="P12" s="122"/>
      <c r="Q12" s="122"/>
      <c r="R12" s="122"/>
      <c r="S12" s="122"/>
      <c r="T12" s="122"/>
      <c r="U12" s="122"/>
      <c r="V12" s="122"/>
      <c r="W12" s="122"/>
      <c r="X12" s="122"/>
      <c r="Y12" s="122"/>
      <c r="Z12" s="122"/>
      <c r="AA12" s="122"/>
      <c r="AB12" s="129" t="s">
        <v>1498</v>
      </c>
      <c r="AC12" s="122"/>
      <c r="AD12" s="122"/>
      <c r="AE12" s="129" t="s">
        <v>1499</v>
      </c>
      <c r="AF12" s="122"/>
      <c r="AG12" s="122"/>
      <c r="AH12" s="122"/>
      <c r="AI12" s="216" t="s">
        <v>1500</v>
      </c>
      <c r="AJ12" s="122"/>
      <c r="AK12" s="216" t="s">
        <v>1501</v>
      </c>
      <c r="AL12" s="216" t="s">
        <v>1502</v>
      </c>
      <c r="AM12" s="216" t="s">
        <v>1503</v>
      </c>
      <c r="AN12" s="122"/>
      <c r="AO12" s="122"/>
      <c r="AP12" s="216" t="s">
        <v>1504</v>
      </c>
      <c r="AQ12" s="122"/>
      <c r="AR12" s="122"/>
      <c r="AS12" s="122"/>
      <c r="AT12" s="122"/>
      <c r="AU12" s="122"/>
      <c r="AV12" s="122"/>
      <c r="AW12" s="129" t="s">
        <v>1505</v>
      </c>
      <c r="AX12" s="122"/>
      <c r="AY12" s="122"/>
      <c r="AZ12" s="122"/>
      <c r="BA12" s="129" t="s">
        <v>1506</v>
      </c>
      <c r="BB12" s="122"/>
      <c r="BC12" s="129" t="s">
        <v>1507</v>
      </c>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3"/>
      <c r="CD12" s="10"/>
    </row>
    <row r="13" spans="2:84">
      <c r="E13" s="12"/>
      <c r="CD13" s="10"/>
    </row>
    <row r="14" spans="2:84" s="13" customFormat="1" ht="39.75">
      <c r="E14" s="14"/>
      <c r="F14" s="15"/>
      <c r="G14" s="15"/>
      <c r="H14" s="15"/>
      <c r="I14" s="15"/>
      <c r="J14" s="15"/>
      <c r="K14" s="16"/>
      <c r="L14" s="16"/>
      <c r="M14" s="17"/>
      <c r="N14" s="17"/>
      <c r="O14" s="17"/>
      <c r="P14" s="17"/>
      <c r="Q14" s="17"/>
      <c r="R14" s="18"/>
      <c r="U14" s="16"/>
      <c r="V14" s="16"/>
      <c r="Z14" s="17"/>
      <c r="AA14" s="16"/>
      <c r="AE14" s="17"/>
      <c r="AG14" s="19"/>
      <c r="AH14" s="19"/>
      <c r="AI14" s="19"/>
      <c r="AJ14" s="16"/>
      <c r="AK14" s="16"/>
      <c r="AL14" s="17"/>
      <c r="AM14" s="17"/>
      <c r="AN14" s="17"/>
      <c r="AO14" s="17"/>
      <c r="AP14" s="17"/>
      <c r="AT14" s="16"/>
      <c r="AU14" s="16"/>
      <c r="AY14" s="17"/>
      <c r="AZ14" s="16"/>
      <c r="BD14" s="17"/>
      <c r="BF14" s="19"/>
      <c r="BG14" s="19"/>
      <c r="BH14" s="19"/>
      <c r="BI14" s="16"/>
      <c r="BJ14" s="16"/>
      <c r="BK14" s="17"/>
      <c r="BL14" s="17"/>
      <c r="BM14" s="17"/>
      <c r="BN14" s="17"/>
      <c r="BO14" s="17"/>
      <c r="BS14" s="16"/>
      <c r="BT14" s="16"/>
      <c r="BX14" s="17"/>
      <c r="BY14" s="16"/>
      <c r="CC14" s="20"/>
      <c r="CF14" s="21"/>
    </row>
    <row r="15" spans="2:84" ht="18">
      <c r="E15" s="22"/>
      <c r="F15" s="23"/>
      <c r="G15" s="23"/>
      <c r="H15" s="23"/>
      <c r="I15" s="23"/>
      <c r="J15" s="23"/>
      <c r="CC15" s="24"/>
      <c r="CF15" s="21"/>
    </row>
    <row r="16" spans="2:84" s="13" customFormat="1" ht="18">
      <c r="B16" s="25" t="s">
        <v>855</v>
      </c>
      <c r="C16" s="26" t="s">
        <v>856</v>
      </c>
      <c r="D16" s="27" t="s">
        <v>857</v>
      </c>
      <c r="E16" s="28" t="s">
        <v>859</v>
      </c>
      <c r="F16" s="28" t="s">
        <v>860</v>
      </c>
      <c r="G16" s="29" t="s">
        <v>861</v>
      </c>
      <c r="H16" s="29" t="s">
        <v>1516</v>
      </c>
      <c r="I16" s="29" t="s">
        <v>1232</v>
      </c>
      <c r="J16" s="29" t="s">
        <v>140</v>
      </c>
      <c r="K16" s="377" t="s">
        <v>1517</v>
      </c>
      <c r="L16" s="377"/>
      <c r="M16" s="377"/>
      <c r="N16" s="377"/>
      <c r="O16" s="377"/>
      <c r="P16" s="368" t="s">
        <v>1518</v>
      </c>
      <c r="Q16" s="368"/>
      <c r="R16" s="368"/>
      <c r="S16" s="368"/>
      <c r="T16" s="369"/>
      <c r="U16" s="362" t="s">
        <v>1519</v>
      </c>
      <c r="V16" s="363"/>
      <c r="W16" s="363"/>
      <c r="X16" s="363"/>
      <c r="Y16" s="364"/>
      <c r="Z16" s="359" t="s">
        <v>1520</v>
      </c>
      <c r="AA16" s="360"/>
      <c r="AB16" s="360"/>
      <c r="AC16" s="360"/>
      <c r="AD16" s="361"/>
      <c r="AE16" s="370" t="s">
        <v>1521</v>
      </c>
      <c r="AF16" s="371"/>
      <c r="AG16" s="371"/>
      <c r="AH16" s="371"/>
      <c r="AI16" s="372"/>
      <c r="AJ16" s="373" t="s">
        <v>1522</v>
      </c>
      <c r="AK16" s="374"/>
      <c r="AL16" s="374"/>
      <c r="AM16" s="374"/>
      <c r="AN16" s="374"/>
      <c r="AO16" s="368" t="s">
        <v>1523</v>
      </c>
      <c r="AP16" s="368"/>
      <c r="AQ16" s="368"/>
      <c r="AR16" s="368"/>
      <c r="AS16" s="369"/>
      <c r="AT16" s="362" t="s">
        <v>1524</v>
      </c>
      <c r="AU16" s="363"/>
      <c r="AV16" s="363"/>
      <c r="AW16" s="363"/>
      <c r="AX16" s="364"/>
      <c r="AY16" s="359" t="s">
        <v>1525</v>
      </c>
      <c r="AZ16" s="360"/>
      <c r="BA16" s="360"/>
      <c r="BB16" s="360"/>
      <c r="BC16" s="361"/>
      <c r="BD16" s="370" t="s">
        <v>1526</v>
      </c>
      <c r="BE16" s="371"/>
      <c r="BF16" s="371"/>
      <c r="BG16" s="371"/>
      <c r="BH16" s="372"/>
      <c r="BI16" s="373" t="s">
        <v>1527</v>
      </c>
      <c r="BJ16" s="374"/>
      <c r="BK16" s="374"/>
      <c r="BL16" s="374"/>
      <c r="BM16" s="374"/>
      <c r="BN16" s="368" t="s">
        <v>1528</v>
      </c>
      <c r="BO16" s="368"/>
      <c r="BP16" s="368"/>
      <c r="BQ16" s="368"/>
      <c r="BR16" s="369"/>
      <c r="BS16" s="362" t="s">
        <v>1529</v>
      </c>
      <c r="BT16" s="363"/>
      <c r="BU16" s="363"/>
      <c r="BV16" s="363"/>
      <c r="BW16" s="364"/>
      <c r="BX16" s="359" t="s">
        <v>1530</v>
      </c>
      <c r="BY16" s="360"/>
      <c r="BZ16" s="360"/>
      <c r="CA16" s="360"/>
      <c r="CB16" s="361"/>
      <c r="CC16" s="375" t="s">
        <v>1440</v>
      </c>
    </row>
    <row r="17" spans="2:81" s="21" customFormat="1" ht="18">
      <c r="B17" s="30"/>
      <c r="C17" s="31"/>
      <c r="D17" s="32"/>
      <c r="E17" s="33"/>
      <c r="F17" s="33"/>
      <c r="G17" s="34"/>
      <c r="H17" s="29" t="s">
        <v>1531</v>
      </c>
      <c r="I17" s="29" t="s">
        <v>856</v>
      </c>
      <c r="J17" s="29" t="s">
        <v>1247</v>
      </c>
      <c r="K17" s="35" t="s">
        <v>1248</v>
      </c>
      <c r="L17" s="36" t="s">
        <v>1249</v>
      </c>
      <c r="M17" s="36" t="s">
        <v>1250</v>
      </c>
      <c r="N17" s="36" t="s">
        <v>1251</v>
      </c>
      <c r="O17" s="36" t="s">
        <v>1252</v>
      </c>
      <c r="P17" s="37" t="s">
        <v>1248</v>
      </c>
      <c r="Q17" s="38" t="s">
        <v>1249</v>
      </c>
      <c r="R17" s="38" t="s">
        <v>1250</v>
      </c>
      <c r="S17" s="38" t="s">
        <v>1251</v>
      </c>
      <c r="T17" s="38" t="s">
        <v>1252</v>
      </c>
      <c r="U17" s="39" t="s">
        <v>1248</v>
      </c>
      <c r="V17" s="40" t="s">
        <v>1249</v>
      </c>
      <c r="W17" s="40" t="s">
        <v>1250</v>
      </c>
      <c r="X17" s="40" t="s">
        <v>1251</v>
      </c>
      <c r="Y17" s="39" t="s">
        <v>1252</v>
      </c>
      <c r="Z17" s="41" t="s">
        <v>1248</v>
      </c>
      <c r="AA17" s="42" t="s">
        <v>1249</v>
      </c>
      <c r="AB17" s="42" t="s">
        <v>1250</v>
      </c>
      <c r="AC17" s="42" t="s">
        <v>1251</v>
      </c>
      <c r="AD17" s="42" t="s">
        <v>1252</v>
      </c>
      <c r="AE17" s="43" t="s">
        <v>1248</v>
      </c>
      <c r="AF17" s="44" t="s">
        <v>1249</v>
      </c>
      <c r="AG17" s="44" t="s">
        <v>1250</v>
      </c>
      <c r="AH17" s="44" t="s">
        <v>1251</v>
      </c>
      <c r="AI17" s="44" t="s">
        <v>1252</v>
      </c>
      <c r="AJ17" s="35" t="s">
        <v>1248</v>
      </c>
      <c r="AK17" s="36" t="s">
        <v>1249</v>
      </c>
      <c r="AL17" s="36" t="s">
        <v>1250</v>
      </c>
      <c r="AM17" s="36" t="s">
        <v>1251</v>
      </c>
      <c r="AN17" s="36" t="s">
        <v>1252</v>
      </c>
      <c r="AO17" s="37" t="s">
        <v>1248</v>
      </c>
      <c r="AP17" s="38" t="s">
        <v>1249</v>
      </c>
      <c r="AQ17" s="38" t="s">
        <v>1250</v>
      </c>
      <c r="AR17" s="38" t="s">
        <v>1251</v>
      </c>
      <c r="AS17" s="38" t="s">
        <v>1252</v>
      </c>
      <c r="AT17" s="39" t="s">
        <v>1248</v>
      </c>
      <c r="AU17" s="40" t="s">
        <v>1249</v>
      </c>
      <c r="AV17" s="40" t="s">
        <v>1250</v>
      </c>
      <c r="AW17" s="40" t="s">
        <v>1251</v>
      </c>
      <c r="AX17" s="39" t="s">
        <v>1252</v>
      </c>
      <c r="AY17" s="41" t="s">
        <v>1248</v>
      </c>
      <c r="AZ17" s="42" t="s">
        <v>1249</v>
      </c>
      <c r="BA17" s="42" t="s">
        <v>1250</v>
      </c>
      <c r="BB17" s="42" t="s">
        <v>1251</v>
      </c>
      <c r="BC17" s="42" t="s">
        <v>1252</v>
      </c>
      <c r="BD17" s="45" t="s">
        <v>1248</v>
      </c>
      <c r="BE17" s="46" t="s">
        <v>1249</v>
      </c>
      <c r="BF17" s="44" t="s">
        <v>1250</v>
      </c>
      <c r="BG17" s="44" t="s">
        <v>1251</v>
      </c>
      <c r="BH17" s="44" t="s">
        <v>1252</v>
      </c>
      <c r="BI17" s="35" t="s">
        <v>1248</v>
      </c>
      <c r="BJ17" s="36" t="s">
        <v>1249</v>
      </c>
      <c r="BK17" s="36" t="s">
        <v>1250</v>
      </c>
      <c r="BL17" s="36" t="s">
        <v>1251</v>
      </c>
      <c r="BM17" s="36" t="s">
        <v>1252</v>
      </c>
      <c r="BN17" s="37" t="s">
        <v>1248</v>
      </c>
      <c r="BO17" s="38" t="s">
        <v>1249</v>
      </c>
      <c r="BP17" s="38" t="s">
        <v>1250</v>
      </c>
      <c r="BQ17" s="38" t="s">
        <v>1251</v>
      </c>
      <c r="BR17" s="38" t="s">
        <v>1252</v>
      </c>
      <c r="BS17" s="39" t="s">
        <v>1248</v>
      </c>
      <c r="BT17" s="40" t="s">
        <v>1249</v>
      </c>
      <c r="BU17" s="40" t="s">
        <v>1250</v>
      </c>
      <c r="BV17" s="40" t="s">
        <v>1251</v>
      </c>
      <c r="BW17" s="39" t="s">
        <v>1252</v>
      </c>
      <c r="BX17" s="41" t="s">
        <v>1248</v>
      </c>
      <c r="BY17" s="42" t="s">
        <v>1249</v>
      </c>
      <c r="BZ17" s="42" t="s">
        <v>1250</v>
      </c>
      <c r="CA17" s="42" t="s">
        <v>1251</v>
      </c>
      <c r="CB17" s="42" t="s">
        <v>1252</v>
      </c>
      <c r="CC17" s="376"/>
    </row>
    <row r="18" spans="2:81" ht="30">
      <c r="B18" s="47" t="s">
        <v>864</v>
      </c>
      <c r="C18" s="48" t="s">
        <v>969</v>
      </c>
      <c r="D18" s="49" t="s">
        <v>970</v>
      </c>
      <c r="E18" s="50" t="s">
        <v>971</v>
      </c>
      <c r="F18" s="51" t="s">
        <v>1603</v>
      </c>
      <c r="G18" s="52" t="s">
        <v>1604</v>
      </c>
      <c r="H18" s="49" t="s">
        <v>0</v>
      </c>
      <c r="I18" s="49"/>
      <c r="J18" s="49" t="s">
        <v>1605</v>
      </c>
      <c r="K18" s="53"/>
      <c r="L18" s="54"/>
      <c r="M18" s="54"/>
      <c r="N18" s="54"/>
      <c r="O18" s="55" t="s">
        <v>861</v>
      </c>
      <c r="P18" s="56"/>
      <c r="Q18" s="56"/>
      <c r="R18" s="56"/>
      <c r="S18" s="56"/>
      <c r="T18" s="56"/>
      <c r="U18" s="57"/>
      <c r="V18" s="58"/>
      <c r="W18" s="58"/>
      <c r="X18" s="58"/>
      <c r="Y18" s="59"/>
      <c r="Z18" s="60"/>
      <c r="AA18" s="61"/>
      <c r="AB18" s="61"/>
      <c r="AC18" s="61"/>
      <c r="AD18" s="62"/>
      <c r="AE18" s="63"/>
      <c r="AF18" s="64"/>
      <c r="AG18" s="65"/>
      <c r="AH18" s="64"/>
      <c r="AI18" s="64"/>
      <c r="AJ18" s="53"/>
      <c r="AK18" s="54"/>
      <c r="AL18" s="54"/>
      <c r="AM18" s="54"/>
      <c r="AN18" s="54"/>
      <c r="AO18" s="66"/>
      <c r="AP18" s="56"/>
      <c r="AQ18" s="56"/>
      <c r="AR18" s="56"/>
      <c r="AS18" s="56"/>
      <c r="AT18" s="57"/>
      <c r="AU18" s="58"/>
      <c r="AV18" s="58"/>
      <c r="AW18" s="58"/>
      <c r="AX18" s="59"/>
      <c r="AY18" s="60"/>
      <c r="AZ18" s="61"/>
      <c r="BA18" s="61"/>
      <c r="BB18" s="61"/>
      <c r="BC18" s="61"/>
      <c r="BD18" s="67"/>
      <c r="BE18" s="68"/>
      <c r="BF18" s="64"/>
      <c r="BG18" s="64"/>
      <c r="BH18" s="64"/>
      <c r="BI18" s="53"/>
      <c r="BJ18" s="54"/>
      <c r="BK18" s="54"/>
      <c r="BL18" s="54"/>
      <c r="BM18" s="54"/>
      <c r="BN18" s="66"/>
      <c r="BO18" s="56"/>
      <c r="BP18" s="56"/>
      <c r="BQ18" s="56"/>
      <c r="BR18" s="56"/>
      <c r="BS18" s="57"/>
      <c r="BT18" s="58"/>
      <c r="BU18" s="58"/>
      <c r="BV18" s="58"/>
      <c r="BW18" s="59"/>
      <c r="BX18" s="60"/>
      <c r="BY18" s="61"/>
      <c r="BZ18" s="61"/>
      <c r="CA18" s="61"/>
      <c r="CB18" s="61"/>
      <c r="CC18" s="69"/>
    </row>
    <row r="19" spans="2:81" ht="30">
      <c r="B19" s="47" t="s">
        <v>864</v>
      </c>
      <c r="C19" s="48" t="s">
        <v>969</v>
      </c>
      <c r="D19" s="49" t="s">
        <v>973</v>
      </c>
      <c r="E19" s="70" t="s">
        <v>974</v>
      </c>
      <c r="F19" s="71" t="s">
        <v>1603</v>
      </c>
      <c r="G19" s="52" t="s">
        <v>1604</v>
      </c>
      <c r="H19" s="49" t="s">
        <v>0</v>
      </c>
      <c r="I19" s="49"/>
      <c r="J19" s="49" t="s">
        <v>1605</v>
      </c>
      <c r="K19" s="72"/>
      <c r="L19" s="73"/>
      <c r="M19" s="73"/>
      <c r="N19" s="73"/>
      <c r="O19" s="55" t="s">
        <v>861</v>
      </c>
      <c r="P19" s="56"/>
      <c r="Q19" s="56"/>
      <c r="R19" s="56"/>
      <c r="S19" s="56"/>
      <c r="T19" s="56"/>
      <c r="U19" s="57"/>
      <c r="V19" s="58"/>
      <c r="W19" s="58"/>
      <c r="X19" s="58"/>
      <c r="Y19" s="57"/>
      <c r="Z19" s="60"/>
      <c r="AA19" s="61"/>
      <c r="AB19" s="61"/>
      <c r="AC19" s="61"/>
      <c r="AD19" s="61"/>
      <c r="AE19" s="63"/>
      <c r="AF19" s="64"/>
      <c r="AG19" s="64"/>
      <c r="AH19" s="64"/>
      <c r="AI19" s="64"/>
      <c r="AJ19" s="72"/>
      <c r="AK19" s="73"/>
      <c r="AL19" s="73"/>
      <c r="AM19" s="73"/>
      <c r="AN19" s="73"/>
      <c r="AO19" s="66"/>
      <c r="AP19" s="56"/>
      <c r="AQ19" s="56"/>
      <c r="AR19" s="56"/>
      <c r="AS19" s="56"/>
      <c r="AT19" s="57"/>
      <c r="AU19" s="58"/>
      <c r="AV19" s="58"/>
      <c r="AW19" s="58"/>
      <c r="AX19" s="57"/>
      <c r="AY19" s="60"/>
      <c r="AZ19" s="61"/>
      <c r="BA19" s="61"/>
      <c r="BB19" s="61"/>
      <c r="BC19" s="61"/>
      <c r="BD19" s="63"/>
      <c r="BE19" s="64"/>
      <c r="BF19" s="64"/>
      <c r="BG19" s="64"/>
      <c r="BH19" s="64"/>
      <c r="BI19" s="72"/>
      <c r="BJ19" s="73"/>
      <c r="BK19" s="73"/>
      <c r="BL19" s="73"/>
      <c r="BM19" s="73"/>
      <c r="BN19" s="66"/>
      <c r="BO19" s="56"/>
      <c r="BP19" s="56"/>
      <c r="BQ19" s="56"/>
      <c r="BR19" s="56"/>
      <c r="BS19" s="57"/>
      <c r="BT19" s="58"/>
      <c r="BU19" s="58"/>
      <c r="BV19" s="58"/>
      <c r="BW19" s="57"/>
      <c r="BX19" s="60"/>
      <c r="BY19" s="61"/>
      <c r="BZ19" s="61"/>
      <c r="CA19" s="61"/>
      <c r="CB19" s="61"/>
      <c r="CC19" s="74"/>
    </row>
    <row r="20" spans="2:81" ht="30">
      <c r="B20" s="47" t="s">
        <v>864</v>
      </c>
      <c r="C20" s="48" t="s">
        <v>865</v>
      </c>
      <c r="D20" s="49" t="s">
        <v>959</v>
      </c>
      <c r="E20" s="70" t="s">
        <v>960</v>
      </c>
      <c r="F20" s="71" t="s">
        <v>1606</v>
      </c>
      <c r="G20" s="52" t="s">
        <v>1607</v>
      </c>
      <c r="H20" s="49" t="s">
        <v>0</v>
      </c>
      <c r="I20" s="49" t="s">
        <v>1608</v>
      </c>
      <c r="J20" s="49" t="s">
        <v>1609</v>
      </c>
      <c r="K20" s="72"/>
      <c r="L20" s="73"/>
      <c r="M20" s="73"/>
      <c r="N20" s="73"/>
      <c r="O20" s="73"/>
      <c r="P20" s="137" t="s">
        <v>860</v>
      </c>
      <c r="Q20" s="56"/>
      <c r="R20" s="56"/>
      <c r="S20" s="56"/>
      <c r="T20" s="55" t="s">
        <v>861</v>
      </c>
      <c r="U20" s="57"/>
      <c r="V20" s="76"/>
      <c r="W20" s="77"/>
      <c r="X20" s="77"/>
      <c r="Y20" s="57"/>
      <c r="Z20" s="60"/>
      <c r="AA20" s="61"/>
      <c r="AB20" s="61"/>
      <c r="AC20" s="61"/>
      <c r="AD20" s="61"/>
      <c r="AE20" s="63"/>
      <c r="AF20" s="64"/>
      <c r="AG20" s="64"/>
      <c r="AH20" s="64"/>
      <c r="AI20" s="64"/>
      <c r="AJ20" s="72"/>
      <c r="AK20" s="73"/>
      <c r="AL20" s="73"/>
      <c r="AM20" s="73"/>
      <c r="AN20" s="73"/>
      <c r="AO20" s="66"/>
      <c r="AP20" s="56"/>
      <c r="AQ20" s="56"/>
      <c r="AR20" s="56"/>
      <c r="AS20" s="56"/>
      <c r="AT20" s="57"/>
      <c r="AU20" s="76"/>
      <c r="AV20" s="77"/>
      <c r="AW20" s="77"/>
      <c r="AX20" s="57"/>
      <c r="AY20" s="60"/>
      <c r="AZ20" s="61"/>
      <c r="BA20" s="61"/>
      <c r="BB20" s="61"/>
      <c r="BC20" s="61"/>
      <c r="BD20" s="63"/>
      <c r="BE20" s="64"/>
      <c r="BF20" s="64"/>
      <c r="BG20" s="64"/>
      <c r="BH20" s="64"/>
      <c r="BI20" s="72"/>
      <c r="BJ20" s="73"/>
      <c r="BK20" s="73"/>
      <c r="BL20" s="73"/>
      <c r="BM20" s="73"/>
      <c r="BN20" s="66"/>
      <c r="BO20" s="56"/>
      <c r="BP20" s="56"/>
      <c r="BQ20" s="56"/>
      <c r="BR20" s="56"/>
      <c r="BS20" s="57"/>
      <c r="BT20" s="76"/>
      <c r="BU20" s="77"/>
      <c r="BV20" s="77"/>
      <c r="BW20" s="57"/>
      <c r="BX20" s="60"/>
      <c r="BY20" s="61"/>
      <c r="BZ20" s="61"/>
      <c r="CA20" s="61"/>
      <c r="CB20" s="61"/>
      <c r="CC20" s="74"/>
    </row>
    <row r="21" spans="2:81" ht="30">
      <c r="B21" s="47" t="s">
        <v>864</v>
      </c>
      <c r="C21" s="48" t="s">
        <v>865</v>
      </c>
      <c r="D21" s="49" t="s">
        <v>961</v>
      </c>
      <c r="E21" s="70" t="s">
        <v>962</v>
      </c>
      <c r="F21" s="71" t="s">
        <v>1606</v>
      </c>
      <c r="G21" s="52" t="s">
        <v>1607</v>
      </c>
      <c r="H21" s="49" t="s">
        <v>0</v>
      </c>
      <c r="I21" s="49" t="s">
        <v>1608</v>
      </c>
      <c r="J21" s="49" t="s">
        <v>1609</v>
      </c>
      <c r="K21" s="72"/>
      <c r="L21" s="73"/>
      <c r="M21" s="73"/>
      <c r="N21" s="73"/>
      <c r="O21" s="73"/>
      <c r="P21" s="137" t="s">
        <v>860</v>
      </c>
      <c r="Q21" s="56"/>
      <c r="R21" s="56"/>
      <c r="S21" s="56"/>
      <c r="T21" s="55" t="s">
        <v>861</v>
      </c>
      <c r="U21" s="77"/>
      <c r="V21" s="77"/>
      <c r="W21" s="77"/>
      <c r="X21" s="77"/>
      <c r="Y21" s="57"/>
      <c r="Z21" s="60"/>
      <c r="AA21" s="61"/>
      <c r="AB21" s="61"/>
      <c r="AC21" s="61"/>
      <c r="AD21" s="61"/>
      <c r="AE21" s="63"/>
      <c r="AF21" s="64"/>
      <c r="AG21" s="64"/>
      <c r="AH21" s="64"/>
      <c r="AI21" s="64"/>
      <c r="AJ21" s="72"/>
      <c r="AK21" s="73"/>
      <c r="AL21" s="73"/>
      <c r="AM21" s="73"/>
      <c r="AN21" s="73"/>
      <c r="AO21" s="66"/>
      <c r="AP21" s="56"/>
      <c r="AQ21" s="56"/>
      <c r="AR21" s="56"/>
      <c r="AS21" s="56"/>
      <c r="AT21" s="77"/>
      <c r="AU21" s="77"/>
      <c r="AV21" s="77"/>
      <c r="AW21" s="77"/>
      <c r="AX21" s="57"/>
      <c r="AY21" s="60"/>
      <c r="AZ21" s="61"/>
      <c r="BA21" s="61"/>
      <c r="BB21" s="61"/>
      <c r="BC21" s="61"/>
      <c r="BD21" s="63"/>
      <c r="BE21" s="64"/>
      <c r="BF21" s="64"/>
      <c r="BG21" s="64"/>
      <c r="BH21" s="64"/>
      <c r="BI21" s="72"/>
      <c r="BJ21" s="73"/>
      <c r="BK21" s="73"/>
      <c r="BL21" s="73"/>
      <c r="BM21" s="73"/>
      <c r="BN21" s="66"/>
      <c r="BO21" s="56"/>
      <c r="BP21" s="56"/>
      <c r="BQ21" s="56"/>
      <c r="BR21" s="56"/>
      <c r="BS21" s="77"/>
      <c r="BT21" s="77"/>
      <c r="BU21" s="77"/>
      <c r="BV21" s="77"/>
      <c r="BW21" s="57"/>
      <c r="BX21" s="60"/>
      <c r="BY21" s="61"/>
      <c r="BZ21" s="61"/>
      <c r="CA21" s="61"/>
      <c r="CB21" s="61"/>
      <c r="CC21" s="74"/>
    </row>
    <row r="22" spans="2:81" ht="30">
      <c r="B22" s="47" t="s">
        <v>864</v>
      </c>
      <c r="C22" s="48" t="s">
        <v>865</v>
      </c>
      <c r="D22" s="49" t="s">
        <v>967</v>
      </c>
      <c r="E22" s="70" t="s">
        <v>968</v>
      </c>
      <c r="F22" s="71" t="s">
        <v>1606</v>
      </c>
      <c r="G22" s="52" t="s">
        <v>1607</v>
      </c>
      <c r="H22" s="49" t="s">
        <v>0</v>
      </c>
      <c r="I22" s="49" t="s">
        <v>1608</v>
      </c>
      <c r="J22" s="49" t="s">
        <v>1609</v>
      </c>
      <c r="K22" s="72"/>
      <c r="L22" s="73"/>
      <c r="M22" s="73"/>
      <c r="N22" s="73"/>
      <c r="O22" s="73"/>
      <c r="P22" s="137" t="s">
        <v>860</v>
      </c>
      <c r="Q22" s="56"/>
      <c r="R22" s="56"/>
      <c r="S22" s="56"/>
      <c r="T22" s="55" t="s">
        <v>861</v>
      </c>
      <c r="U22" s="77"/>
      <c r="V22" s="77"/>
      <c r="W22" s="77"/>
      <c r="X22" s="77"/>
      <c r="Y22" s="57"/>
      <c r="Z22" s="60"/>
      <c r="AA22" s="61"/>
      <c r="AB22" s="61"/>
      <c r="AC22" s="61"/>
      <c r="AD22" s="61"/>
      <c r="AE22" s="63"/>
      <c r="AF22" s="64"/>
      <c r="AG22" s="64"/>
      <c r="AH22" s="64"/>
      <c r="AI22" s="64"/>
      <c r="AJ22" s="72"/>
      <c r="AK22" s="73"/>
      <c r="AL22" s="73"/>
      <c r="AM22" s="73"/>
      <c r="AN22" s="73"/>
      <c r="AO22" s="66"/>
      <c r="AP22" s="56"/>
      <c r="AQ22" s="56"/>
      <c r="AR22" s="56"/>
      <c r="AS22" s="56"/>
      <c r="AT22" s="77"/>
      <c r="AU22" s="77"/>
      <c r="AV22" s="77"/>
      <c r="AW22" s="77"/>
      <c r="AX22" s="57"/>
      <c r="AY22" s="60"/>
      <c r="AZ22" s="61"/>
      <c r="BA22" s="61"/>
      <c r="BB22" s="61"/>
      <c r="BC22" s="61"/>
      <c r="BD22" s="63"/>
      <c r="BE22" s="64"/>
      <c r="BF22" s="64"/>
      <c r="BG22" s="64"/>
      <c r="BH22" s="64"/>
      <c r="BI22" s="72"/>
      <c r="BJ22" s="73"/>
      <c r="BK22" s="73"/>
      <c r="BL22" s="73"/>
      <c r="BM22" s="73"/>
      <c r="BN22" s="66"/>
      <c r="BO22" s="56"/>
      <c r="BP22" s="56"/>
      <c r="BQ22" s="56"/>
      <c r="BR22" s="56"/>
      <c r="BS22" s="77"/>
      <c r="BT22" s="77"/>
      <c r="BU22" s="77"/>
      <c r="BV22" s="77"/>
      <c r="BW22" s="57"/>
      <c r="BX22" s="60"/>
      <c r="BY22" s="61"/>
      <c r="BZ22" s="61"/>
      <c r="CA22" s="61"/>
      <c r="CB22" s="61"/>
      <c r="CC22" s="74"/>
    </row>
    <row r="23" spans="2:81" ht="30">
      <c r="B23" s="47" t="s">
        <v>864</v>
      </c>
      <c r="C23" s="48" t="s">
        <v>865</v>
      </c>
      <c r="D23" s="49" t="s">
        <v>963</v>
      </c>
      <c r="E23" s="70" t="s">
        <v>964</v>
      </c>
      <c r="F23" s="71" t="s">
        <v>1606</v>
      </c>
      <c r="G23" s="52" t="s">
        <v>1607</v>
      </c>
      <c r="H23" s="49" t="s">
        <v>0</v>
      </c>
      <c r="I23" s="49" t="s">
        <v>1608</v>
      </c>
      <c r="J23" s="49" t="s">
        <v>1609</v>
      </c>
      <c r="K23" s="72"/>
      <c r="L23" s="73"/>
      <c r="M23" s="73"/>
      <c r="N23" s="73"/>
      <c r="O23" s="73"/>
      <c r="P23" s="78" t="s">
        <v>860</v>
      </c>
      <c r="Q23" s="56"/>
      <c r="R23" s="56"/>
      <c r="S23" s="56"/>
      <c r="T23" s="79" t="s">
        <v>861</v>
      </c>
      <c r="U23" s="54"/>
      <c r="V23" s="77"/>
      <c r="W23" s="77"/>
      <c r="X23" s="77"/>
      <c r="Y23" s="80"/>
      <c r="Z23" s="60"/>
      <c r="AA23" s="61"/>
      <c r="AB23" s="61"/>
      <c r="AC23" s="61"/>
      <c r="AD23" s="61"/>
      <c r="AE23" s="63"/>
      <c r="AF23" s="64"/>
      <c r="AG23" s="64"/>
      <c r="AH23" s="64"/>
      <c r="AI23" s="64"/>
      <c r="AJ23" s="72"/>
      <c r="AK23" s="73"/>
      <c r="AL23" s="73"/>
      <c r="AM23" s="73"/>
      <c r="AN23" s="73"/>
      <c r="AO23" s="66"/>
      <c r="AP23" s="56"/>
      <c r="AQ23" s="56"/>
      <c r="AR23" s="56"/>
      <c r="AS23" s="56"/>
      <c r="AT23" s="77"/>
      <c r="AU23" s="77"/>
      <c r="AV23" s="77"/>
      <c r="AW23" s="77"/>
      <c r="AX23" s="57"/>
      <c r="AY23" s="60"/>
      <c r="AZ23" s="61"/>
      <c r="BA23" s="61"/>
      <c r="BB23" s="61"/>
      <c r="BC23" s="61"/>
      <c r="BD23" s="63"/>
      <c r="BE23" s="64"/>
      <c r="BF23" s="64"/>
      <c r="BG23" s="64"/>
      <c r="BH23" s="64"/>
      <c r="BI23" s="72"/>
      <c r="BJ23" s="73"/>
      <c r="BK23" s="73"/>
      <c r="BL23" s="73"/>
      <c r="BM23" s="73"/>
      <c r="BN23" s="66"/>
      <c r="BO23" s="56"/>
      <c r="BP23" s="56"/>
      <c r="BQ23" s="56"/>
      <c r="BR23" s="56"/>
      <c r="BS23" s="77"/>
      <c r="BT23" s="77"/>
      <c r="BU23" s="77"/>
      <c r="BV23" s="77"/>
      <c r="BW23" s="57"/>
      <c r="BX23" s="60"/>
      <c r="BY23" s="61"/>
      <c r="BZ23" s="61"/>
      <c r="CA23" s="61"/>
      <c r="CB23" s="61"/>
      <c r="CC23" s="74"/>
    </row>
    <row r="24" spans="2:81" ht="30">
      <c r="B24" s="47" t="s">
        <v>864</v>
      </c>
      <c r="C24" s="48" t="s">
        <v>865</v>
      </c>
      <c r="D24" s="49" t="s">
        <v>965</v>
      </c>
      <c r="E24" s="70" t="s">
        <v>966</v>
      </c>
      <c r="F24" s="71" t="s">
        <v>1606</v>
      </c>
      <c r="G24" s="52" t="s">
        <v>1607</v>
      </c>
      <c r="H24" s="49" t="s">
        <v>0</v>
      </c>
      <c r="I24" s="49" t="s">
        <v>1608</v>
      </c>
      <c r="J24" s="49" t="s">
        <v>1609</v>
      </c>
      <c r="K24" s="72"/>
      <c r="L24" s="73"/>
      <c r="M24" s="73"/>
      <c r="N24" s="73"/>
      <c r="O24" s="73"/>
      <c r="P24" s="78" t="s">
        <v>860</v>
      </c>
      <c r="Q24" s="56"/>
      <c r="R24" s="56"/>
      <c r="S24" s="56"/>
      <c r="T24" s="79" t="s">
        <v>861</v>
      </c>
      <c r="U24" s="54"/>
      <c r="V24" s="77"/>
      <c r="W24" s="77"/>
      <c r="X24" s="77"/>
      <c r="Y24" s="57"/>
      <c r="Z24" s="60"/>
      <c r="AA24" s="61"/>
      <c r="AB24" s="61"/>
      <c r="AC24" s="61"/>
      <c r="AD24" s="61"/>
      <c r="AE24" s="63"/>
      <c r="AF24" s="64"/>
      <c r="AG24" s="64"/>
      <c r="AH24" s="64"/>
      <c r="AI24" s="64"/>
      <c r="AJ24" s="72"/>
      <c r="AK24" s="73"/>
      <c r="AL24" s="73"/>
      <c r="AM24" s="73"/>
      <c r="AN24" s="73"/>
      <c r="AO24" s="66"/>
      <c r="AP24" s="56"/>
      <c r="AQ24" s="56"/>
      <c r="AR24" s="56"/>
      <c r="AS24" s="56"/>
      <c r="AT24" s="77"/>
      <c r="AU24" s="77"/>
      <c r="AV24" s="77"/>
      <c r="AW24" s="77"/>
      <c r="AX24" s="57"/>
      <c r="AY24" s="60"/>
      <c r="AZ24" s="61"/>
      <c r="BA24" s="61"/>
      <c r="BB24" s="61"/>
      <c r="BC24" s="61"/>
      <c r="BD24" s="63"/>
      <c r="BE24" s="64"/>
      <c r="BF24" s="64"/>
      <c r="BG24" s="64"/>
      <c r="BH24" s="64"/>
      <c r="BI24" s="72"/>
      <c r="BJ24" s="73"/>
      <c r="BK24" s="73"/>
      <c r="BL24" s="73"/>
      <c r="BM24" s="73"/>
      <c r="BN24" s="66"/>
      <c r="BO24" s="56"/>
      <c r="BP24" s="56"/>
      <c r="BQ24" s="56"/>
      <c r="BR24" s="56"/>
      <c r="BS24" s="77"/>
      <c r="BT24" s="77"/>
      <c r="BU24" s="77"/>
      <c r="BV24" s="77"/>
      <c r="BW24" s="57"/>
      <c r="BX24" s="60"/>
      <c r="BY24" s="61"/>
      <c r="BZ24" s="61"/>
      <c r="CA24" s="61"/>
      <c r="CB24" s="61"/>
      <c r="CC24" s="74"/>
    </row>
    <row r="25" spans="2:81" ht="30">
      <c r="B25" s="47" t="s">
        <v>864</v>
      </c>
      <c r="C25" s="48" t="s">
        <v>865</v>
      </c>
      <c r="D25" s="49" t="s">
        <v>1610</v>
      </c>
      <c r="E25" s="70" t="s">
        <v>867</v>
      </c>
      <c r="F25" s="71" t="s">
        <v>1611</v>
      </c>
      <c r="G25" s="52" t="s">
        <v>1612</v>
      </c>
      <c r="H25" s="49" t="s">
        <v>0</v>
      </c>
      <c r="I25" s="49" t="s">
        <v>1608</v>
      </c>
      <c r="J25" s="49" t="s">
        <v>1609</v>
      </c>
      <c r="K25" s="72"/>
      <c r="L25" s="73"/>
      <c r="M25" s="73"/>
      <c r="N25" s="73"/>
      <c r="O25" s="73"/>
      <c r="P25" s="54"/>
      <c r="Q25" s="56"/>
      <c r="R25" s="56"/>
      <c r="S25" s="56"/>
      <c r="T25" s="80"/>
      <c r="U25" s="77"/>
      <c r="V25" s="137" t="s">
        <v>860</v>
      </c>
      <c r="W25" s="77"/>
      <c r="X25" s="77"/>
      <c r="Y25" s="57"/>
      <c r="Z25" s="60"/>
      <c r="AA25" s="55" t="s">
        <v>861</v>
      </c>
      <c r="AB25" s="61"/>
      <c r="AC25" s="61"/>
      <c r="AD25" s="61"/>
      <c r="AE25" s="63"/>
      <c r="AF25" s="64"/>
      <c r="AG25" s="64"/>
      <c r="AH25" s="64"/>
      <c r="AI25" s="64"/>
      <c r="AJ25" s="72"/>
      <c r="AK25" s="73"/>
      <c r="AL25" s="73"/>
      <c r="AM25" s="73"/>
      <c r="AN25" s="73"/>
      <c r="AO25" s="66"/>
      <c r="AP25" s="56"/>
      <c r="AQ25" s="56"/>
      <c r="AR25" s="56"/>
      <c r="AS25" s="56"/>
      <c r="AT25" s="77"/>
      <c r="AU25" s="77"/>
      <c r="AV25" s="77"/>
      <c r="AW25" s="77"/>
      <c r="AX25" s="57"/>
      <c r="AY25" s="60"/>
      <c r="AZ25" s="61"/>
      <c r="BA25" s="61"/>
      <c r="BB25" s="61"/>
      <c r="BC25" s="61"/>
      <c r="BD25" s="63"/>
      <c r="BE25" s="64"/>
      <c r="BF25" s="64"/>
      <c r="BG25" s="64"/>
      <c r="BH25" s="64"/>
      <c r="BI25" s="72"/>
      <c r="BJ25" s="73"/>
      <c r="BK25" s="73"/>
      <c r="BL25" s="73"/>
      <c r="BM25" s="73"/>
      <c r="BN25" s="66"/>
      <c r="BO25" s="56"/>
      <c r="BP25" s="56"/>
      <c r="BQ25" s="56"/>
      <c r="BR25" s="56"/>
      <c r="BS25" s="77"/>
      <c r="BT25" s="77"/>
      <c r="BU25" s="77"/>
      <c r="BV25" s="77"/>
      <c r="BW25" s="57"/>
      <c r="BX25" s="60"/>
      <c r="BY25" s="61"/>
      <c r="BZ25" s="61"/>
      <c r="CA25" s="61"/>
      <c r="CB25" s="61"/>
      <c r="CC25" s="74"/>
    </row>
    <row r="26" spans="2:81" ht="30">
      <c r="B26" s="47" t="s">
        <v>864</v>
      </c>
      <c r="C26" s="48" t="s">
        <v>865</v>
      </c>
      <c r="D26" s="49" t="s">
        <v>871</v>
      </c>
      <c r="E26" s="70" t="s">
        <v>872</v>
      </c>
      <c r="F26" s="71" t="s">
        <v>1611</v>
      </c>
      <c r="G26" s="52" t="s">
        <v>1612</v>
      </c>
      <c r="H26" s="49" t="s">
        <v>0</v>
      </c>
      <c r="I26" s="49" t="s">
        <v>1608</v>
      </c>
      <c r="J26" s="49" t="s">
        <v>1609</v>
      </c>
      <c r="K26" s="72"/>
      <c r="L26" s="73"/>
      <c r="M26" s="73"/>
      <c r="N26" s="73"/>
      <c r="O26" s="73"/>
      <c r="P26" s="54"/>
      <c r="Q26" s="56"/>
      <c r="R26" s="56"/>
      <c r="S26" s="56"/>
      <c r="T26" s="80"/>
      <c r="U26" s="77"/>
      <c r="V26" s="137" t="s">
        <v>860</v>
      </c>
      <c r="W26" s="77"/>
      <c r="X26" s="77"/>
      <c r="Y26" s="57"/>
      <c r="Z26" s="60"/>
      <c r="AA26" s="55" t="s">
        <v>861</v>
      </c>
      <c r="AB26" s="61"/>
      <c r="AC26" s="61"/>
      <c r="AD26" s="61"/>
      <c r="AE26" s="63"/>
      <c r="AF26" s="64"/>
      <c r="AG26" s="64"/>
      <c r="AH26" s="64"/>
      <c r="AI26" s="64"/>
      <c r="AJ26" s="72"/>
      <c r="AK26" s="73"/>
      <c r="AL26" s="73"/>
      <c r="AM26" s="73"/>
      <c r="AN26" s="73"/>
      <c r="AO26" s="66"/>
      <c r="AP26" s="56"/>
      <c r="AQ26" s="56"/>
      <c r="AR26" s="56"/>
      <c r="AS26" s="56"/>
      <c r="AT26" s="77"/>
      <c r="AU26" s="77"/>
      <c r="AV26" s="77"/>
      <c r="AW26" s="77"/>
      <c r="AX26" s="57"/>
      <c r="AY26" s="60"/>
      <c r="AZ26" s="61"/>
      <c r="BA26" s="61"/>
      <c r="BB26" s="61"/>
      <c r="BC26" s="61"/>
      <c r="BD26" s="63"/>
      <c r="BE26" s="64"/>
      <c r="BF26" s="64"/>
      <c r="BG26" s="64"/>
      <c r="BH26" s="64"/>
      <c r="BI26" s="72"/>
      <c r="BJ26" s="73"/>
      <c r="BK26" s="73"/>
      <c r="BL26" s="73"/>
      <c r="BM26" s="73"/>
      <c r="BN26" s="66"/>
      <c r="BO26" s="56"/>
      <c r="BP26" s="56"/>
      <c r="BQ26" s="56"/>
      <c r="BR26" s="56"/>
      <c r="BS26" s="77"/>
      <c r="BT26" s="77"/>
      <c r="BU26" s="77"/>
      <c r="BV26" s="77"/>
      <c r="BW26" s="57"/>
      <c r="BX26" s="60"/>
      <c r="BY26" s="61"/>
      <c r="BZ26" s="61"/>
      <c r="CA26" s="61"/>
      <c r="CB26" s="61"/>
      <c r="CC26" s="74"/>
    </row>
    <row r="27" spans="2:81" ht="30">
      <c r="B27" s="47" t="s">
        <v>864</v>
      </c>
      <c r="C27" s="48" t="s">
        <v>873</v>
      </c>
      <c r="D27" s="49" t="s">
        <v>874</v>
      </c>
      <c r="E27" s="81" t="s">
        <v>875</v>
      </c>
      <c r="F27" s="82" t="s">
        <v>1611</v>
      </c>
      <c r="G27" s="83" t="s">
        <v>1612</v>
      </c>
      <c r="H27" s="49" t="s">
        <v>0</v>
      </c>
      <c r="I27" s="49" t="s">
        <v>1608</v>
      </c>
      <c r="J27" s="49" t="s">
        <v>1609</v>
      </c>
      <c r="K27" s="84"/>
      <c r="L27" s="85"/>
      <c r="M27" s="85"/>
      <c r="N27" s="85"/>
      <c r="O27" s="85"/>
      <c r="P27" s="56"/>
      <c r="Q27" s="56"/>
      <c r="R27" s="56"/>
      <c r="S27" s="56"/>
      <c r="T27" s="86"/>
      <c r="U27" s="77"/>
      <c r="V27" s="137" t="s">
        <v>860</v>
      </c>
      <c r="W27" s="87"/>
      <c r="X27" s="87"/>
      <c r="Y27" s="57"/>
      <c r="Z27" s="88"/>
      <c r="AA27" s="55" t="s">
        <v>861</v>
      </c>
      <c r="AB27" s="89"/>
      <c r="AC27" s="89"/>
      <c r="AD27" s="89"/>
      <c r="AE27" s="90"/>
      <c r="AF27" s="91"/>
      <c r="AG27" s="91"/>
      <c r="AH27" s="91"/>
      <c r="AI27" s="91"/>
      <c r="AJ27" s="84"/>
      <c r="AK27" s="85"/>
      <c r="AL27" s="85"/>
      <c r="AM27" s="85"/>
      <c r="AN27" s="85"/>
      <c r="AO27" s="92"/>
      <c r="AP27" s="86"/>
      <c r="AQ27" s="86"/>
      <c r="AR27" s="86"/>
      <c r="AS27" s="86"/>
      <c r="AT27" s="87"/>
      <c r="AU27" s="87"/>
      <c r="AV27" s="87"/>
      <c r="AW27" s="87"/>
      <c r="AX27" s="93"/>
      <c r="AY27" s="88"/>
      <c r="AZ27" s="89"/>
      <c r="BA27" s="89"/>
      <c r="BB27" s="89"/>
      <c r="BC27" s="89"/>
      <c r="BD27" s="90"/>
      <c r="BE27" s="91"/>
      <c r="BF27" s="91"/>
      <c r="BG27" s="91"/>
      <c r="BH27" s="91"/>
      <c r="BI27" s="84"/>
      <c r="BJ27" s="85"/>
      <c r="BK27" s="85"/>
      <c r="BL27" s="85"/>
      <c r="BM27" s="85"/>
      <c r="BN27" s="92"/>
      <c r="BO27" s="86"/>
      <c r="BP27" s="86"/>
      <c r="BQ27" s="86"/>
      <c r="BR27" s="86"/>
      <c r="BS27" s="87"/>
      <c r="BT27" s="87"/>
      <c r="BU27" s="87"/>
      <c r="BV27" s="87"/>
      <c r="BW27" s="93"/>
      <c r="BX27" s="88"/>
      <c r="BY27" s="89"/>
      <c r="BZ27" s="89"/>
      <c r="CA27" s="89"/>
      <c r="CB27" s="89"/>
      <c r="CC27" s="94"/>
    </row>
    <row r="28" spans="2:81" ht="30">
      <c r="B28" s="47" t="s">
        <v>864</v>
      </c>
      <c r="C28" s="48" t="s">
        <v>873</v>
      </c>
      <c r="D28" s="49" t="s">
        <v>1613</v>
      </c>
      <c r="E28" s="70" t="s">
        <v>877</v>
      </c>
      <c r="F28" s="71" t="s">
        <v>1611</v>
      </c>
      <c r="G28" s="52" t="s">
        <v>1612</v>
      </c>
      <c r="H28" s="49" t="s">
        <v>0</v>
      </c>
      <c r="I28" s="49" t="s">
        <v>1608</v>
      </c>
      <c r="J28" s="49" t="s">
        <v>1609</v>
      </c>
      <c r="K28" s="72"/>
      <c r="L28" s="73"/>
      <c r="M28" s="73"/>
      <c r="N28" s="73"/>
      <c r="O28" s="73"/>
      <c r="P28" s="56"/>
      <c r="Q28" s="56"/>
      <c r="R28" s="56"/>
      <c r="S28" s="56"/>
      <c r="T28" s="56"/>
      <c r="U28" s="77"/>
      <c r="V28" s="137" t="s">
        <v>860</v>
      </c>
      <c r="W28" s="77"/>
      <c r="X28" s="77"/>
      <c r="Y28" s="57"/>
      <c r="Z28" s="60"/>
      <c r="AA28" s="55" t="s">
        <v>861</v>
      </c>
      <c r="AB28" s="61"/>
      <c r="AC28" s="61"/>
      <c r="AD28" s="61"/>
      <c r="AE28" s="63"/>
      <c r="AF28" s="64"/>
      <c r="AG28" s="64"/>
      <c r="AH28" s="64"/>
      <c r="AI28" s="64"/>
      <c r="AJ28" s="72"/>
      <c r="AK28" s="73"/>
      <c r="AL28" s="73"/>
      <c r="AM28" s="73"/>
      <c r="AN28" s="73"/>
      <c r="AO28" s="66"/>
      <c r="AP28" s="56"/>
      <c r="AQ28" s="56"/>
      <c r="AR28" s="56"/>
      <c r="AS28" s="56"/>
      <c r="AT28" s="77"/>
      <c r="AU28" s="77"/>
      <c r="AV28" s="77"/>
      <c r="AW28" s="77"/>
      <c r="AX28" s="57"/>
      <c r="AY28" s="60"/>
      <c r="AZ28" s="61"/>
      <c r="BA28" s="61"/>
      <c r="BB28" s="61"/>
      <c r="BC28" s="61"/>
      <c r="BD28" s="63"/>
      <c r="BE28" s="64"/>
      <c r="BF28" s="64"/>
      <c r="BG28" s="64"/>
      <c r="BH28" s="64"/>
      <c r="BI28" s="72"/>
      <c r="BJ28" s="73"/>
      <c r="BK28" s="73"/>
      <c r="BL28" s="73"/>
      <c r="BM28" s="73"/>
      <c r="BN28" s="66"/>
      <c r="BO28" s="56"/>
      <c r="BP28" s="56"/>
      <c r="BQ28" s="56"/>
      <c r="BR28" s="56"/>
      <c r="BS28" s="77"/>
      <c r="BT28" s="77"/>
      <c r="BU28" s="77"/>
      <c r="BV28" s="77"/>
      <c r="BW28" s="57"/>
      <c r="BX28" s="60"/>
      <c r="BY28" s="61"/>
      <c r="BZ28" s="61"/>
      <c r="CA28" s="61"/>
      <c r="CB28" s="61"/>
      <c r="CC28" s="74"/>
    </row>
    <row r="29" spans="2:81" ht="30">
      <c r="B29" s="47" t="s">
        <v>864</v>
      </c>
      <c r="C29" s="48" t="s">
        <v>873</v>
      </c>
      <c r="D29" s="49" t="s">
        <v>878</v>
      </c>
      <c r="E29" s="70" t="s">
        <v>879</v>
      </c>
      <c r="F29" s="71" t="s">
        <v>1611</v>
      </c>
      <c r="G29" s="52" t="s">
        <v>1612</v>
      </c>
      <c r="H29" s="49" t="s">
        <v>0</v>
      </c>
      <c r="I29" s="49" t="s">
        <v>1608</v>
      </c>
      <c r="J29" s="49" t="s">
        <v>1609</v>
      </c>
      <c r="K29" s="72"/>
      <c r="L29" s="73"/>
      <c r="M29" s="73"/>
      <c r="N29" s="73"/>
      <c r="O29" s="73"/>
      <c r="P29" s="56"/>
      <c r="Q29" s="56"/>
      <c r="R29" s="56"/>
      <c r="S29" s="56"/>
      <c r="T29" s="56"/>
      <c r="U29" s="77"/>
      <c r="V29" s="137" t="s">
        <v>860</v>
      </c>
      <c r="W29" s="77"/>
      <c r="X29" s="77"/>
      <c r="Y29" s="57"/>
      <c r="Z29" s="60"/>
      <c r="AA29" s="55" t="s">
        <v>861</v>
      </c>
      <c r="AB29" s="61"/>
      <c r="AC29" s="61"/>
      <c r="AD29" s="61"/>
      <c r="AE29" s="63"/>
      <c r="AF29" s="64"/>
      <c r="AG29" s="64"/>
      <c r="AH29" s="64"/>
      <c r="AI29" s="64"/>
      <c r="AJ29" s="72"/>
      <c r="AK29" s="73"/>
      <c r="AL29" s="73"/>
      <c r="AM29" s="73"/>
      <c r="AN29" s="73"/>
      <c r="AO29" s="66"/>
      <c r="AP29" s="56"/>
      <c r="AQ29" s="56"/>
      <c r="AR29" s="56"/>
      <c r="AS29" s="56"/>
      <c r="AT29" s="77"/>
      <c r="AU29" s="77"/>
      <c r="AV29" s="77"/>
      <c r="AW29" s="77"/>
      <c r="AX29" s="57"/>
      <c r="AY29" s="60"/>
      <c r="AZ29" s="61"/>
      <c r="BA29" s="61"/>
      <c r="BB29" s="61"/>
      <c r="BC29" s="61"/>
      <c r="BD29" s="63"/>
      <c r="BE29" s="64"/>
      <c r="BF29" s="64"/>
      <c r="BG29" s="64"/>
      <c r="BH29" s="64"/>
      <c r="BI29" s="72"/>
      <c r="BJ29" s="73"/>
      <c r="BK29" s="73"/>
      <c r="BL29" s="73"/>
      <c r="BM29" s="73"/>
      <c r="BN29" s="66"/>
      <c r="BO29" s="56"/>
      <c r="BP29" s="56"/>
      <c r="BQ29" s="56"/>
      <c r="BR29" s="56"/>
      <c r="BS29" s="77"/>
      <c r="BT29" s="77"/>
      <c r="BU29" s="77"/>
      <c r="BV29" s="77"/>
      <c r="BW29" s="57"/>
      <c r="BX29" s="60"/>
      <c r="BY29" s="61"/>
      <c r="BZ29" s="61"/>
      <c r="CA29" s="61"/>
      <c r="CB29" s="61"/>
      <c r="CC29" s="74"/>
    </row>
    <row r="30" spans="2:81" ht="30">
      <c r="B30" s="47" t="s">
        <v>864</v>
      </c>
      <c r="C30" s="48" t="s">
        <v>880</v>
      </c>
      <c r="D30" s="49" t="s">
        <v>881</v>
      </c>
      <c r="E30" s="70" t="s">
        <v>882</v>
      </c>
      <c r="F30" s="71" t="s">
        <v>1611</v>
      </c>
      <c r="G30" s="52" t="s">
        <v>1612</v>
      </c>
      <c r="H30" s="49" t="s">
        <v>0</v>
      </c>
      <c r="I30" s="49" t="s">
        <v>1608</v>
      </c>
      <c r="J30" s="49" t="s">
        <v>1609</v>
      </c>
      <c r="K30" s="72"/>
      <c r="L30" s="73"/>
      <c r="M30" s="73"/>
      <c r="N30" s="73"/>
      <c r="O30" s="73"/>
      <c r="P30" s="56"/>
      <c r="Q30" s="56"/>
      <c r="R30" s="56"/>
      <c r="S30" s="56"/>
      <c r="T30" s="56"/>
      <c r="U30" s="77"/>
      <c r="V30" s="137" t="s">
        <v>860</v>
      </c>
      <c r="W30" s="77"/>
      <c r="X30" s="77"/>
      <c r="Y30" s="57"/>
      <c r="Z30" s="60"/>
      <c r="AA30" s="55" t="s">
        <v>861</v>
      </c>
      <c r="AB30" s="54"/>
      <c r="AC30" s="61"/>
      <c r="AD30" s="61"/>
      <c r="AE30" s="63"/>
      <c r="AF30" s="80"/>
      <c r="AG30" s="64"/>
      <c r="AH30" s="64"/>
      <c r="AI30" s="64"/>
      <c r="AJ30" s="72"/>
      <c r="AK30" s="73"/>
      <c r="AL30" s="73"/>
      <c r="AM30" s="73"/>
      <c r="AN30" s="73"/>
      <c r="AO30" s="66"/>
      <c r="AP30" s="56"/>
      <c r="AQ30" s="56"/>
      <c r="AR30" s="56"/>
      <c r="AS30" s="56"/>
      <c r="AT30" s="77"/>
      <c r="AU30" s="77"/>
      <c r="AV30" s="77"/>
      <c r="AW30" s="77"/>
      <c r="AX30" s="57"/>
      <c r="AY30" s="60"/>
      <c r="AZ30" s="61"/>
      <c r="BA30" s="61"/>
      <c r="BB30" s="61"/>
      <c r="BC30" s="61"/>
      <c r="BD30" s="63"/>
      <c r="BE30" s="64"/>
      <c r="BF30" s="64"/>
      <c r="BG30" s="64"/>
      <c r="BH30" s="64"/>
      <c r="BI30" s="72"/>
      <c r="BJ30" s="73"/>
      <c r="BK30" s="73"/>
      <c r="BL30" s="73"/>
      <c r="BM30" s="73"/>
      <c r="BN30" s="66"/>
      <c r="BO30" s="56"/>
      <c r="BP30" s="56"/>
      <c r="BQ30" s="56"/>
      <c r="BR30" s="56"/>
      <c r="BS30" s="77"/>
      <c r="BT30" s="77"/>
      <c r="BU30" s="77"/>
      <c r="BV30" s="77"/>
      <c r="BW30" s="57"/>
      <c r="BX30" s="60"/>
      <c r="BY30" s="61"/>
      <c r="BZ30" s="61"/>
      <c r="CA30" s="61"/>
      <c r="CB30" s="61"/>
      <c r="CC30" s="74"/>
    </row>
    <row r="31" spans="2:81" ht="30">
      <c r="B31" s="47" t="s">
        <v>864</v>
      </c>
      <c r="C31" s="48" t="s">
        <v>880</v>
      </c>
      <c r="D31" s="49" t="s">
        <v>884</v>
      </c>
      <c r="E31" s="70" t="s">
        <v>885</v>
      </c>
      <c r="F31" s="71" t="s">
        <v>1611</v>
      </c>
      <c r="G31" s="52" t="s">
        <v>1612</v>
      </c>
      <c r="H31" s="49" t="s">
        <v>0</v>
      </c>
      <c r="I31" s="49" t="s">
        <v>1608</v>
      </c>
      <c r="J31" s="49" t="s">
        <v>1609</v>
      </c>
      <c r="K31" s="72"/>
      <c r="L31" s="73"/>
      <c r="M31" s="73"/>
      <c r="N31" s="73"/>
      <c r="O31" s="73"/>
      <c r="P31" s="56"/>
      <c r="Q31" s="56"/>
      <c r="R31" s="56"/>
      <c r="S31" s="56"/>
      <c r="T31" s="56"/>
      <c r="U31" s="77"/>
      <c r="V31" s="137" t="s">
        <v>860</v>
      </c>
      <c r="W31" s="77"/>
      <c r="X31" s="77"/>
      <c r="Y31" s="57"/>
      <c r="Z31" s="60"/>
      <c r="AA31" s="55" t="s">
        <v>861</v>
      </c>
      <c r="AB31" s="54"/>
      <c r="AC31" s="61"/>
      <c r="AD31" s="61"/>
      <c r="AE31" s="63"/>
      <c r="AF31" s="80"/>
      <c r="AG31" s="64"/>
      <c r="AH31" s="64"/>
      <c r="AI31" s="64"/>
      <c r="AJ31" s="72"/>
      <c r="AK31" s="73"/>
      <c r="AL31" s="73"/>
      <c r="AM31" s="73"/>
      <c r="AN31" s="73"/>
      <c r="AO31" s="66"/>
      <c r="AP31" s="56"/>
      <c r="AQ31" s="56"/>
      <c r="AR31" s="56"/>
      <c r="AS31" s="56"/>
      <c r="AT31" s="77"/>
      <c r="AU31" s="77"/>
      <c r="AV31" s="77"/>
      <c r="AW31" s="77"/>
      <c r="AX31" s="57"/>
      <c r="AY31" s="60"/>
      <c r="AZ31" s="61"/>
      <c r="BA31" s="61"/>
      <c r="BB31" s="61"/>
      <c r="BC31" s="61"/>
      <c r="BD31" s="63"/>
      <c r="BE31" s="64"/>
      <c r="BF31" s="64"/>
      <c r="BG31" s="64"/>
      <c r="BH31" s="64"/>
      <c r="BI31" s="72"/>
      <c r="BJ31" s="73"/>
      <c r="BK31" s="73"/>
      <c r="BL31" s="73"/>
      <c r="BM31" s="73"/>
      <c r="BN31" s="66"/>
      <c r="BO31" s="56"/>
      <c r="BP31" s="56"/>
      <c r="BQ31" s="56"/>
      <c r="BR31" s="56"/>
      <c r="BS31" s="77"/>
      <c r="BT31" s="77"/>
      <c r="BU31" s="77"/>
      <c r="BV31" s="77"/>
      <c r="BW31" s="57"/>
      <c r="BX31" s="60"/>
      <c r="BY31" s="61"/>
      <c r="BZ31" s="61"/>
      <c r="CA31" s="61"/>
      <c r="CB31" s="61"/>
      <c r="CC31" s="74"/>
    </row>
    <row r="32" spans="2:81" ht="30">
      <c r="B32" s="47" t="s">
        <v>864</v>
      </c>
      <c r="C32" s="48" t="s">
        <v>880</v>
      </c>
      <c r="D32" s="49" t="s">
        <v>886</v>
      </c>
      <c r="E32" s="70" t="s">
        <v>887</v>
      </c>
      <c r="F32" s="71" t="s">
        <v>1611</v>
      </c>
      <c r="G32" s="52" t="s">
        <v>1612</v>
      </c>
      <c r="H32" s="49" t="s">
        <v>0</v>
      </c>
      <c r="I32" s="49" t="s">
        <v>1608</v>
      </c>
      <c r="J32" s="49" t="s">
        <v>1609</v>
      </c>
      <c r="K32" s="72"/>
      <c r="L32" s="73"/>
      <c r="M32" s="73"/>
      <c r="N32" s="73"/>
      <c r="O32" s="73"/>
      <c r="P32" s="56"/>
      <c r="Q32" s="56"/>
      <c r="R32" s="56"/>
      <c r="S32" s="56"/>
      <c r="T32" s="56"/>
      <c r="U32" s="77"/>
      <c r="V32" s="137" t="s">
        <v>860</v>
      </c>
      <c r="W32" s="77"/>
      <c r="X32" s="77"/>
      <c r="Y32" s="57"/>
      <c r="Z32" s="60"/>
      <c r="AA32" s="55" t="s">
        <v>861</v>
      </c>
      <c r="AB32" s="54"/>
      <c r="AC32" s="61"/>
      <c r="AD32" s="61"/>
      <c r="AE32" s="63"/>
      <c r="AF32" s="80"/>
      <c r="AG32" s="64"/>
      <c r="AH32" s="64"/>
      <c r="AI32" s="64"/>
      <c r="AJ32" s="72"/>
      <c r="AK32" s="73"/>
      <c r="AL32" s="73"/>
      <c r="AM32" s="73"/>
      <c r="AN32" s="73"/>
      <c r="AO32" s="66"/>
      <c r="AP32" s="56"/>
      <c r="AQ32" s="56"/>
      <c r="AR32" s="56"/>
      <c r="AS32" s="56"/>
      <c r="AT32" s="77"/>
      <c r="AU32" s="77"/>
      <c r="AV32" s="77"/>
      <c r="AW32" s="77"/>
      <c r="AX32" s="57"/>
      <c r="AY32" s="60"/>
      <c r="AZ32" s="61"/>
      <c r="BA32" s="61"/>
      <c r="BB32" s="61"/>
      <c r="BC32" s="61"/>
      <c r="BD32" s="63"/>
      <c r="BE32" s="64"/>
      <c r="BF32" s="64"/>
      <c r="BG32" s="64"/>
      <c r="BH32" s="64"/>
      <c r="BI32" s="72"/>
      <c r="BJ32" s="73"/>
      <c r="BK32" s="73"/>
      <c r="BL32" s="73"/>
      <c r="BM32" s="73"/>
      <c r="BN32" s="66"/>
      <c r="BO32" s="56"/>
      <c r="BP32" s="56"/>
      <c r="BQ32" s="56"/>
      <c r="BR32" s="56"/>
      <c r="BS32" s="77"/>
      <c r="BT32" s="77"/>
      <c r="BU32" s="77"/>
      <c r="BV32" s="77"/>
      <c r="BW32" s="57"/>
      <c r="BX32" s="60"/>
      <c r="BY32" s="61"/>
      <c r="BZ32" s="61"/>
      <c r="CA32" s="61"/>
      <c r="CB32" s="61"/>
      <c r="CC32" s="74"/>
    </row>
    <row r="33" spans="2:81" ht="30">
      <c r="B33" s="47" t="s">
        <v>864</v>
      </c>
      <c r="C33" s="48" t="s">
        <v>880</v>
      </c>
      <c r="D33" s="49" t="s">
        <v>888</v>
      </c>
      <c r="E33" s="70" t="s">
        <v>889</v>
      </c>
      <c r="F33" s="71" t="s">
        <v>1611</v>
      </c>
      <c r="G33" s="52" t="s">
        <v>1612</v>
      </c>
      <c r="H33" s="49" t="s">
        <v>0</v>
      </c>
      <c r="I33" s="49" t="s">
        <v>1608</v>
      </c>
      <c r="J33" s="49" t="s">
        <v>1609</v>
      </c>
      <c r="K33" s="72"/>
      <c r="L33" s="73"/>
      <c r="M33" s="73"/>
      <c r="N33" s="73"/>
      <c r="O33" s="73"/>
      <c r="P33" s="56"/>
      <c r="Q33" s="56"/>
      <c r="R33" s="56"/>
      <c r="S33" s="56"/>
      <c r="T33" s="56"/>
      <c r="U33" s="77"/>
      <c r="V33" s="137" t="s">
        <v>860</v>
      </c>
      <c r="W33" s="77"/>
      <c r="X33" s="77"/>
      <c r="Y33" s="93"/>
      <c r="Z33" s="60"/>
      <c r="AA33" s="55" t="s">
        <v>861</v>
      </c>
      <c r="AB33" s="54"/>
      <c r="AC33" s="61"/>
      <c r="AD33" s="61"/>
      <c r="AE33" s="63"/>
      <c r="AF33" s="64"/>
      <c r="AG33" s="64"/>
      <c r="AH33" s="64"/>
      <c r="AI33" s="64"/>
      <c r="AJ33" s="72"/>
      <c r="AK33" s="73"/>
      <c r="AL33" s="73"/>
      <c r="AM33" s="73"/>
      <c r="AN33" s="73"/>
      <c r="AO33" s="66"/>
      <c r="AP33" s="56"/>
      <c r="AQ33" s="56"/>
      <c r="AR33" s="56"/>
      <c r="AS33" s="56"/>
      <c r="AT33" s="77"/>
      <c r="AU33" s="77"/>
      <c r="AV33" s="77"/>
      <c r="AW33" s="77"/>
      <c r="AX33" s="57"/>
      <c r="AY33" s="60"/>
      <c r="AZ33" s="61"/>
      <c r="BA33" s="61"/>
      <c r="BB33" s="61"/>
      <c r="BC33" s="61"/>
      <c r="BD33" s="63"/>
      <c r="BE33" s="64"/>
      <c r="BF33" s="64"/>
      <c r="BG33" s="64"/>
      <c r="BH33" s="64"/>
      <c r="BI33" s="72"/>
      <c r="BJ33" s="73"/>
      <c r="BK33" s="73"/>
      <c r="BL33" s="73"/>
      <c r="BM33" s="73"/>
      <c r="BN33" s="66"/>
      <c r="BO33" s="56"/>
      <c r="BP33" s="56"/>
      <c r="BQ33" s="56"/>
      <c r="BR33" s="56"/>
      <c r="BS33" s="77"/>
      <c r="BT33" s="77"/>
      <c r="BU33" s="77"/>
      <c r="BV33" s="77"/>
      <c r="BW33" s="57"/>
      <c r="BX33" s="60"/>
      <c r="BY33" s="61"/>
      <c r="BZ33" s="61"/>
      <c r="CA33" s="61"/>
      <c r="CB33" s="61"/>
      <c r="CC33" s="74"/>
    </row>
    <row r="34" spans="2:81" ht="30">
      <c r="B34" s="47" t="s">
        <v>864</v>
      </c>
      <c r="C34" s="48" t="s">
        <v>880</v>
      </c>
      <c r="D34" s="49" t="s">
        <v>890</v>
      </c>
      <c r="E34" s="70" t="s">
        <v>891</v>
      </c>
      <c r="F34" s="71" t="s">
        <v>1611</v>
      </c>
      <c r="G34" s="52" t="s">
        <v>1612</v>
      </c>
      <c r="H34" s="49" t="s">
        <v>0</v>
      </c>
      <c r="I34" s="49" t="s">
        <v>1608</v>
      </c>
      <c r="J34" s="49" t="s">
        <v>1609</v>
      </c>
      <c r="K34" s="72"/>
      <c r="L34" s="73"/>
      <c r="M34" s="73"/>
      <c r="N34" s="73"/>
      <c r="O34" s="73"/>
      <c r="P34" s="56"/>
      <c r="Q34" s="56"/>
      <c r="R34" s="56"/>
      <c r="S34" s="56"/>
      <c r="T34" s="56"/>
      <c r="U34" s="77"/>
      <c r="V34" s="137" t="s">
        <v>860</v>
      </c>
      <c r="W34" s="77"/>
      <c r="X34" s="77"/>
      <c r="Y34" s="57"/>
      <c r="Z34" s="60"/>
      <c r="AA34" s="55" t="s">
        <v>861</v>
      </c>
      <c r="AB34" s="54"/>
      <c r="AC34" s="61"/>
      <c r="AD34" s="61"/>
      <c r="AE34" s="63"/>
      <c r="AF34" s="64"/>
      <c r="AG34" s="64"/>
      <c r="AH34" s="64"/>
      <c r="AI34" s="64"/>
      <c r="AJ34" s="72"/>
      <c r="AK34" s="73"/>
      <c r="AL34" s="73"/>
      <c r="AM34" s="73"/>
      <c r="AN34" s="73"/>
      <c r="AO34" s="66"/>
      <c r="AP34" s="56"/>
      <c r="AQ34" s="56"/>
      <c r="AR34" s="56"/>
      <c r="AS34" s="56"/>
      <c r="AT34" s="77"/>
      <c r="AU34" s="77"/>
      <c r="AV34" s="77"/>
      <c r="AW34" s="77"/>
      <c r="AX34" s="57"/>
      <c r="AY34" s="60"/>
      <c r="AZ34" s="61"/>
      <c r="BA34" s="61"/>
      <c r="BB34" s="61"/>
      <c r="BC34" s="61"/>
      <c r="BD34" s="63"/>
      <c r="BE34" s="64"/>
      <c r="BF34" s="64"/>
      <c r="BG34" s="64"/>
      <c r="BH34" s="64"/>
      <c r="BI34" s="72"/>
      <c r="BJ34" s="73"/>
      <c r="BK34" s="73"/>
      <c r="BL34" s="73"/>
      <c r="BM34" s="73"/>
      <c r="BN34" s="66"/>
      <c r="BO34" s="56"/>
      <c r="BP34" s="56"/>
      <c r="BQ34" s="56"/>
      <c r="BR34" s="56"/>
      <c r="BS34" s="77"/>
      <c r="BT34" s="77"/>
      <c r="BU34" s="77"/>
      <c r="BV34" s="77"/>
      <c r="BW34" s="57"/>
      <c r="BX34" s="60"/>
      <c r="BY34" s="61"/>
      <c r="BZ34" s="61"/>
      <c r="CA34" s="61"/>
      <c r="CB34" s="61"/>
      <c r="CC34" s="74"/>
    </row>
    <row r="35" spans="2:81" ht="30">
      <c r="B35" s="47" t="s">
        <v>864</v>
      </c>
      <c r="C35" s="48" t="s">
        <v>880</v>
      </c>
      <c r="D35" s="49" t="s">
        <v>892</v>
      </c>
      <c r="E35" s="70" t="s">
        <v>893</v>
      </c>
      <c r="F35" s="71" t="s">
        <v>1611</v>
      </c>
      <c r="G35" s="52" t="s">
        <v>1612</v>
      </c>
      <c r="H35" s="49" t="s">
        <v>0</v>
      </c>
      <c r="I35" s="49" t="s">
        <v>1608</v>
      </c>
      <c r="J35" s="49" t="s">
        <v>1609</v>
      </c>
      <c r="K35" s="72"/>
      <c r="L35" s="73"/>
      <c r="M35" s="73"/>
      <c r="N35" s="73"/>
      <c r="O35" s="73"/>
      <c r="P35" s="56"/>
      <c r="Q35" s="56"/>
      <c r="R35" s="56"/>
      <c r="S35" s="56"/>
      <c r="T35" s="56"/>
      <c r="U35" s="77"/>
      <c r="V35" s="137" t="s">
        <v>860</v>
      </c>
      <c r="W35" s="77"/>
      <c r="X35" s="77"/>
      <c r="Y35" s="57"/>
      <c r="Z35" s="60"/>
      <c r="AA35" s="55" t="s">
        <v>861</v>
      </c>
      <c r="AB35" s="54"/>
      <c r="AC35" s="61"/>
      <c r="AD35" s="61"/>
      <c r="AE35" s="63"/>
      <c r="AF35" s="64"/>
      <c r="AG35" s="64"/>
      <c r="AH35" s="64"/>
      <c r="AI35" s="64"/>
      <c r="AJ35" s="72"/>
      <c r="AK35" s="73"/>
      <c r="AL35" s="73"/>
      <c r="AM35" s="73"/>
      <c r="AN35" s="73"/>
      <c r="AO35" s="66"/>
      <c r="AP35" s="56"/>
      <c r="AQ35" s="56"/>
      <c r="AR35" s="56"/>
      <c r="AS35" s="56"/>
      <c r="AT35" s="77"/>
      <c r="AU35" s="77"/>
      <c r="AV35" s="77"/>
      <c r="AW35" s="77"/>
      <c r="AX35" s="57"/>
      <c r="AY35" s="60"/>
      <c r="AZ35" s="61"/>
      <c r="BA35" s="61"/>
      <c r="BB35" s="61"/>
      <c r="BC35" s="61"/>
      <c r="BD35" s="63"/>
      <c r="BE35" s="64"/>
      <c r="BF35" s="64"/>
      <c r="BG35" s="64"/>
      <c r="BH35" s="64"/>
      <c r="BI35" s="72"/>
      <c r="BJ35" s="73"/>
      <c r="BK35" s="73"/>
      <c r="BL35" s="73"/>
      <c r="BM35" s="73"/>
      <c r="BN35" s="66"/>
      <c r="BO35" s="56"/>
      <c r="BP35" s="56"/>
      <c r="BQ35" s="56"/>
      <c r="BR35" s="56"/>
      <c r="BS35" s="77"/>
      <c r="BT35" s="77"/>
      <c r="BU35" s="77"/>
      <c r="BV35" s="77"/>
      <c r="BW35" s="57"/>
      <c r="BX35" s="60"/>
      <c r="BY35" s="61"/>
      <c r="BZ35" s="61"/>
      <c r="CA35" s="61"/>
      <c r="CB35" s="61"/>
      <c r="CC35" s="74"/>
    </row>
    <row r="36" spans="2:81" ht="30">
      <c r="B36" s="47" t="s">
        <v>864</v>
      </c>
      <c r="C36" s="48" t="s">
        <v>894</v>
      </c>
      <c r="D36" s="49" t="s">
        <v>895</v>
      </c>
      <c r="E36" s="70" t="s">
        <v>896</v>
      </c>
      <c r="F36" s="71" t="s">
        <v>1611</v>
      </c>
      <c r="G36" s="52" t="s">
        <v>1612</v>
      </c>
      <c r="H36" s="49" t="s">
        <v>0</v>
      </c>
      <c r="I36" s="49" t="s">
        <v>1608</v>
      </c>
      <c r="J36" s="49" t="s">
        <v>1609</v>
      </c>
      <c r="K36" s="72"/>
      <c r="L36" s="73"/>
      <c r="M36" s="73"/>
      <c r="N36" s="73"/>
      <c r="O36" s="73"/>
      <c r="P36" s="56"/>
      <c r="Q36" s="56"/>
      <c r="R36" s="56"/>
      <c r="S36" s="56"/>
      <c r="T36" s="56"/>
      <c r="U36" s="87"/>
      <c r="V36" s="137" t="s">
        <v>860</v>
      </c>
      <c r="W36" s="77"/>
      <c r="X36" s="77"/>
      <c r="Y36" s="57"/>
      <c r="Z36" s="60"/>
      <c r="AA36" s="55" t="s">
        <v>861</v>
      </c>
      <c r="AB36" s="54"/>
      <c r="AC36" s="61"/>
      <c r="AD36" s="61"/>
      <c r="AE36" s="63"/>
      <c r="AF36" s="64"/>
      <c r="AG36" s="64"/>
      <c r="AH36" s="64"/>
      <c r="AI36" s="64"/>
      <c r="AJ36" s="72"/>
      <c r="AK36" s="73"/>
      <c r="AL36" s="73"/>
      <c r="AM36" s="73"/>
      <c r="AN36" s="73"/>
      <c r="AO36" s="66"/>
      <c r="AP36" s="56"/>
      <c r="AQ36" s="56"/>
      <c r="AR36" s="56"/>
      <c r="AS36" s="56"/>
      <c r="AT36" s="77"/>
      <c r="AU36" s="77"/>
      <c r="AV36" s="77"/>
      <c r="AW36" s="77"/>
      <c r="AX36" s="57"/>
      <c r="AY36" s="60"/>
      <c r="AZ36" s="61"/>
      <c r="BA36" s="61"/>
      <c r="BB36" s="61"/>
      <c r="BC36" s="61"/>
      <c r="BD36" s="63"/>
      <c r="BE36" s="64"/>
      <c r="BF36" s="64"/>
      <c r="BG36" s="64"/>
      <c r="BH36" s="64"/>
      <c r="BI36" s="72"/>
      <c r="BJ36" s="73"/>
      <c r="BK36" s="73"/>
      <c r="BL36" s="73"/>
      <c r="BM36" s="73"/>
      <c r="BN36" s="66"/>
      <c r="BO36" s="56"/>
      <c r="BP36" s="56"/>
      <c r="BQ36" s="56"/>
      <c r="BR36" s="56"/>
      <c r="BS36" s="77"/>
      <c r="BT36" s="77"/>
      <c r="BU36" s="77"/>
      <c r="BV36" s="77"/>
      <c r="BW36" s="57"/>
      <c r="BX36" s="60"/>
      <c r="BY36" s="61"/>
      <c r="BZ36" s="61"/>
      <c r="CA36" s="61"/>
      <c r="CB36" s="61"/>
      <c r="CC36" s="74"/>
    </row>
    <row r="37" spans="2:81" ht="30">
      <c r="B37" s="47" t="s">
        <v>864</v>
      </c>
      <c r="C37" s="48" t="s">
        <v>894</v>
      </c>
      <c r="D37" s="49" t="s">
        <v>897</v>
      </c>
      <c r="E37" s="70" t="s">
        <v>898</v>
      </c>
      <c r="F37" s="71" t="s">
        <v>1611</v>
      </c>
      <c r="G37" s="52" t="s">
        <v>1612</v>
      </c>
      <c r="H37" s="49" t="s">
        <v>0</v>
      </c>
      <c r="I37" s="49" t="s">
        <v>1608</v>
      </c>
      <c r="J37" s="49" t="s">
        <v>1609</v>
      </c>
      <c r="K37" s="72"/>
      <c r="L37" s="73"/>
      <c r="M37" s="73"/>
      <c r="N37" s="73"/>
      <c r="O37" s="73"/>
      <c r="P37" s="56"/>
      <c r="Q37" s="56"/>
      <c r="R37" s="56"/>
      <c r="S37" s="56"/>
      <c r="T37" s="56"/>
      <c r="U37" s="77"/>
      <c r="V37" s="137" t="s">
        <v>860</v>
      </c>
      <c r="W37" s="77"/>
      <c r="X37" s="77"/>
      <c r="Y37" s="103"/>
      <c r="Z37" s="60"/>
      <c r="AA37" s="55" t="s">
        <v>861</v>
      </c>
      <c r="AB37" s="54"/>
      <c r="AC37" s="61"/>
      <c r="AD37" s="61"/>
      <c r="AE37" s="63"/>
      <c r="AF37" s="64"/>
      <c r="AG37" s="64"/>
      <c r="AH37" s="64"/>
      <c r="AI37" s="64"/>
      <c r="AJ37" s="72"/>
      <c r="AK37" s="73"/>
      <c r="AL37" s="73"/>
      <c r="AM37" s="73"/>
      <c r="AN37" s="73"/>
      <c r="AO37" s="66"/>
      <c r="AP37" s="56"/>
      <c r="AQ37" s="56"/>
      <c r="AR37" s="56"/>
      <c r="AS37" s="56"/>
      <c r="AT37" s="77"/>
      <c r="AU37" s="77"/>
      <c r="AV37" s="77"/>
      <c r="AW37" s="77"/>
      <c r="AX37" s="57"/>
      <c r="AY37" s="60"/>
      <c r="AZ37" s="61"/>
      <c r="BA37" s="61"/>
      <c r="BB37" s="61"/>
      <c r="BC37" s="61"/>
      <c r="BD37" s="63"/>
      <c r="BE37" s="64"/>
      <c r="BF37" s="64"/>
      <c r="BG37" s="64"/>
      <c r="BH37" s="64"/>
      <c r="BI37" s="72"/>
      <c r="BJ37" s="73"/>
      <c r="BK37" s="73"/>
      <c r="BL37" s="73"/>
      <c r="BM37" s="73"/>
      <c r="BN37" s="66"/>
      <c r="BO37" s="56"/>
      <c r="BP37" s="56"/>
      <c r="BQ37" s="56"/>
      <c r="BR37" s="56"/>
      <c r="BS37" s="77"/>
      <c r="BT37" s="77"/>
      <c r="BU37" s="77"/>
      <c r="BV37" s="77"/>
      <c r="BW37" s="57"/>
      <c r="BX37" s="60"/>
      <c r="BY37" s="61"/>
      <c r="BZ37" s="61"/>
      <c r="CA37" s="61"/>
      <c r="CB37" s="61"/>
      <c r="CC37" s="74"/>
    </row>
    <row r="38" spans="2:81" ht="30">
      <c r="B38" s="47" t="s">
        <v>864</v>
      </c>
      <c r="C38" s="48" t="s">
        <v>880</v>
      </c>
      <c r="D38" s="49" t="s">
        <v>903</v>
      </c>
      <c r="E38" s="70" t="s">
        <v>904</v>
      </c>
      <c r="F38" s="71" t="s">
        <v>1614</v>
      </c>
      <c r="G38" s="52" t="s">
        <v>1615</v>
      </c>
      <c r="H38" s="49" t="s">
        <v>0</v>
      </c>
      <c r="I38" s="49" t="s">
        <v>1608</v>
      </c>
      <c r="J38" s="49" t="s">
        <v>1609</v>
      </c>
      <c r="K38" s="72"/>
      <c r="L38" s="73"/>
      <c r="M38" s="73"/>
      <c r="N38" s="73"/>
      <c r="O38" s="73"/>
      <c r="P38" s="56"/>
      <c r="Q38" s="56"/>
      <c r="R38" s="56"/>
      <c r="S38" s="56"/>
      <c r="T38" s="56"/>
      <c r="U38" s="77"/>
      <c r="V38" s="77"/>
      <c r="W38" s="77"/>
      <c r="X38" s="77"/>
      <c r="Y38" s="137" t="s">
        <v>860</v>
      </c>
      <c r="Z38" s="60"/>
      <c r="AA38" s="61"/>
      <c r="AB38" s="54"/>
      <c r="AC38" s="139" t="s">
        <v>861</v>
      </c>
      <c r="AD38" s="61"/>
      <c r="AE38" s="54"/>
      <c r="AF38" s="64"/>
      <c r="AG38" s="64"/>
      <c r="AH38" s="64"/>
      <c r="AI38" s="64"/>
      <c r="AJ38" s="72"/>
      <c r="AK38" s="73"/>
      <c r="AL38" s="73"/>
      <c r="AM38" s="73"/>
      <c r="AN38" s="73"/>
      <c r="AO38" s="66"/>
      <c r="AP38" s="56"/>
      <c r="AQ38" s="56"/>
      <c r="AR38" s="56"/>
      <c r="AS38" s="56"/>
      <c r="AT38" s="77"/>
      <c r="AU38" s="77"/>
      <c r="AV38" s="77"/>
      <c r="AW38" s="77"/>
      <c r="AX38" s="57"/>
      <c r="AY38" s="60"/>
      <c r="AZ38" s="61"/>
      <c r="BA38" s="61"/>
      <c r="BB38" s="61"/>
      <c r="BC38" s="61"/>
      <c r="BD38" s="63"/>
      <c r="BE38" s="64"/>
      <c r="BF38" s="64"/>
      <c r="BG38" s="64"/>
      <c r="BH38" s="64"/>
      <c r="BI38" s="72"/>
      <c r="BJ38" s="73"/>
      <c r="BK38" s="73"/>
      <c r="BL38" s="73"/>
      <c r="BM38" s="73"/>
      <c r="BN38" s="66"/>
      <c r="BO38" s="56"/>
      <c r="BP38" s="56"/>
      <c r="BQ38" s="56"/>
      <c r="BR38" s="56"/>
      <c r="BS38" s="77"/>
      <c r="BT38" s="77"/>
      <c r="BU38" s="77"/>
      <c r="BV38" s="77"/>
      <c r="BW38" s="57"/>
      <c r="BX38" s="60"/>
      <c r="BY38" s="61"/>
      <c r="BZ38" s="61"/>
      <c r="CA38" s="61"/>
      <c r="CB38" s="61"/>
      <c r="CC38" s="74"/>
    </row>
    <row r="39" spans="2:81" ht="30">
      <c r="B39" s="47" t="s">
        <v>864</v>
      </c>
      <c r="C39" s="48" t="s">
        <v>900</v>
      </c>
      <c r="D39" s="49" t="s">
        <v>905</v>
      </c>
      <c r="E39" s="70" t="s">
        <v>906</v>
      </c>
      <c r="F39" s="71" t="s">
        <v>1616</v>
      </c>
      <c r="G39" s="52" t="s">
        <v>1617</v>
      </c>
      <c r="H39" s="49" t="s">
        <v>0</v>
      </c>
      <c r="I39" s="49" t="s">
        <v>1608</v>
      </c>
      <c r="J39" s="49" t="s">
        <v>1609</v>
      </c>
      <c r="K39" s="72"/>
      <c r="L39" s="73"/>
      <c r="M39" s="73"/>
      <c r="N39" s="73"/>
      <c r="O39" s="73"/>
      <c r="P39" s="56"/>
      <c r="Q39" s="56"/>
      <c r="R39" s="56"/>
      <c r="S39" s="56"/>
      <c r="T39" s="56"/>
      <c r="U39" s="77"/>
      <c r="V39" s="77"/>
      <c r="W39" s="77"/>
      <c r="X39" s="77"/>
      <c r="Y39" s="54"/>
      <c r="Z39" s="60"/>
      <c r="AA39" s="138" t="s">
        <v>860</v>
      </c>
      <c r="AB39" s="54"/>
      <c r="AC39" s="80"/>
      <c r="AD39" s="61"/>
      <c r="AE39" s="140" t="s">
        <v>861</v>
      </c>
      <c r="AF39" s="64"/>
      <c r="AG39" s="64"/>
      <c r="AH39" s="64"/>
      <c r="AI39" s="64"/>
      <c r="AJ39" s="72"/>
      <c r="AK39" s="73"/>
      <c r="AL39" s="73"/>
      <c r="AM39" s="73"/>
      <c r="AN39" s="73"/>
      <c r="AO39" s="66"/>
      <c r="AP39" s="56"/>
      <c r="AQ39" s="56"/>
      <c r="AR39" s="56"/>
      <c r="AS39" s="56"/>
      <c r="AT39" s="77"/>
      <c r="AU39" s="77"/>
      <c r="AV39" s="77"/>
      <c r="AW39" s="77"/>
      <c r="AX39" s="57"/>
      <c r="AY39" s="60"/>
      <c r="AZ39" s="61"/>
      <c r="BA39" s="61"/>
      <c r="BB39" s="61"/>
      <c r="BC39" s="61"/>
      <c r="BD39" s="63"/>
      <c r="BE39" s="64"/>
      <c r="BF39" s="64"/>
      <c r="BG39" s="64"/>
      <c r="BH39" s="64"/>
      <c r="BI39" s="72"/>
      <c r="BJ39" s="73"/>
      <c r="BK39" s="73"/>
      <c r="BL39" s="73"/>
      <c r="BM39" s="73"/>
      <c r="BN39" s="66"/>
      <c r="BO39" s="56"/>
      <c r="BP39" s="56"/>
      <c r="BQ39" s="56"/>
      <c r="BR39" s="56"/>
      <c r="BS39" s="77"/>
      <c r="BT39" s="77"/>
      <c r="BU39" s="77"/>
      <c r="BV39" s="77"/>
      <c r="BW39" s="57"/>
      <c r="BX39" s="60"/>
      <c r="BY39" s="61"/>
      <c r="BZ39" s="61"/>
      <c r="CA39" s="61"/>
      <c r="CB39" s="61"/>
      <c r="CC39" s="74"/>
    </row>
    <row r="40" spans="2:81" ht="30">
      <c r="B40" s="110" t="s">
        <v>864</v>
      </c>
      <c r="C40" s="111" t="s">
        <v>900</v>
      </c>
      <c r="D40" s="112" t="s">
        <v>948</v>
      </c>
      <c r="E40" s="143" t="s">
        <v>949</v>
      </c>
      <c r="F40" s="144" t="s">
        <v>1618</v>
      </c>
      <c r="G40" s="132" t="s">
        <v>1617</v>
      </c>
      <c r="H40" s="49" t="s">
        <v>0</v>
      </c>
      <c r="I40" s="49" t="s">
        <v>1608</v>
      </c>
      <c r="J40" s="49" t="s">
        <v>1609</v>
      </c>
      <c r="K40" s="72"/>
      <c r="L40" s="73"/>
      <c r="M40" s="73"/>
      <c r="N40" s="73"/>
      <c r="O40" s="73"/>
      <c r="P40" s="56"/>
      <c r="Q40" s="56"/>
      <c r="R40" s="56"/>
      <c r="S40" s="56"/>
      <c r="T40" s="56"/>
      <c r="U40" s="77"/>
      <c r="V40" s="77"/>
      <c r="W40" s="77"/>
      <c r="X40" s="77"/>
      <c r="Y40" s="54"/>
      <c r="Z40" s="60"/>
      <c r="AA40" s="54"/>
      <c r="AB40" s="61"/>
      <c r="AC40" s="61"/>
      <c r="AD40" s="138" t="s">
        <v>860</v>
      </c>
      <c r="AE40" s="95" t="s">
        <v>861</v>
      </c>
      <c r="AF40" s="64"/>
      <c r="AG40" s="64"/>
      <c r="AH40" s="64"/>
      <c r="AI40" s="64"/>
      <c r="AJ40" s="72"/>
      <c r="AK40" s="73"/>
      <c r="AL40" s="73"/>
      <c r="AM40" s="73"/>
      <c r="AN40" s="73"/>
      <c r="AO40" s="66"/>
      <c r="AP40" s="56"/>
      <c r="AQ40" s="56"/>
      <c r="AR40" s="56"/>
      <c r="AS40" s="56"/>
      <c r="AT40" s="77"/>
      <c r="AU40" s="77"/>
      <c r="AV40" s="77"/>
      <c r="AW40" s="77"/>
      <c r="AX40" s="57"/>
      <c r="AY40" s="60"/>
      <c r="AZ40" s="61"/>
      <c r="BA40" s="61"/>
      <c r="BB40" s="61"/>
      <c r="BC40" s="61"/>
      <c r="BD40" s="63"/>
      <c r="BE40" s="64"/>
      <c r="BF40" s="64"/>
      <c r="BG40" s="64"/>
      <c r="BH40" s="64"/>
      <c r="BI40" s="72"/>
      <c r="BJ40" s="73"/>
      <c r="BK40" s="73"/>
      <c r="BL40" s="73"/>
      <c r="BM40" s="73"/>
      <c r="BN40" s="66"/>
      <c r="BO40" s="56"/>
      <c r="BP40" s="56"/>
      <c r="BQ40" s="56"/>
      <c r="BR40" s="56"/>
      <c r="BS40" s="77"/>
      <c r="BT40" s="77"/>
      <c r="BU40" s="77"/>
      <c r="BV40" s="77"/>
      <c r="BW40" s="57"/>
      <c r="BX40" s="60"/>
      <c r="BY40" s="61"/>
      <c r="BZ40" s="61"/>
      <c r="CA40" s="61"/>
      <c r="CB40" s="61"/>
      <c r="CC40" s="74"/>
    </row>
    <row r="41" spans="2:81" ht="30">
      <c r="B41" s="47" t="s">
        <v>864</v>
      </c>
      <c r="C41" s="48" t="s">
        <v>873</v>
      </c>
      <c r="D41" s="49" t="s">
        <v>907</v>
      </c>
      <c r="E41" s="70" t="s">
        <v>908</v>
      </c>
      <c r="F41" s="71" t="s">
        <v>1619</v>
      </c>
      <c r="G41" s="52" t="s">
        <v>1620</v>
      </c>
      <c r="H41" s="49" t="s">
        <v>33</v>
      </c>
      <c r="I41" s="149" t="s">
        <v>1608</v>
      </c>
      <c r="J41" s="149" t="s">
        <v>1609</v>
      </c>
      <c r="K41" s="72"/>
      <c r="L41" s="73"/>
      <c r="M41" s="73"/>
      <c r="N41" s="73"/>
      <c r="O41" s="73"/>
      <c r="P41" s="56"/>
      <c r="Q41" s="56"/>
      <c r="R41" s="56"/>
      <c r="S41" s="56"/>
      <c r="T41" s="56"/>
      <c r="U41" s="77"/>
      <c r="V41" s="77"/>
      <c r="W41" s="77"/>
      <c r="X41" s="77"/>
      <c r="Y41" s="57"/>
      <c r="Z41" s="60"/>
      <c r="AA41" s="61"/>
      <c r="AB41" s="138" t="s">
        <v>860</v>
      </c>
      <c r="AC41" s="61"/>
      <c r="AD41" s="61"/>
      <c r="AE41" s="63"/>
      <c r="AF41" s="95" t="s">
        <v>861</v>
      </c>
      <c r="AG41" s="64"/>
      <c r="AH41" s="64"/>
      <c r="AI41" s="64"/>
      <c r="AJ41" s="72"/>
      <c r="AK41" s="73"/>
      <c r="AL41" s="73"/>
      <c r="AM41" s="73"/>
      <c r="AN41" s="73"/>
      <c r="AO41" s="66"/>
      <c r="AP41" s="56"/>
      <c r="AQ41" s="56"/>
      <c r="AR41" s="56"/>
      <c r="AS41" s="56"/>
      <c r="AT41" s="77"/>
      <c r="AU41" s="77"/>
      <c r="AV41" s="77"/>
      <c r="AW41" s="77"/>
      <c r="AX41" s="57"/>
      <c r="AY41" s="60"/>
      <c r="AZ41" s="61"/>
      <c r="BA41" s="61"/>
      <c r="BB41" s="61"/>
      <c r="BC41" s="61"/>
      <c r="BD41" s="63"/>
      <c r="BE41" s="64"/>
      <c r="BF41" s="64"/>
      <c r="BG41" s="64"/>
      <c r="BH41" s="64"/>
      <c r="BI41" s="72"/>
      <c r="BJ41" s="73"/>
      <c r="BK41" s="73"/>
      <c r="BL41" s="73"/>
      <c r="BM41" s="73"/>
      <c r="BN41" s="66"/>
      <c r="BO41" s="56"/>
      <c r="BP41" s="56"/>
      <c r="BQ41" s="56"/>
      <c r="BR41" s="56"/>
      <c r="BS41" s="77"/>
      <c r="BT41" s="77"/>
      <c r="BU41" s="77"/>
      <c r="BV41" s="77"/>
      <c r="BW41" s="57"/>
      <c r="BX41" s="60"/>
      <c r="BY41" s="61"/>
      <c r="BZ41" s="61"/>
      <c r="CA41" s="61"/>
      <c r="CB41" s="61"/>
      <c r="CC41" s="74"/>
    </row>
    <row r="42" spans="2:81" ht="30">
      <c r="B42" s="47" t="s">
        <v>864</v>
      </c>
      <c r="C42" s="48" t="s">
        <v>873</v>
      </c>
      <c r="D42" s="49" t="s">
        <v>909</v>
      </c>
      <c r="E42" s="70" t="s">
        <v>910</v>
      </c>
      <c r="F42" s="71" t="s">
        <v>1619</v>
      </c>
      <c r="G42" s="52" t="s">
        <v>1620</v>
      </c>
      <c r="H42" s="49" t="s">
        <v>33</v>
      </c>
      <c r="I42" s="149" t="s">
        <v>1608</v>
      </c>
      <c r="J42" s="149" t="s">
        <v>1609</v>
      </c>
      <c r="K42" s="72"/>
      <c r="L42" s="73"/>
      <c r="M42" s="73"/>
      <c r="N42" s="73"/>
      <c r="O42" s="73"/>
      <c r="P42" s="66"/>
      <c r="Q42" s="56"/>
      <c r="R42" s="56"/>
      <c r="S42" s="56"/>
      <c r="T42" s="56"/>
      <c r="U42" s="54"/>
      <c r="V42" s="77"/>
      <c r="W42" s="77"/>
      <c r="X42" s="77"/>
      <c r="Y42" s="80"/>
      <c r="Z42" s="60"/>
      <c r="AA42" s="61"/>
      <c r="AB42" s="138" t="s">
        <v>860</v>
      </c>
      <c r="AC42" s="61"/>
      <c r="AD42" s="61"/>
      <c r="AE42" s="63"/>
      <c r="AF42" s="95" t="s">
        <v>861</v>
      </c>
      <c r="AG42" s="64"/>
      <c r="AH42" s="64"/>
      <c r="AI42" s="64"/>
      <c r="AJ42" s="72"/>
      <c r="AK42" s="73"/>
      <c r="AL42" s="73"/>
      <c r="AM42" s="73"/>
      <c r="AN42" s="73"/>
      <c r="AO42" s="66"/>
      <c r="AP42" s="56"/>
      <c r="AQ42" s="56"/>
      <c r="AR42" s="56"/>
      <c r="AS42" s="56"/>
      <c r="AT42" s="77"/>
      <c r="AU42" s="77"/>
      <c r="AV42" s="77"/>
      <c r="AW42" s="77"/>
      <c r="AX42" s="57"/>
      <c r="AY42" s="60"/>
      <c r="AZ42" s="61"/>
      <c r="BA42" s="61"/>
      <c r="BB42" s="61"/>
      <c r="BC42" s="61"/>
      <c r="BD42" s="63"/>
      <c r="BE42" s="64"/>
      <c r="BF42" s="64"/>
      <c r="BG42" s="64"/>
      <c r="BH42" s="64"/>
      <c r="BI42" s="72"/>
      <c r="BJ42" s="73"/>
      <c r="BK42" s="73"/>
      <c r="BL42" s="73"/>
      <c r="BM42" s="73"/>
      <c r="BN42" s="66"/>
      <c r="BO42" s="56"/>
      <c r="BP42" s="56"/>
      <c r="BQ42" s="56"/>
      <c r="BR42" s="56"/>
      <c r="BS42" s="77"/>
      <c r="BT42" s="77"/>
      <c r="BU42" s="77"/>
      <c r="BV42" s="77"/>
      <c r="BW42" s="57"/>
      <c r="BX42" s="60"/>
      <c r="BY42" s="61"/>
      <c r="BZ42" s="61"/>
      <c r="CA42" s="61"/>
      <c r="CB42" s="61"/>
      <c r="CC42" s="74"/>
    </row>
    <row r="43" spans="2:81" ht="30">
      <c r="B43" s="47" t="s">
        <v>864</v>
      </c>
      <c r="C43" s="48" t="s">
        <v>880</v>
      </c>
      <c r="D43" s="49" t="s">
        <v>911</v>
      </c>
      <c r="E43" s="70" t="s">
        <v>912</v>
      </c>
      <c r="F43" s="71" t="s">
        <v>1619</v>
      </c>
      <c r="G43" s="52" t="s">
        <v>1620</v>
      </c>
      <c r="H43" s="49" t="s">
        <v>33</v>
      </c>
      <c r="I43" s="149" t="s">
        <v>1608</v>
      </c>
      <c r="J43" s="149" t="s">
        <v>1609</v>
      </c>
      <c r="K43" s="72"/>
      <c r="L43" s="73"/>
      <c r="M43" s="73"/>
      <c r="N43" s="73"/>
      <c r="O43" s="73"/>
      <c r="P43" s="66"/>
      <c r="Q43" s="56"/>
      <c r="R43" s="56"/>
      <c r="S43" s="56"/>
      <c r="T43" s="56"/>
      <c r="U43" s="54"/>
      <c r="V43" s="77"/>
      <c r="W43" s="77"/>
      <c r="X43" s="96"/>
      <c r="Y43" s="80"/>
      <c r="Z43" s="60"/>
      <c r="AA43" s="61"/>
      <c r="AB43" s="138" t="s">
        <v>860</v>
      </c>
      <c r="AC43" s="61"/>
      <c r="AD43" s="61"/>
      <c r="AE43" s="63"/>
      <c r="AF43" s="95" t="s">
        <v>861</v>
      </c>
      <c r="AG43" s="64"/>
      <c r="AH43" s="64"/>
      <c r="AI43" s="64"/>
      <c r="AJ43" s="72"/>
      <c r="AK43" s="73"/>
      <c r="AL43" s="73"/>
      <c r="AM43" s="73"/>
      <c r="AN43" s="73"/>
      <c r="AO43" s="66"/>
      <c r="AP43" s="56"/>
      <c r="AQ43" s="56"/>
      <c r="AR43" s="56"/>
      <c r="AS43" s="56"/>
      <c r="AT43" s="77"/>
      <c r="AU43" s="77"/>
      <c r="AV43" s="77"/>
      <c r="AW43" s="77"/>
      <c r="AX43" s="57"/>
      <c r="AY43" s="60"/>
      <c r="AZ43" s="61"/>
      <c r="BA43" s="61"/>
      <c r="BB43" s="61"/>
      <c r="BC43" s="61"/>
      <c r="BD43" s="63"/>
      <c r="BE43" s="64"/>
      <c r="BF43" s="64"/>
      <c r="BG43" s="64"/>
      <c r="BH43" s="64"/>
      <c r="BI43" s="72"/>
      <c r="BJ43" s="73"/>
      <c r="BK43" s="73"/>
      <c r="BL43" s="73"/>
      <c r="BM43" s="73"/>
      <c r="BN43" s="66"/>
      <c r="BO43" s="56"/>
      <c r="BP43" s="56"/>
      <c r="BQ43" s="56"/>
      <c r="BR43" s="56"/>
      <c r="BS43" s="77"/>
      <c r="BT43" s="77"/>
      <c r="BU43" s="77"/>
      <c r="BV43" s="77"/>
      <c r="BW43" s="57"/>
      <c r="BX43" s="60"/>
      <c r="BY43" s="61"/>
      <c r="BZ43" s="61"/>
      <c r="CA43" s="61"/>
      <c r="CB43" s="61"/>
      <c r="CC43" s="74"/>
    </row>
    <row r="44" spans="2:81" ht="30">
      <c r="B44" s="47" t="s">
        <v>864</v>
      </c>
      <c r="C44" s="48" t="s">
        <v>900</v>
      </c>
      <c r="D44" s="49" t="s">
        <v>913</v>
      </c>
      <c r="E44" s="70" t="s">
        <v>914</v>
      </c>
      <c r="F44" s="71" t="s">
        <v>1619</v>
      </c>
      <c r="G44" s="52" t="s">
        <v>1620</v>
      </c>
      <c r="H44" s="49" t="s">
        <v>33</v>
      </c>
      <c r="I44" s="149" t="s">
        <v>1608</v>
      </c>
      <c r="J44" s="149" t="s">
        <v>1609</v>
      </c>
      <c r="K44" s="72"/>
      <c r="L44" s="73"/>
      <c r="M44" s="73"/>
      <c r="N44" s="73"/>
      <c r="O44" s="73"/>
      <c r="P44" s="66"/>
      <c r="Q44" s="56"/>
      <c r="R44" s="56"/>
      <c r="S44" s="56"/>
      <c r="T44" s="56"/>
      <c r="U44" s="77"/>
      <c r="V44" s="77"/>
      <c r="W44" s="77"/>
      <c r="Y44" s="57"/>
      <c r="Z44" s="60"/>
      <c r="AA44" s="61"/>
      <c r="AB44" s="138" t="s">
        <v>860</v>
      </c>
      <c r="AC44" s="61"/>
      <c r="AD44" s="61"/>
      <c r="AE44" s="63"/>
      <c r="AF44" s="95" t="s">
        <v>861</v>
      </c>
      <c r="AG44" s="64"/>
      <c r="AH44" s="64"/>
      <c r="AI44" s="64"/>
      <c r="AJ44" s="72"/>
      <c r="AK44" s="73"/>
      <c r="AL44" s="73"/>
      <c r="AM44" s="73"/>
      <c r="AN44" s="73"/>
      <c r="AO44" s="66"/>
      <c r="AP44" s="56"/>
      <c r="AQ44" s="56"/>
      <c r="AR44" s="56"/>
      <c r="AS44" s="56"/>
      <c r="AT44" s="77"/>
      <c r="AU44" s="77"/>
      <c r="AV44" s="77"/>
      <c r="AW44" s="77"/>
      <c r="AX44" s="57"/>
      <c r="AY44" s="60"/>
      <c r="AZ44" s="61"/>
      <c r="BA44" s="61"/>
      <c r="BB44" s="61"/>
      <c r="BC44" s="61"/>
      <c r="BD44" s="63"/>
      <c r="BE44" s="64"/>
      <c r="BF44" s="64"/>
      <c r="BG44" s="64"/>
      <c r="BH44" s="64"/>
      <c r="BI44" s="72"/>
      <c r="BJ44" s="73"/>
      <c r="BK44" s="73"/>
      <c r="BL44" s="73"/>
      <c r="BM44" s="73"/>
      <c r="BN44" s="66"/>
      <c r="BO44" s="56"/>
      <c r="BP44" s="56"/>
      <c r="BQ44" s="56"/>
      <c r="BR44" s="56"/>
      <c r="BS44" s="77"/>
      <c r="BT44" s="77"/>
      <c r="BU44" s="77"/>
      <c r="BV44" s="77"/>
      <c r="BW44" s="57"/>
      <c r="BX44" s="60"/>
      <c r="BY44" s="61"/>
      <c r="BZ44" s="61"/>
      <c r="CA44" s="61"/>
      <c r="CB44" s="61"/>
      <c r="CC44" s="74"/>
    </row>
    <row r="45" spans="2:81" ht="30">
      <c r="B45" s="47" t="s">
        <v>899</v>
      </c>
      <c r="C45" s="48" t="s">
        <v>931</v>
      </c>
      <c r="D45" s="49" t="s">
        <v>915</v>
      </c>
      <c r="E45" s="70" t="s">
        <v>916</v>
      </c>
      <c r="F45" s="71" t="s">
        <v>1619</v>
      </c>
      <c r="G45" s="52" t="s">
        <v>1620</v>
      </c>
      <c r="H45" s="49" t="s">
        <v>33</v>
      </c>
      <c r="I45" s="49" t="s">
        <v>1559</v>
      </c>
      <c r="J45" s="49" t="s">
        <v>1621</v>
      </c>
      <c r="K45" s="72"/>
      <c r="L45" s="73"/>
      <c r="M45" s="73"/>
      <c r="N45" s="73"/>
      <c r="O45" s="73"/>
      <c r="P45" s="66"/>
      <c r="Q45" s="56"/>
      <c r="R45" s="56"/>
      <c r="S45" s="56"/>
      <c r="T45" s="56"/>
      <c r="U45" s="77"/>
      <c r="V45" s="77"/>
      <c r="W45" s="77"/>
      <c r="X45" s="80"/>
      <c r="Y45" s="57"/>
      <c r="Z45" s="60"/>
      <c r="AA45" s="61"/>
      <c r="AB45" s="138" t="s">
        <v>860</v>
      </c>
      <c r="AC45" s="61"/>
      <c r="AD45" s="61"/>
      <c r="AE45" s="63"/>
      <c r="AF45" s="95" t="s">
        <v>861</v>
      </c>
      <c r="AG45" s="64"/>
      <c r="AH45" s="64"/>
      <c r="AI45" s="64"/>
      <c r="AJ45" s="72"/>
      <c r="AK45" s="73"/>
      <c r="AL45" s="73"/>
      <c r="AM45" s="73"/>
      <c r="AN45" s="73"/>
      <c r="AO45" s="66"/>
      <c r="AP45" s="56"/>
      <c r="AQ45" s="56"/>
      <c r="AR45" s="56"/>
      <c r="AS45" s="56"/>
      <c r="AT45" s="77"/>
      <c r="AU45" s="77"/>
      <c r="AV45" s="77"/>
      <c r="AW45" s="77"/>
      <c r="AX45" s="57"/>
      <c r="AY45" s="60"/>
      <c r="AZ45" s="61"/>
      <c r="BA45" s="61"/>
      <c r="BB45" s="61"/>
      <c r="BC45" s="61"/>
      <c r="BD45" s="63"/>
      <c r="BE45" s="64"/>
      <c r="BF45" s="64"/>
      <c r="BG45" s="64"/>
      <c r="BH45" s="64"/>
      <c r="BI45" s="72"/>
      <c r="BJ45" s="73"/>
      <c r="BK45" s="73"/>
      <c r="BL45" s="73"/>
      <c r="BM45" s="73"/>
      <c r="BN45" s="66"/>
      <c r="BO45" s="56"/>
      <c r="BP45" s="56"/>
      <c r="BQ45" s="56"/>
      <c r="BR45" s="56"/>
      <c r="BS45" s="77"/>
      <c r="BT45" s="77"/>
      <c r="BU45" s="77"/>
      <c r="BV45" s="77"/>
      <c r="BW45" s="57"/>
      <c r="BX45" s="60"/>
      <c r="BY45" s="61"/>
      <c r="BZ45" s="61"/>
      <c r="CA45" s="61"/>
      <c r="CB45" s="61"/>
      <c r="CC45" s="74"/>
    </row>
    <row r="46" spans="2:81" ht="30">
      <c r="B46" s="47" t="s">
        <v>899</v>
      </c>
      <c r="C46" s="48" t="s">
        <v>917</v>
      </c>
      <c r="D46" s="49" t="s">
        <v>918</v>
      </c>
      <c r="E46" s="70" t="s">
        <v>919</v>
      </c>
      <c r="F46" s="71" t="s">
        <v>1619</v>
      </c>
      <c r="G46" s="52" t="s">
        <v>1620</v>
      </c>
      <c r="H46" s="49" t="s">
        <v>33</v>
      </c>
      <c r="I46" s="49" t="s">
        <v>1559</v>
      </c>
      <c r="J46" s="49" t="s">
        <v>1621</v>
      </c>
      <c r="K46" s="72"/>
      <c r="L46" s="73"/>
      <c r="M46" s="73"/>
      <c r="N46" s="73"/>
      <c r="O46" s="73"/>
      <c r="P46" s="66"/>
      <c r="Q46" s="56"/>
      <c r="R46" s="56"/>
      <c r="S46" s="56"/>
      <c r="T46" s="56"/>
      <c r="U46" s="77"/>
      <c r="V46" s="77"/>
      <c r="W46" s="77"/>
      <c r="X46" s="80"/>
      <c r="Y46" s="57"/>
      <c r="Z46" s="60"/>
      <c r="AA46" s="61"/>
      <c r="AB46" s="138" t="s">
        <v>860</v>
      </c>
      <c r="AC46" s="61"/>
      <c r="AD46" s="61"/>
      <c r="AE46" s="63"/>
      <c r="AF46" s="95" t="s">
        <v>861</v>
      </c>
      <c r="AG46" s="64"/>
      <c r="AH46" s="64"/>
      <c r="AI46" s="64"/>
      <c r="AJ46" s="72"/>
      <c r="AK46" s="73"/>
      <c r="AL46" s="73"/>
      <c r="AM46" s="73"/>
      <c r="AN46" s="73"/>
      <c r="AO46" s="66"/>
      <c r="AP46" s="56"/>
      <c r="AQ46" s="56"/>
      <c r="AR46" s="56"/>
      <c r="AS46" s="56"/>
      <c r="AT46" s="77"/>
      <c r="AU46" s="77"/>
      <c r="AV46" s="77"/>
      <c r="AW46" s="77"/>
      <c r="AX46" s="57"/>
      <c r="AY46" s="60"/>
      <c r="AZ46" s="61"/>
      <c r="BA46" s="61"/>
      <c r="BB46" s="61"/>
      <c r="BC46" s="61"/>
      <c r="BD46" s="63"/>
      <c r="BE46" s="64"/>
      <c r="BF46" s="64"/>
      <c r="BG46" s="64"/>
      <c r="BH46" s="64"/>
      <c r="BI46" s="72"/>
      <c r="BJ46" s="73"/>
      <c r="BK46" s="73"/>
      <c r="BL46" s="73"/>
      <c r="BM46" s="73"/>
      <c r="BN46" s="66"/>
      <c r="BO46" s="56"/>
      <c r="BP46" s="56"/>
      <c r="BQ46" s="56"/>
      <c r="BR46" s="56"/>
      <c r="BS46" s="77"/>
      <c r="BT46" s="77"/>
      <c r="BU46" s="77"/>
      <c r="BV46" s="77"/>
      <c r="BW46" s="57"/>
      <c r="BX46" s="60"/>
      <c r="BY46" s="61"/>
      <c r="BZ46" s="61"/>
      <c r="CA46" s="61"/>
      <c r="CB46" s="61"/>
      <c r="CC46" s="74"/>
    </row>
    <row r="47" spans="2:81" ht="30">
      <c r="B47" s="47" t="s">
        <v>899</v>
      </c>
      <c r="C47" s="48" t="s">
        <v>917</v>
      </c>
      <c r="D47" s="49" t="s">
        <v>920</v>
      </c>
      <c r="E47" s="70" t="s">
        <v>921</v>
      </c>
      <c r="F47" s="71" t="s">
        <v>1619</v>
      </c>
      <c r="G47" s="52" t="s">
        <v>1620</v>
      </c>
      <c r="H47" s="49" t="s">
        <v>33</v>
      </c>
      <c r="I47" s="49" t="s">
        <v>1559</v>
      </c>
      <c r="J47" s="49" t="s">
        <v>1621</v>
      </c>
      <c r="K47" s="72"/>
      <c r="L47" s="73"/>
      <c r="M47" s="73"/>
      <c r="N47" s="73"/>
      <c r="O47" s="73"/>
      <c r="P47" s="66"/>
      <c r="Q47" s="56"/>
      <c r="R47" s="56"/>
      <c r="S47" s="56"/>
      <c r="T47" s="56"/>
      <c r="U47" s="77"/>
      <c r="V47" s="77"/>
      <c r="W47" s="77"/>
      <c r="X47" s="80"/>
      <c r="Y47" s="57"/>
      <c r="Z47" s="60"/>
      <c r="AA47" s="61"/>
      <c r="AB47" s="138" t="s">
        <v>860</v>
      </c>
      <c r="AC47" s="61"/>
      <c r="AD47" s="61"/>
      <c r="AE47" s="63"/>
      <c r="AF47" s="95" t="s">
        <v>861</v>
      </c>
      <c r="AG47" s="64"/>
      <c r="AH47" s="64"/>
      <c r="AI47" s="64"/>
      <c r="AJ47" s="72"/>
      <c r="AK47" s="73"/>
      <c r="AL47" s="73"/>
      <c r="AM47" s="73"/>
      <c r="AN47" s="73"/>
      <c r="AO47" s="66"/>
      <c r="AP47" s="56"/>
      <c r="AQ47" s="56"/>
      <c r="AR47" s="56"/>
      <c r="AS47" s="56"/>
      <c r="AT47" s="77"/>
      <c r="AU47" s="77"/>
      <c r="AV47" s="77"/>
      <c r="AW47" s="77"/>
      <c r="AX47" s="57"/>
      <c r="AY47" s="60"/>
      <c r="AZ47" s="61"/>
      <c r="BA47" s="61"/>
      <c r="BB47" s="61"/>
      <c r="BC47" s="61"/>
      <c r="BD47" s="63"/>
      <c r="BE47" s="64"/>
      <c r="BF47" s="64"/>
      <c r="BG47" s="64"/>
      <c r="BH47" s="64"/>
      <c r="BI47" s="72"/>
      <c r="BJ47" s="73"/>
      <c r="BK47" s="73"/>
      <c r="BL47" s="73"/>
      <c r="BM47" s="73"/>
      <c r="BN47" s="66"/>
      <c r="BO47" s="56"/>
      <c r="BP47" s="56"/>
      <c r="BQ47" s="56"/>
      <c r="BR47" s="56"/>
      <c r="BS47" s="77"/>
      <c r="BT47" s="77"/>
      <c r="BU47" s="77"/>
      <c r="BV47" s="77"/>
      <c r="BW47" s="57"/>
      <c r="BX47" s="60"/>
      <c r="BY47" s="61"/>
      <c r="BZ47" s="61"/>
      <c r="CA47" s="61"/>
      <c r="CB47" s="61"/>
      <c r="CC47" s="74"/>
    </row>
    <row r="48" spans="2:81" ht="30">
      <c r="B48" s="47" t="s">
        <v>899</v>
      </c>
      <c r="C48" s="48" t="s">
        <v>922</v>
      </c>
      <c r="D48" s="49" t="s">
        <v>923</v>
      </c>
      <c r="E48" s="70" t="s">
        <v>924</v>
      </c>
      <c r="F48" s="71" t="s">
        <v>1619</v>
      </c>
      <c r="G48" s="52" t="s">
        <v>1620</v>
      </c>
      <c r="H48" s="49" t="s">
        <v>33</v>
      </c>
      <c r="I48" s="49" t="s">
        <v>1559</v>
      </c>
      <c r="J48" s="49" t="s">
        <v>1621</v>
      </c>
      <c r="K48" s="72"/>
      <c r="L48" s="73"/>
      <c r="M48" s="73"/>
      <c r="N48" s="73"/>
      <c r="O48" s="73"/>
      <c r="P48" s="66"/>
      <c r="Q48" s="56"/>
      <c r="R48" s="56"/>
      <c r="S48" s="56"/>
      <c r="T48" s="56"/>
      <c r="U48" s="77"/>
      <c r="V48" s="77"/>
      <c r="W48" s="77"/>
      <c r="X48" s="77"/>
      <c r="Y48" s="57"/>
      <c r="Z48" s="60"/>
      <c r="AA48" s="61"/>
      <c r="AB48" s="138" t="s">
        <v>860</v>
      </c>
      <c r="AC48" s="61"/>
      <c r="AD48" s="61"/>
      <c r="AE48" s="63"/>
      <c r="AF48" s="95" t="s">
        <v>861</v>
      </c>
      <c r="AG48" s="64"/>
      <c r="AH48" s="64"/>
      <c r="AI48" s="64"/>
      <c r="AJ48" s="72"/>
      <c r="AK48" s="73"/>
      <c r="AL48" s="73"/>
      <c r="AM48" s="73"/>
      <c r="AN48" s="73"/>
      <c r="AO48" s="66"/>
      <c r="AP48" s="56"/>
      <c r="AQ48" s="56"/>
      <c r="AR48" s="56"/>
      <c r="AS48" s="56"/>
      <c r="AT48" s="77"/>
      <c r="AU48" s="77"/>
      <c r="AV48" s="77"/>
      <c r="AW48" s="77"/>
      <c r="AX48" s="57"/>
      <c r="AY48" s="60"/>
      <c r="AZ48" s="61"/>
      <c r="BA48" s="61"/>
      <c r="BB48" s="61"/>
      <c r="BC48" s="61"/>
      <c r="BD48" s="63"/>
      <c r="BE48" s="64"/>
      <c r="BF48" s="64"/>
      <c r="BG48" s="64"/>
      <c r="BH48" s="64"/>
      <c r="BI48" s="72"/>
      <c r="BJ48" s="73"/>
      <c r="BK48" s="73"/>
      <c r="BL48" s="73"/>
      <c r="BM48" s="73"/>
      <c r="BN48" s="66"/>
      <c r="BO48" s="56"/>
      <c r="BP48" s="56"/>
      <c r="BQ48" s="56"/>
      <c r="BR48" s="56"/>
      <c r="BS48" s="77"/>
      <c r="BT48" s="77"/>
      <c r="BU48" s="77"/>
      <c r="BV48" s="77"/>
      <c r="BW48" s="57"/>
      <c r="BX48" s="60"/>
      <c r="BY48" s="61"/>
      <c r="BZ48" s="61"/>
      <c r="CA48" s="61"/>
      <c r="CB48" s="61"/>
      <c r="CC48" s="74"/>
    </row>
    <row r="49" spans="2:81" ht="30">
      <c r="B49" s="47" t="s">
        <v>899</v>
      </c>
      <c r="C49" s="48" t="s">
        <v>922</v>
      </c>
      <c r="D49" s="49" t="s">
        <v>925</v>
      </c>
      <c r="E49" s="70" t="s">
        <v>926</v>
      </c>
      <c r="F49" s="71" t="s">
        <v>1619</v>
      </c>
      <c r="G49" s="52" t="s">
        <v>1620</v>
      </c>
      <c r="H49" s="49" t="s">
        <v>33</v>
      </c>
      <c r="I49" s="49" t="s">
        <v>1559</v>
      </c>
      <c r="J49" s="49" t="s">
        <v>1621</v>
      </c>
      <c r="K49" s="72"/>
      <c r="L49" s="73"/>
      <c r="M49" s="73"/>
      <c r="N49" s="73"/>
      <c r="O49" s="73"/>
      <c r="P49" s="66"/>
      <c r="Q49" s="56"/>
      <c r="R49" s="56"/>
      <c r="S49" s="56"/>
      <c r="T49" s="56"/>
      <c r="U49" s="54"/>
      <c r="V49" s="77"/>
      <c r="W49" s="77"/>
      <c r="X49" s="77"/>
      <c r="Y49" s="57"/>
      <c r="Z49" s="80"/>
      <c r="AA49" s="61"/>
      <c r="AB49" s="138" t="s">
        <v>860</v>
      </c>
      <c r="AC49" s="61"/>
      <c r="AD49" s="61"/>
      <c r="AE49" s="63"/>
      <c r="AF49" s="95" t="s">
        <v>861</v>
      </c>
      <c r="AG49" s="64"/>
      <c r="AH49" s="64"/>
      <c r="AI49" s="64"/>
      <c r="AJ49" s="72"/>
      <c r="AK49" s="73"/>
      <c r="AL49" s="73"/>
      <c r="AM49" s="73"/>
      <c r="AN49" s="73"/>
      <c r="AO49" s="66"/>
      <c r="AP49" s="56"/>
      <c r="AQ49" s="56"/>
      <c r="AR49" s="56"/>
      <c r="AS49" s="56"/>
      <c r="AT49" s="77"/>
      <c r="AU49" s="77"/>
      <c r="AV49" s="77"/>
      <c r="AW49" s="77"/>
      <c r="AX49" s="57"/>
      <c r="AY49" s="60"/>
      <c r="AZ49" s="61"/>
      <c r="BA49" s="61"/>
      <c r="BB49" s="61"/>
      <c r="BC49" s="61"/>
      <c r="BD49" s="63"/>
      <c r="BE49" s="64"/>
      <c r="BF49" s="64"/>
      <c r="BG49" s="64"/>
      <c r="BH49" s="64"/>
      <c r="BI49" s="72"/>
      <c r="BJ49" s="73"/>
      <c r="BK49" s="73"/>
      <c r="BL49" s="73"/>
      <c r="BM49" s="73"/>
      <c r="BN49" s="66"/>
      <c r="BO49" s="56"/>
      <c r="BP49" s="56"/>
      <c r="BQ49" s="56"/>
      <c r="BR49" s="56"/>
      <c r="BS49" s="77"/>
      <c r="BT49" s="77"/>
      <c r="BU49" s="77"/>
      <c r="BV49" s="77"/>
      <c r="BW49" s="57"/>
      <c r="BX49" s="60"/>
      <c r="BY49" s="61"/>
      <c r="BZ49" s="61"/>
      <c r="CA49" s="61"/>
      <c r="CB49" s="61"/>
      <c r="CC49" s="74"/>
    </row>
    <row r="50" spans="2:81" ht="30">
      <c r="B50" s="47" t="s">
        <v>899</v>
      </c>
      <c r="C50" s="48" t="s">
        <v>922</v>
      </c>
      <c r="D50" s="49" t="s">
        <v>927</v>
      </c>
      <c r="E50" s="70" t="s">
        <v>928</v>
      </c>
      <c r="F50" s="71" t="s">
        <v>1619</v>
      </c>
      <c r="G50" s="52" t="s">
        <v>1620</v>
      </c>
      <c r="H50" s="49" t="s">
        <v>33</v>
      </c>
      <c r="I50" s="49" t="s">
        <v>1559</v>
      </c>
      <c r="J50" s="49" t="s">
        <v>1621</v>
      </c>
      <c r="K50" s="72"/>
      <c r="L50" s="73"/>
      <c r="M50" s="73"/>
      <c r="N50" s="73"/>
      <c r="O50" s="73"/>
      <c r="P50" s="66"/>
      <c r="Q50" s="56"/>
      <c r="R50" s="56"/>
      <c r="S50" s="56"/>
      <c r="T50" s="56"/>
      <c r="U50" s="77"/>
      <c r="V50" s="77"/>
      <c r="W50" s="77"/>
      <c r="X50" s="77"/>
      <c r="Y50" s="57"/>
      <c r="Z50" s="60"/>
      <c r="AA50" s="61"/>
      <c r="AB50" s="138" t="s">
        <v>860</v>
      </c>
      <c r="AC50" s="61"/>
      <c r="AD50" s="61"/>
      <c r="AE50" s="63"/>
      <c r="AF50" s="95" t="s">
        <v>861</v>
      </c>
      <c r="AG50" s="64"/>
      <c r="AH50" s="64"/>
      <c r="AI50" s="64"/>
      <c r="AJ50" s="72"/>
      <c r="AK50" s="73"/>
      <c r="AL50" s="73"/>
      <c r="AM50" s="73"/>
      <c r="AN50" s="73"/>
      <c r="AO50" s="66"/>
      <c r="AP50" s="56"/>
      <c r="AQ50" s="56"/>
      <c r="AR50" s="56"/>
      <c r="AS50" s="56"/>
      <c r="AT50" s="77"/>
      <c r="AU50" s="77"/>
      <c r="AV50" s="77"/>
      <c r="AW50" s="77"/>
      <c r="AX50" s="57"/>
      <c r="AY50" s="60"/>
      <c r="AZ50" s="61"/>
      <c r="BA50" s="61"/>
      <c r="BB50" s="61"/>
      <c r="BC50" s="61"/>
      <c r="BD50" s="63"/>
      <c r="BE50" s="64"/>
      <c r="BF50" s="64"/>
      <c r="BG50" s="64"/>
      <c r="BH50" s="64"/>
      <c r="BI50" s="72"/>
      <c r="BJ50" s="73"/>
      <c r="BK50" s="73"/>
      <c r="BL50" s="73"/>
      <c r="BM50" s="73"/>
      <c r="BN50" s="66"/>
      <c r="BO50" s="56"/>
      <c r="BP50" s="56"/>
      <c r="BQ50" s="56"/>
      <c r="BR50" s="56"/>
      <c r="BS50" s="77"/>
      <c r="BT50" s="77"/>
      <c r="BU50" s="77"/>
      <c r="BV50" s="77"/>
      <c r="BW50" s="57"/>
      <c r="BX50" s="60"/>
      <c r="BY50" s="61"/>
      <c r="BZ50" s="61"/>
      <c r="CA50" s="61"/>
      <c r="CB50" s="61"/>
      <c r="CC50" s="74"/>
    </row>
    <row r="51" spans="2:81" ht="30">
      <c r="B51" s="47" t="s">
        <v>899</v>
      </c>
      <c r="C51" s="48" t="s">
        <v>922</v>
      </c>
      <c r="D51" s="49" t="s">
        <v>929</v>
      </c>
      <c r="E51" s="70" t="s">
        <v>930</v>
      </c>
      <c r="F51" s="71" t="s">
        <v>1619</v>
      </c>
      <c r="G51" s="52" t="s">
        <v>1620</v>
      </c>
      <c r="H51" s="49" t="s">
        <v>33</v>
      </c>
      <c r="I51" s="49" t="s">
        <v>1559</v>
      </c>
      <c r="J51" s="49" t="s">
        <v>1621</v>
      </c>
      <c r="K51" s="72"/>
      <c r="L51" s="73"/>
      <c r="M51" s="73"/>
      <c r="N51" s="73"/>
      <c r="O51" s="73"/>
      <c r="P51" s="66"/>
      <c r="Q51" s="56"/>
      <c r="R51" s="56"/>
      <c r="S51" s="56"/>
      <c r="T51" s="56"/>
      <c r="U51" s="77"/>
      <c r="V51" s="77"/>
      <c r="W51" s="77"/>
      <c r="X51" s="77"/>
      <c r="Y51" s="57"/>
      <c r="Z51" s="60"/>
      <c r="AA51" s="61"/>
      <c r="AB51" s="138" t="s">
        <v>860</v>
      </c>
      <c r="AC51" s="61"/>
      <c r="AD51" s="61"/>
      <c r="AE51" s="63"/>
      <c r="AF51" s="95" t="s">
        <v>861</v>
      </c>
      <c r="AG51" s="64"/>
      <c r="AH51" s="64"/>
      <c r="AI51" s="64"/>
      <c r="AJ51" s="72"/>
      <c r="AK51" s="73"/>
      <c r="AL51" s="73"/>
      <c r="AM51" s="73"/>
      <c r="AN51" s="73"/>
      <c r="AO51" s="66"/>
      <c r="AP51" s="56"/>
      <c r="AQ51" s="56"/>
      <c r="AR51" s="56"/>
      <c r="AS51" s="56"/>
      <c r="AT51" s="77"/>
      <c r="AU51" s="77"/>
      <c r="AV51" s="77"/>
      <c r="AW51" s="77"/>
      <c r="AX51" s="57"/>
      <c r="AY51" s="60"/>
      <c r="AZ51" s="61"/>
      <c r="BA51" s="61"/>
      <c r="BB51" s="61"/>
      <c r="BC51" s="61"/>
      <c r="BD51" s="63"/>
      <c r="BE51" s="64"/>
      <c r="BF51" s="64"/>
      <c r="BG51" s="64"/>
      <c r="BH51" s="64"/>
      <c r="BI51" s="72"/>
      <c r="BJ51" s="73"/>
      <c r="BK51" s="73"/>
      <c r="BL51" s="73"/>
      <c r="BM51" s="73"/>
      <c r="BN51" s="66"/>
      <c r="BO51" s="56"/>
      <c r="BP51" s="56"/>
      <c r="BQ51" s="56"/>
      <c r="BR51" s="56"/>
      <c r="BS51" s="77"/>
      <c r="BT51" s="77"/>
      <c r="BU51" s="77"/>
      <c r="BV51" s="77"/>
      <c r="BW51" s="57"/>
      <c r="BX51" s="60"/>
      <c r="BY51" s="61"/>
      <c r="BZ51" s="61"/>
      <c r="CA51" s="61"/>
      <c r="CB51" s="61"/>
      <c r="CC51" s="74"/>
    </row>
    <row r="52" spans="2:81" ht="30">
      <c r="B52" s="47" t="s">
        <v>899</v>
      </c>
      <c r="C52" s="48" t="s">
        <v>931</v>
      </c>
      <c r="D52" s="49" t="s">
        <v>932</v>
      </c>
      <c r="E52" s="70" t="s">
        <v>933</v>
      </c>
      <c r="F52" s="71" t="s">
        <v>1619</v>
      </c>
      <c r="G52" s="52" t="s">
        <v>1620</v>
      </c>
      <c r="H52" s="49" t="s">
        <v>33</v>
      </c>
      <c r="I52" s="49" t="s">
        <v>1559</v>
      </c>
      <c r="J52" s="49" t="s">
        <v>1621</v>
      </c>
      <c r="K52" s="72"/>
      <c r="L52" s="73"/>
      <c r="M52" s="73"/>
      <c r="N52" s="73"/>
      <c r="O52" s="73"/>
      <c r="P52" s="66"/>
      <c r="Q52" s="56"/>
      <c r="R52" s="56"/>
      <c r="S52" s="56"/>
      <c r="T52" s="56"/>
      <c r="U52" s="77"/>
      <c r="V52" s="77"/>
      <c r="W52" s="77"/>
      <c r="X52" s="77"/>
      <c r="Y52" s="57"/>
      <c r="Z52" s="60"/>
      <c r="AA52" s="61"/>
      <c r="AB52" s="138" t="s">
        <v>860</v>
      </c>
      <c r="AC52" s="61"/>
      <c r="AD52" s="61"/>
      <c r="AE52" s="63"/>
      <c r="AF52" s="95" t="s">
        <v>861</v>
      </c>
      <c r="AG52" s="64"/>
      <c r="AH52" s="64"/>
      <c r="AI52" s="64"/>
      <c r="AJ52" s="72"/>
      <c r="AK52" s="73"/>
      <c r="AL52" s="73"/>
      <c r="AM52" s="73"/>
      <c r="AN52" s="73"/>
      <c r="AO52" s="66"/>
      <c r="AP52" s="56"/>
      <c r="AQ52" s="56"/>
      <c r="AR52" s="56"/>
      <c r="AS52" s="56"/>
      <c r="AT52" s="77"/>
      <c r="AU52" s="77"/>
      <c r="AV52" s="77"/>
      <c r="AW52" s="77"/>
      <c r="AX52" s="57"/>
      <c r="AY52" s="60"/>
      <c r="AZ52" s="61"/>
      <c r="BA52" s="61"/>
      <c r="BB52" s="61"/>
      <c r="BC52" s="61"/>
      <c r="BD52" s="63"/>
      <c r="BE52" s="64"/>
      <c r="BF52" s="64"/>
      <c r="BG52" s="64"/>
      <c r="BH52" s="64"/>
      <c r="BI52" s="72"/>
      <c r="BJ52" s="73"/>
      <c r="BK52" s="73"/>
      <c r="BL52" s="73"/>
      <c r="BM52" s="73"/>
      <c r="BN52" s="66"/>
      <c r="BO52" s="56"/>
      <c r="BP52" s="56"/>
      <c r="BQ52" s="56"/>
      <c r="BR52" s="56"/>
      <c r="BS52" s="77"/>
      <c r="BT52" s="77"/>
      <c r="BU52" s="77"/>
      <c r="BV52" s="77"/>
      <c r="BW52" s="57"/>
      <c r="BX52" s="60"/>
      <c r="BY52" s="61"/>
      <c r="BZ52" s="61"/>
      <c r="CA52" s="61"/>
      <c r="CB52" s="61"/>
      <c r="CC52" s="74"/>
    </row>
    <row r="53" spans="2:81" ht="30">
      <c r="B53" s="47" t="s">
        <v>899</v>
      </c>
      <c r="C53" s="48" t="s">
        <v>931</v>
      </c>
      <c r="D53" s="49" t="s">
        <v>934</v>
      </c>
      <c r="E53" s="81" t="s">
        <v>935</v>
      </c>
      <c r="F53" s="82" t="s">
        <v>1619</v>
      </c>
      <c r="G53" s="83" t="s">
        <v>1620</v>
      </c>
      <c r="H53" s="49" t="s">
        <v>33</v>
      </c>
      <c r="I53" s="49" t="s">
        <v>1559</v>
      </c>
      <c r="J53" s="49" t="s">
        <v>1621</v>
      </c>
      <c r="K53" s="84"/>
      <c r="L53" s="85"/>
      <c r="M53" s="85"/>
      <c r="N53" s="85"/>
      <c r="O53" s="85"/>
      <c r="P53" s="92"/>
      <c r="Q53" s="86"/>
      <c r="R53" s="86"/>
      <c r="S53" s="86"/>
      <c r="T53" s="86"/>
      <c r="U53" s="87"/>
      <c r="V53" s="87"/>
      <c r="W53" s="87"/>
      <c r="X53" s="87"/>
      <c r="Y53" s="93"/>
      <c r="Z53" s="60"/>
      <c r="AA53" s="61"/>
      <c r="AB53" s="138" t="s">
        <v>860</v>
      </c>
      <c r="AC53" s="61"/>
      <c r="AD53" s="61"/>
      <c r="AE53" s="63"/>
      <c r="AF53" s="95" t="s">
        <v>861</v>
      </c>
      <c r="AG53" s="91"/>
      <c r="AH53" s="91"/>
      <c r="AI53" s="91"/>
      <c r="AJ53" s="84"/>
      <c r="AK53" s="85"/>
      <c r="AL53" s="85"/>
      <c r="AM53" s="85"/>
      <c r="AN53" s="85"/>
      <c r="AO53" s="92"/>
      <c r="AP53" s="86"/>
      <c r="AQ53" s="86"/>
      <c r="AR53" s="86"/>
      <c r="AS53" s="86"/>
      <c r="AT53" s="87"/>
      <c r="AU53" s="87"/>
      <c r="AV53" s="87"/>
      <c r="AW53" s="87"/>
      <c r="AX53" s="93"/>
      <c r="AY53" s="88"/>
      <c r="AZ53" s="89"/>
      <c r="BA53" s="89"/>
      <c r="BB53" s="89"/>
      <c r="BC53" s="89"/>
      <c r="BD53" s="90"/>
      <c r="BE53" s="91"/>
      <c r="BF53" s="91"/>
      <c r="BG53" s="91"/>
      <c r="BH53" s="91"/>
      <c r="BI53" s="84"/>
      <c r="BJ53" s="85"/>
      <c r="BK53" s="85"/>
      <c r="BL53" s="85"/>
      <c r="BM53" s="85"/>
      <c r="BN53" s="92"/>
      <c r="BO53" s="86"/>
      <c r="BP53" s="86"/>
      <c r="BQ53" s="86"/>
      <c r="BR53" s="86"/>
      <c r="BS53" s="87"/>
      <c r="BT53" s="87"/>
      <c r="BU53" s="87"/>
      <c r="BV53" s="87"/>
      <c r="BW53" s="93"/>
      <c r="BX53" s="88"/>
      <c r="BY53" s="89"/>
      <c r="BZ53" s="89"/>
      <c r="CA53" s="89"/>
      <c r="CB53" s="89"/>
      <c r="CC53" s="94"/>
    </row>
    <row r="54" spans="2:81" ht="30">
      <c r="B54" s="47" t="s">
        <v>899</v>
      </c>
      <c r="C54" s="48" t="s">
        <v>931</v>
      </c>
      <c r="D54" s="49" t="s">
        <v>936</v>
      </c>
      <c r="E54" s="70" t="s">
        <v>937</v>
      </c>
      <c r="F54" s="71" t="s">
        <v>1619</v>
      </c>
      <c r="G54" s="52" t="s">
        <v>1620</v>
      </c>
      <c r="H54" s="49" t="s">
        <v>33</v>
      </c>
      <c r="I54" s="49" t="s">
        <v>1559</v>
      </c>
      <c r="J54" s="49" t="s">
        <v>1621</v>
      </c>
      <c r="K54" s="72"/>
      <c r="L54" s="73"/>
      <c r="M54" s="73"/>
      <c r="N54" s="73"/>
      <c r="O54" s="73"/>
      <c r="P54" s="66"/>
      <c r="Q54" s="56"/>
      <c r="R54" s="56"/>
      <c r="S54" s="56"/>
      <c r="T54" s="56"/>
      <c r="U54" s="77"/>
      <c r="V54" s="77"/>
      <c r="W54" s="77"/>
      <c r="X54" s="77"/>
      <c r="Y54" s="57"/>
      <c r="Z54" s="60"/>
      <c r="AA54" s="61"/>
      <c r="AB54" s="138" t="s">
        <v>860</v>
      </c>
      <c r="AC54" s="61"/>
      <c r="AD54" s="61"/>
      <c r="AE54" s="63"/>
      <c r="AF54" s="95" t="s">
        <v>861</v>
      </c>
      <c r="AG54" s="64"/>
      <c r="AH54" s="64"/>
      <c r="AI54" s="64"/>
      <c r="AJ54" s="72"/>
      <c r="AK54" s="73"/>
      <c r="AL54" s="73"/>
      <c r="AM54" s="73"/>
      <c r="AN54" s="73"/>
      <c r="AO54" s="66"/>
      <c r="AP54" s="56"/>
      <c r="AQ54" s="56"/>
      <c r="AR54" s="56"/>
      <c r="AS54" s="56"/>
      <c r="AT54" s="77"/>
      <c r="AU54" s="77"/>
      <c r="AV54" s="77"/>
      <c r="AW54" s="77"/>
      <c r="AX54" s="57"/>
      <c r="AY54" s="60"/>
      <c r="AZ54" s="61"/>
      <c r="BA54" s="61"/>
      <c r="BB54" s="61"/>
      <c r="BC54" s="61"/>
      <c r="BD54" s="63"/>
      <c r="BE54" s="64"/>
      <c r="BF54" s="64"/>
      <c r="BG54" s="64"/>
      <c r="BH54" s="64"/>
      <c r="BI54" s="72"/>
      <c r="BJ54" s="73"/>
      <c r="BK54" s="73"/>
      <c r="BL54" s="73"/>
      <c r="BM54" s="73"/>
      <c r="BN54" s="66"/>
      <c r="BO54" s="56"/>
      <c r="BP54" s="56"/>
      <c r="BQ54" s="56"/>
      <c r="BR54" s="56"/>
      <c r="BS54" s="77"/>
      <c r="BT54" s="77"/>
      <c r="BU54" s="77"/>
      <c r="BV54" s="77"/>
      <c r="BW54" s="57"/>
      <c r="BX54" s="60"/>
      <c r="BY54" s="61"/>
      <c r="BZ54" s="61"/>
      <c r="CA54" s="61"/>
      <c r="CB54" s="61"/>
      <c r="CC54" s="74"/>
    </row>
    <row r="55" spans="2:81" ht="30">
      <c r="B55" s="47" t="s">
        <v>899</v>
      </c>
      <c r="C55" s="48" t="s">
        <v>931</v>
      </c>
      <c r="D55" s="49" t="s">
        <v>938</v>
      </c>
      <c r="E55" s="70" t="s">
        <v>939</v>
      </c>
      <c r="F55" s="71" t="s">
        <v>1619</v>
      </c>
      <c r="G55" s="52" t="s">
        <v>1620</v>
      </c>
      <c r="H55" s="49" t="s">
        <v>33</v>
      </c>
      <c r="I55" s="49" t="s">
        <v>1559</v>
      </c>
      <c r="J55" s="49" t="s">
        <v>1621</v>
      </c>
      <c r="K55" s="72"/>
      <c r="L55" s="73"/>
      <c r="M55" s="73"/>
      <c r="N55" s="73"/>
      <c r="O55" s="73"/>
      <c r="P55" s="66"/>
      <c r="Q55" s="56"/>
      <c r="R55" s="56"/>
      <c r="S55" s="56"/>
      <c r="T55" s="56"/>
      <c r="U55" s="77"/>
      <c r="V55" s="77"/>
      <c r="W55" s="77"/>
      <c r="X55" s="77"/>
      <c r="Y55" s="57"/>
      <c r="Z55" s="60"/>
      <c r="AA55" s="61"/>
      <c r="AB55" s="138" t="s">
        <v>860</v>
      </c>
      <c r="AC55" s="61"/>
      <c r="AD55" s="61"/>
      <c r="AE55" s="63"/>
      <c r="AF55" s="95" t="s">
        <v>861</v>
      </c>
      <c r="AG55" s="64"/>
      <c r="AH55" s="64"/>
      <c r="AI55" s="64"/>
      <c r="AJ55" s="72"/>
      <c r="AK55" s="73"/>
      <c r="AL55" s="73"/>
      <c r="AM55" s="73"/>
      <c r="AN55" s="73"/>
      <c r="AO55" s="66"/>
      <c r="AP55" s="56"/>
      <c r="AQ55" s="56"/>
      <c r="AR55" s="56"/>
      <c r="AS55" s="56"/>
      <c r="AT55" s="77"/>
      <c r="AU55" s="77"/>
      <c r="AV55" s="77"/>
      <c r="AW55" s="77"/>
      <c r="AX55" s="57"/>
      <c r="AY55" s="60"/>
      <c r="AZ55" s="61"/>
      <c r="BA55" s="61"/>
      <c r="BB55" s="61"/>
      <c r="BC55" s="61"/>
      <c r="BD55" s="63"/>
      <c r="BE55" s="64"/>
      <c r="BF55" s="64"/>
      <c r="BG55" s="64"/>
      <c r="BH55" s="64"/>
      <c r="BI55" s="72"/>
      <c r="BJ55" s="73"/>
      <c r="BK55" s="73"/>
      <c r="BL55" s="73"/>
      <c r="BM55" s="73"/>
      <c r="BN55" s="66"/>
      <c r="BO55" s="56"/>
      <c r="BP55" s="56"/>
      <c r="BQ55" s="56"/>
      <c r="BR55" s="56"/>
      <c r="BS55" s="77"/>
      <c r="BT55" s="77"/>
      <c r="BU55" s="77"/>
      <c r="BV55" s="77"/>
      <c r="BW55" s="57"/>
      <c r="BX55" s="60"/>
      <c r="BY55" s="61"/>
      <c r="BZ55" s="61"/>
      <c r="CA55" s="61"/>
      <c r="CB55" s="61"/>
      <c r="CC55" s="74"/>
    </row>
    <row r="56" spans="2:81" ht="30">
      <c r="B56" s="47" t="s">
        <v>899</v>
      </c>
      <c r="C56" s="48" t="s">
        <v>931</v>
      </c>
      <c r="D56" s="49" t="s">
        <v>940</v>
      </c>
      <c r="E56" s="70" t="s">
        <v>941</v>
      </c>
      <c r="F56" s="71" t="s">
        <v>1619</v>
      </c>
      <c r="G56" s="52" t="s">
        <v>1620</v>
      </c>
      <c r="H56" s="49" t="s">
        <v>33</v>
      </c>
      <c r="I56" s="49" t="s">
        <v>1559</v>
      </c>
      <c r="J56" s="49" t="s">
        <v>1621</v>
      </c>
      <c r="K56" s="72"/>
      <c r="L56" s="73"/>
      <c r="M56" s="73"/>
      <c r="N56" s="73"/>
      <c r="O56" s="73"/>
      <c r="P56" s="66"/>
      <c r="Q56" s="56"/>
      <c r="R56" s="56"/>
      <c r="S56" s="56"/>
      <c r="T56" s="56"/>
      <c r="U56" s="77"/>
      <c r="V56" s="77"/>
      <c r="W56" s="77"/>
      <c r="X56" s="77"/>
      <c r="Y56" s="57"/>
      <c r="Z56" s="60"/>
      <c r="AA56" s="61"/>
      <c r="AB56" s="138" t="s">
        <v>860</v>
      </c>
      <c r="AC56" s="61"/>
      <c r="AD56" s="61"/>
      <c r="AE56" s="63"/>
      <c r="AF56" s="95" t="s">
        <v>861</v>
      </c>
      <c r="AG56" s="64"/>
      <c r="AH56" s="64"/>
      <c r="AI56" s="64"/>
      <c r="AJ56" s="72"/>
      <c r="AK56" s="73"/>
      <c r="AL56" s="73"/>
      <c r="AM56" s="73"/>
      <c r="AN56" s="73"/>
      <c r="AO56" s="66"/>
      <c r="AP56" s="56"/>
      <c r="AQ56" s="56"/>
      <c r="AR56" s="56"/>
      <c r="AS56" s="56"/>
      <c r="AT56" s="77"/>
      <c r="AU56" s="77"/>
      <c r="AV56" s="77"/>
      <c r="AW56" s="77"/>
      <c r="AX56" s="57"/>
      <c r="AY56" s="60"/>
      <c r="AZ56" s="61"/>
      <c r="BA56" s="61"/>
      <c r="BB56" s="61"/>
      <c r="BC56" s="61"/>
      <c r="BD56" s="63"/>
      <c r="BE56" s="64"/>
      <c r="BF56" s="64"/>
      <c r="BG56" s="64"/>
      <c r="BH56" s="64"/>
      <c r="BI56" s="72"/>
      <c r="BJ56" s="73"/>
      <c r="BK56" s="73"/>
      <c r="BL56" s="73"/>
      <c r="BM56" s="73"/>
      <c r="BN56" s="66"/>
      <c r="BO56" s="56"/>
      <c r="BP56" s="56"/>
      <c r="BQ56" s="56"/>
      <c r="BR56" s="56"/>
      <c r="BS56" s="77"/>
      <c r="BT56" s="77"/>
      <c r="BU56" s="77"/>
      <c r="BV56" s="77"/>
      <c r="BW56" s="57"/>
      <c r="BX56" s="60"/>
      <c r="BY56" s="61"/>
      <c r="BZ56" s="61"/>
      <c r="CA56" s="61"/>
      <c r="CB56" s="61"/>
      <c r="CC56" s="74"/>
    </row>
    <row r="57" spans="2:81" ht="30">
      <c r="B57" s="47" t="s">
        <v>899</v>
      </c>
      <c r="C57" s="48" t="s">
        <v>931</v>
      </c>
      <c r="D57" s="49" t="s">
        <v>942</v>
      </c>
      <c r="E57" s="81" t="s">
        <v>943</v>
      </c>
      <c r="F57" s="97" t="s">
        <v>1619</v>
      </c>
      <c r="G57" s="98" t="s">
        <v>1620</v>
      </c>
      <c r="H57" s="49" t="s">
        <v>33</v>
      </c>
      <c r="I57" s="49" t="s">
        <v>1559</v>
      </c>
      <c r="J57" s="49" t="s">
        <v>1621</v>
      </c>
      <c r="K57" s="99"/>
      <c r="L57" s="100"/>
      <c r="M57" s="100"/>
      <c r="N57" s="100"/>
      <c r="O57" s="100"/>
      <c r="P57" s="101"/>
      <c r="Q57" s="102"/>
      <c r="R57" s="102"/>
      <c r="S57" s="102"/>
      <c r="T57" s="102"/>
      <c r="U57" s="103"/>
      <c r="V57" s="104"/>
      <c r="W57" s="105"/>
      <c r="X57" s="105"/>
      <c r="Y57" s="103"/>
      <c r="Z57" s="106"/>
      <c r="AA57" s="107"/>
      <c r="AB57" s="138" t="s">
        <v>860</v>
      </c>
      <c r="AC57" s="61"/>
      <c r="AD57" s="61"/>
      <c r="AE57" s="63"/>
      <c r="AF57" s="95" t="s">
        <v>861</v>
      </c>
      <c r="AG57" s="108"/>
      <c r="AH57" s="108"/>
      <c r="AI57" s="108"/>
      <c r="AJ57" s="99"/>
      <c r="AK57" s="100"/>
      <c r="AL57" s="100"/>
      <c r="AM57" s="100"/>
      <c r="AN57" s="100"/>
      <c r="AO57" s="101"/>
      <c r="AP57" s="102"/>
      <c r="AQ57" s="102"/>
      <c r="AR57" s="102"/>
      <c r="AS57" s="102"/>
      <c r="AT57" s="103"/>
      <c r="AU57" s="104"/>
      <c r="AV57" s="105"/>
      <c r="AW57" s="105"/>
      <c r="AX57" s="103"/>
      <c r="AY57" s="106"/>
      <c r="AZ57" s="107"/>
      <c r="BA57" s="107"/>
      <c r="BB57" s="107"/>
      <c r="BC57" s="107"/>
      <c r="BD57" s="109"/>
      <c r="BE57" s="108"/>
      <c r="BF57" s="108"/>
      <c r="BG57" s="108"/>
      <c r="BH57" s="108"/>
      <c r="BI57" s="99"/>
      <c r="BJ57" s="100"/>
      <c r="BK57" s="100"/>
      <c r="BL57" s="100"/>
      <c r="BM57" s="100"/>
      <c r="BN57" s="101"/>
      <c r="BO57" s="102"/>
      <c r="BP57" s="102"/>
      <c r="BQ57" s="102"/>
      <c r="BR57" s="102"/>
      <c r="BS57" s="103"/>
      <c r="BT57" s="104"/>
      <c r="BU57" s="105"/>
      <c r="BV57" s="105"/>
      <c r="BW57" s="103"/>
      <c r="BX57" s="106"/>
      <c r="BY57" s="107"/>
      <c r="BZ57" s="107"/>
      <c r="CA57" s="107"/>
      <c r="CB57" s="107"/>
      <c r="CC57" s="74"/>
    </row>
    <row r="58" spans="2:81" ht="30">
      <c r="B58" s="47" t="s">
        <v>899</v>
      </c>
      <c r="C58" s="48" t="s">
        <v>931</v>
      </c>
      <c r="D58" s="49" t="s">
        <v>944</v>
      </c>
      <c r="E58" s="81" t="s">
        <v>945</v>
      </c>
      <c r="F58" s="97" t="s">
        <v>1619</v>
      </c>
      <c r="G58" s="98" t="s">
        <v>1620</v>
      </c>
      <c r="H58" s="49" t="s">
        <v>33</v>
      </c>
      <c r="I58" s="49" t="s">
        <v>1559</v>
      </c>
      <c r="J58" s="49" t="s">
        <v>1621</v>
      </c>
      <c r="K58" s="99"/>
      <c r="L58" s="100"/>
      <c r="M58" s="100"/>
      <c r="N58" s="100"/>
      <c r="O58" s="100"/>
      <c r="P58" s="101"/>
      <c r="Q58" s="102"/>
      <c r="R58" s="102"/>
      <c r="S58" s="102"/>
      <c r="T58" s="102"/>
      <c r="U58" s="103"/>
      <c r="V58" s="104"/>
      <c r="W58" s="105"/>
      <c r="X58" s="105"/>
      <c r="Y58" s="103"/>
      <c r="Z58" s="106"/>
      <c r="AA58" s="107"/>
      <c r="AB58" s="75" t="s">
        <v>860</v>
      </c>
      <c r="AC58" s="61"/>
      <c r="AD58" s="61"/>
      <c r="AE58" s="63"/>
      <c r="AF58" s="95" t="s">
        <v>861</v>
      </c>
      <c r="AG58" s="108"/>
      <c r="AH58" s="108"/>
      <c r="AI58" s="108"/>
      <c r="AJ58" s="99"/>
      <c r="AK58" s="100"/>
      <c r="AL58" s="100"/>
      <c r="AM58" s="100"/>
      <c r="AN58" s="100"/>
      <c r="AO58" s="101"/>
      <c r="AP58" s="102"/>
      <c r="AQ58" s="102"/>
      <c r="AR58" s="102"/>
      <c r="AS58" s="102"/>
      <c r="AT58" s="103"/>
      <c r="AU58" s="104"/>
      <c r="AV58" s="105"/>
      <c r="AW58" s="105"/>
      <c r="AX58" s="103"/>
      <c r="AY58" s="106"/>
      <c r="AZ58" s="107"/>
      <c r="BA58" s="107"/>
      <c r="BB58" s="107"/>
      <c r="BC58" s="107"/>
      <c r="BD58" s="109"/>
      <c r="BE58" s="108"/>
      <c r="BF58" s="108"/>
      <c r="BG58" s="108"/>
      <c r="BH58" s="108"/>
      <c r="BI58" s="99"/>
      <c r="BJ58" s="100"/>
      <c r="BK58" s="100"/>
      <c r="BL58" s="100"/>
      <c r="BM58" s="100"/>
      <c r="BN58" s="101"/>
      <c r="BO58" s="102"/>
      <c r="BP58" s="102"/>
      <c r="BQ58" s="102"/>
      <c r="BR58" s="102"/>
      <c r="BS58" s="103"/>
      <c r="BT58" s="104"/>
      <c r="BU58" s="105"/>
      <c r="BV58" s="105"/>
      <c r="BW58" s="103"/>
      <c r="BX58" s="106"/>
      <c r="BY58" s="107"/>
      <c r="BZ58" s="107"/>
      <c r="CA58" s="107"/>
      <c r="CB58" s="107"/>
      <c r="CC58" s="74"/>
    </row>
    <row r="59" spans="2:81" ht="30">
      <c r="B59" s="47" t="s">
        <v>864</v>
      </c>
      <c r="C59" s="48" t="s">
        <v>900</v>
      </c>
      <c r="D59" s="49" t="s">
        <v>946</v>
      </c>
      <c r="E59" s="81" t="s">
        <v>947</v>
      </c>
      <c r="F59" s="97" t="s">
        <v>1622</v>
      </c>
      <c r="G59" s="98" t="s">
        <v>1623</v>
      </c>
      <c r="H59" s="49" t="s">
        <v>0</v>
      </c>
      <c r="I59" s="149" t="s">
        <v>1608</v>
      </c>
      <c r="J59" s="149" t="s">
        <v>1609</v>
      </c>
      <c r="K59" s="99"/>
      <c r="L59" s="100"/>
      <c r="M59" s="100"/>
      <c r="N59" s="100"/>
      <c r="O59" s="100"/>
      <c r="P59" s="101"/>
      <c r="Q59" s="102"/>
      <c r="R59" s="102"/>
      <c r="S59" s="102"/>
      <c r="T59" s="102"/>
      <c r="U59" s="103"/>
      <c r="V59" s="104"/>
      <c r="W59" s="105"/>
      <c r="X59" s="105"/>
      <c r="Y59" s="103"/>
      <c r="Z59" s="106"/>
      <c r="AA59" s="107"/>
      <c r="AB59" s="107"/>
      <c r="AC59" s="75" t="s">
        <v>860</v>
      </c>
      <c r="AD59" s="107"/>
      <c r="AE59" s="64"/>
      <c r="AF59" s="64"/>
      <c r="AG59" s="95" t="s">
        <v>861</v>
      </c>
      <c r="AH59" s="108"/>
      <c r="AI59" s="108"/>
      <c r="AJ59" s="99"/>
      <c r="AK59" s="100"/>
      <c r="AL59" s="100"/>
      <c r="AM59" s="100"/>
      <c r="AN59" s="100"/>
      <c r="AO59" s="101"/>
      <c r="AP59" s="56"/>
      <c r="AQ59" s="102"/>
      <c r="AR59" s="102"/>
      <c r="AS59" s="56"/>
      <c r="AT59" s="103"/>
      <c r="AU59" s="104"/>
      <c r="AV59" s="105"/>
      <c r="AW59" s="105"/>
      <c r="AX59" s="103"/>
      <c r="AY59" s="106"/>
      <c r="AZ59" s="107"/>
      <c r="BA59" s="107"/>
      <c r="BB59" s="107"/>
      <c r="BC59" s="107"/>
      <c r="BD59" s="109"/>
      <c r="BE59" s="108"/>
      <c r="BF59" s="108"/>
      <c r="BG59" s="108"/>
      <c r="BH59" s="108"/>
      <c r="BI59" s="99"/>
      <c r="BJ59" s="100"/>
      <c r="BK59" s="100"/>
      <c r="BL59" s="100"/>
      <c r="BM59" s="100"/>
      <c r="BN59" s="101"/>
      <c r="BO59" s="102"/>
      <c r="BP59" s="102"/>
      <c r="BQ59" s="102"/>
      <c r="BR59" s="102"/>
      <c r="BS59" s="103"/>
      <c r="BT59" s="104"/>
      <c r="BU59" s="105"/>
      <c r="BV59" s="105"/>
      <c r="BW59" s="103"/>
      <c r="BX59" s="106"/>
      <c r="BY59" s="107"/>
      <c r="BZ59" s="107"/>
      <c r="CA59" s="107"/>
      <c r="CB59" s="107"/>
      <c r="CC59" s="74"/>
    </row>
    <row r="60" spans="2:81" ht="30">
      <c r="B60" s="47" t="s">
        <v>899</v>
      </c>
      <c r="C60" s="48" t="s">
        <v>931</v>
      </c>
      <c r="D60" s="49" t="s">
        <v>901</v>
      </c>
      <c r="E60" s="81" t="s">
        <v>902</v>
      </c>
      <c r="F60" s="97" t="s">
        <v>1624</v>
      </c>
      <c r="G60" s="98" t="s">
        <v>1625</v>
      </c>
      <c r="H60" s="49" t="s">
        <v>33</v>
      </c>
      <c r="I60" s="49" t="s">
        <v>1559</v>
      </c>
      <c r="J60" s="49" t="s">
        <v>1626</v>
      </c>
      <c r="K60" s="99"/>
      <c r="L60" s="100"/>
      <c r="M60" s="100"/>
      <c r="N60" s="100"/>
      <c r="O60" s="100"/>
      <c r="P60" s="101"/>
      <c r="Q60" s="102"/>
      <c r="R60" s="102"/>
      <c r="S60" s="102"/>
      <c r="T60" s="102"/>
      <c r="U60" s="103"/>
      <c r="V60" s="104"/>
      <c r="W60" s="105"/>
      <c r="X60" s="105"/>
      <c r="Y60" s="103"/>
      <c r="Z60" s="106"/>
      <c r="AA60" s="107"/>
      <c r="AB60" s="107"/>
      <c r="AC60" s="107"/>
      <c r="AD60" s="54"/>
      <c r="AE60" s="141" t="s">
        <v>860</v>
      </c>
      <c r="AF60" s="64"/>
      <c r="AG60" s="108"/>
      <c r="AH60" s="142" t="s">
        <v>861</v>
      </c>
      <c r="AI60" s="80"/>
      <c r="AJ60" s="99"/>
      <c r="AK60" s="100"/>
      <c r="AL60" s="100"/>
      <c r="AM60" s="100"/>
      <c r="AN60" s="100"/>
      <c r="AO60" s="101"/>
      <c r="AP60" s="102"/>
      <c r="AQ60" s="102"/>
      <c r="AR60" s="102"/>
      <c r="AS60" s="102"/>
      <c r="AT60" s="103"/>
      <c r="AU60" s="104"/>
      <c r="AV60" s="105"/>
      <c r="AW60" s="105"/>
      <c r="AX60" s="103"/>
      <c r="AY60" s="106"/>
      <c r="AZ60" s="107"/>
      <c r="BA60" s="107"/>
      <c r="BB60" s="107"/>
      <c r="BC60" s="107"/>
      <c r="BD60" s="109"/>
      <c r="BE60" s="108"/>
      <c r="BF60" s="108"/>
      <c r="BG60" s="108"/>
      <c r="BH60" s="108"/>
      <c r="BI60" s="99"/>
      <c r="BJ60" s="100"/>
      <c r="BK60" s="100"/>
      <c r="BL60" s="100"/>
      <c r="BM60" s="100"/>
      <c r="BN60" s="101"/>
      <c r="BO60" s="102"/>
      <c r="BP60" s="102"/>
      <c r="BQ60" s="102"/>
      <c r="BR60" s="102"/>
      <c r="BS60" s="103"/>
      <c r="BT60" s="104"/>
      <c r="BU60" s="105"/>
      <c r="BV60" s="105"/>
      <c r="BW60" s="103"/>
      <c r="BX60" s="106"/>
      <c r="BY60" s="107"/>
      <c r="BZ60" s="107"/>
      <c r="CA60" s="107"/>
      <c r="CB60" s="107"/>
      <c r="CC60" s="74"/>
    </row>
    <row r="61" spans="2:81" ht="30">
      <c r="B61" s="47" t="s">
        <v>864</v>
      </c>
      <c r="C61" s="48" t="s">
        <v>900</v>
      </c>
      <c r="D61" s="49" t="s">
        <v>957</v>
      </c>
      <c r="E61" s="81" t="s">
        <v>958</v>
      </c>
      <c r="F61" s="97" t="s">
        <v>1412</v>
      </c>
      <c r="G61" s="98" t="s">
        <v>1627</v>
      </c>
      <c r="H61" s="49" t="s">
        <v>33</v>
      </c>
      <c r="I61" s="149" t="s">
        <v>1608</v>
      </c>
      <c r="J61" s="149" t="s">
        <v>1609</v>
      </c>
      <c r="K61" s="99"/>
      <c r="L61" s="100"/>
      <c r="M61" s="100"/>
      <c r="N61" s="100"/>
      <c r="O61" s="100"/>
      <c r="P61" s="101"/>
      <c r="Q61" s="102"/>
      <c r="R61" s="102"/>
      <c r="S61" s="102"/>
      <c r="T61" s="102"/>
      <c r="U61" s="103"/>
      <c r="V61" s="104"/>
      <c r="W61" s="105"/>
      <c r="X61" s="115"/>
      <c r="Y61" s="103"/>
      <c r="Z61" s="106"/>
      <c r="AA61" s="107"/>
      <c r="AB61" s="107"/>
      <c r="AC61" s="107"/>
      <c r="AD61" s="107"/>
      <c r="AE61" s="54"/>
      <c r="AF61" s="64"/>
      <c r="AG61" s="108"/>
      <c r="AH61" s="108"/>
      <c r="AI61" s="108"/>
      <c r="AJ61" s="99"/>
      <c r="AK61" s="100"/>
      <c r="AL61" s="100"/>
      <c r="AM61" s="100"/>
      <c r="AN61" s="100"/>
      <c r="AO61" s="101"/>
      <c r="AP61" s="95" t="s">
        <v>861</v>
      </c>
      <c r="AQ61" s="102"/>
      <c r="AR61" s="102"/>
      <c r="AS61" s="108"/>
      <c r="AT61" s="103"/>
      <c r="AU61" s="104"/>
      <c r="AV61" s="105"/>
      <c r="AW61" s="105"/>
      <c r="AX61" s="103"/>
      <c r="AY61" s="106"/>
      <c r="AZ61" s="107"/>
      <c r="BA61" s="107"/>
      <c r="BB61" s="107"/>
      <c r="BC61" s="107"/>
      <c r="BD61" s="109"/>
      <c r="BE61" s="108"/>
      <c r="BF61" s="108"/>
      <c r="BG61" s="108"/>
      <c r="BH61" s="108"/>
      <c r="BI61" s="99"/>
      <c r="BJ61" s="100"/>
      <c r="BK61" s="100"/>
      <c r="BL61" s="100"/>
      <c r="BM61" s="100"/>
      <c r="BN61" s="101"/>
      <c r="BO61" s="102"/>
      <c r="BP61" s="102"/>
      <c r="BQ61" s="102"/>
      <c r="BR61" s="102"/>
      <c r="BS61" s="103"/>
      <c r="BT61" s="104"/>
      <c r="BU61" s="105"/>
      <c r="BV61" s="105"/>
      <c r="BW61" s="103"/>
      <c r="BX61" s="106"/>
      <c r="BY61" s="107"/>
      <c r="BZ61" s="107"/>
      <c r="CA61" s="107"/>
      <c r="CB61" s="107"/>
      <c r="CC61" s="74"/>
    </row>
    <row r="62" spans="2:81" ht="45">
      <c r="B62" s="47" t="s">
        <v>899</v>
      </c>
      <c r="C62" s="48" t="s">
        <v>950</v>
      </c>
      <c r="D62" s="49" t="s">
        <v>951</v>
      </c>
      <c r="E62" s="81" t="s">
        <v>952</v>
      </c>
      <c r="F62" s="97" t="s">
        <v>1628</v>
      </c>
      <c r="G62" s="98" t="s">
        <v>1629</v>
      </c>
      <c r="H62" s="49" t="s">
        <v>33</v>
      </c>
      <c r="I62" s="49" t="s">
        <v>1559</v>
      </c>
      <c r="J62" s="49" t="s">
        <v>1630</v>
      </c>
      <c r="K62" s="99"/>
      <c r="L62" s="100"/>
      <c r="M62" s="100"/>
      <c r="N62" s="100"/>
      <c r="O62" s="100"/>
      <c r="P62" s="101"/>
      <c r="Q62" s="102"/>
      <c r="R62" s="102"/>
      <c r="S62" s="102"/>
      <c r="T62" s="102"/>
      <c r="U62" s="103"/>
      <c r="V62" s="104"/>
      <c r="W62" s="105"/>
      <c r="X62" s="105"/>
      <c r="Y62" s="103"/>
      <c r="Z62" s="106"/>
      <c r="AA62" s="107"/>
      <c r="AB62" s="107"/>
      <c r="AC62" s="107"/>
      <c r="AD62" s="107"/>
      <c r="AE62" s="54"/>
      <c r="AF62" s="64"/>
      <c r="AG62" s="108"/>
      <c r="AH62" s="108"/>
      <c r="AI62" s="108"/>
      <c r="AJ62" s="99"/>
      <c r="AK62" s="100"/>
      <c r="AL62" s="100"/>
      <c r="AM62" s="100"/>
      <c r="AN62" s="100"/>
      <c r="AO62" s="101"/>
      <c r="AP62" s="141" t="s">
        <v>860</v>
      </c>
      <c r="AQ62" s="102"/>
      <c r="AR62" s="102"/>
      <c r="AS62" s="142" t="s">
        <v>861</v>
      </c>
      <c r="AT62" s="103"/>
      <c r="AU62" s="104"/>
      <c r="AV62" s="105"/>
      <c r="AW62" s="105"/>
      <c r="AX62" s="103"/>
      <c r="AY62" s="106"/>
      <c r="AZ62" s="107"/>
      <c r="BA62" s="107"/>
      <c r="BB62" s="107"/>
      <c r="BC62" s="107"/>
      <c r="BD62" s="109"/>
      <c r="BE62" s="108"/>
      <c r="BF62" s="108"/>
      <c r="BG62" s="108"/>
      <c r="BH62" s="108"/>
      <c r="BI62" s="99"/>
      <c r="BJ62" s="100"/>
      <c r="BK62" s="100"/>
      <c r="BL62" s="100"/>
      <c r="BM62" s="100"/>
      <c r="BN62" s="101"/>
      <c r="BO62" s="102"/>
      <c r="BP62" s="102"/>
      <c r="BQ62" s="102"/>
      <c r="BR62" s="102"/>
      <c r="BS62" s="103"/>
      <c r="BT62" s="104"/>
      <c r="BU62" s="105"/>
      <c r="BV62" s="105"/>
      <c r="BW62" s="103"/>
      <c r="BX62" s="106"/>
      <c r="BY62" s="107"/>
      <c r="BZ62" s="107"/>
      <c r="CA62" s="107"/>
      <c r="CB62" s="107"/>
      <c r="CC62" s="74"/>
    </row>
    <row r="63" spans="2:81" ht="45">
      <c r="B63" s="47" t="s">
        <v>899</v>
      </c>
      <c r="C63" s="48" t="s">
        <v>950</v>
      </c>
      <c r="D63" s="49" t="s">
        <v>953</v>
      </c>
      <c r="E63" s="81" t="s">
        <v>954</v>
      </c>
      <c r="F63" s="97" t="s">
        <v>1628</v>
      </c>
      <c r="G63" s="98" t="s">
        <v>1629</v>
      </c>
      <c r="H63" s="49" t="s">
        <v>33</v>
      </c>
      <c r="I63" s="49" t="s">
        <v>1559</v>
      </c>
      <c r="J63" s="49" t="s">
        <v>1630</v>
      </c>
      <c r="K63" s="99"/>
      <c r="L63" s="100"/>
      <c r="M63" s="100"/>
      <c r="N63" s="100"/>
      <c r="O63" s="100"/>
      <c r="P63" s="101"/>
      <c r="Q63" s="102"/>
      <c r="R63" s="102"/>
      <c r="S63" s="102"/>
      <c r="T63" s="102"/>
      <c r="U63" s="103"/>
      <c r="V63" s="104"/>
      <c r="W63" s="105"/>
      <c r="X63" s="105"/>
      <c r="Y63" s="103"/>
      <c r="Z63" s="106"/>
      <c r="AA63" s="107"/>
      <c r="AB63" s="107"/>
      <c r="AC63" s="107"/>
      <c r="AD63" s="107"/>
      <c r="AE63" s="54"/>
      <c r="AF63" s="108"/>
      <c r="AG63" s="108"/>
      <c r="AH63" s="108"/>
      <c r="AI63" s="108"/>
      <c r="AJ63" s="99"/>
      <c r="AK63" s="100"/>
      <c r="AL63" s="100"/>
      <c r="AM63" s="100"/>
      <c r="AN63" s="100"/>
      <c r="AO63" s="101"/>
      <c r="AP63" s="150" t="s">
        <v>860</v>
      </c>
      <c r="AQ63" s="102"/>
      <c r="AR63" s="102"/>
      <c r="AS63" s="151" t="s">
        <v>861</v>
      </c>
      <c r="AT63" s="103"/>
      <c r="AU63" s="104"/>
      <c r="AV63" s="105"/>
      <c r="AW63" s="105"/>
      <c r="AX63" s="103"/>
      <c r="AY63" s="106"/>
      <c r="AZ63" s="107"/>
      <c r="BA63" s="107"/>
      <c r="BB63" s="107"/>
      <c r="BC63" s="107"/>
      <c r="BD63" s="109"/>
      <c r="BE63" s="108"/>
      <c r="BF63" s="108"/>
      <c r="BG63" s="108"/>
      <c r="BH63" s="108"/>
      <c r="BI63" s="99"/>
      <c r="BJ63" s="100"/>
      <c r="BK63" s="100"/>
      <c r="BL63" s="100"/>
      <c r="BM63" s="100"/>
      <c r="BN63" s="101"/>
      <c r="BO63" s="102"/>
      <c r="BP63" s="102"/>
      <c r="BQ63" s="102"/>
      <c r="BR63" s="102"/>
      <c r="BS63" s="103"/>
      <c r="BT63" s="104"/>
      <c r="BU63" s="105"/>
      <c r="BV63" s="105"/>
      <c r="BW63" s="103"/>
      <c r="BX63" s="106"/>
      <c r="BY63" s="107"/>
      <c r="BZ63" s="107"/>
      <c r="CA63" s="107"/>
      <c r="CB63" s="107"/>
      <c r="CC63" s="74"/>
    </row>
    <row r="64" spans="2:81" ht="45">
      <c r="B64" s="47" t="s">
        <v>864</v>
      </c>
      <c r="C64" s="48" t="s">
        <v>880</v>
      </c>
      <c r="D64" s="116" t="s">
        <v>955</v>
      </c>
      <c r="E64" s="117" t="s">
        <v>956</v>
      </c>
      <c r="F64" s="118" t="s">
        <v>1412</v>
      </c>
      <c r="G64" s="98" t="s">
        <v>1412</v>
      </c>
      <c r="H64" s="49" t="s">
        <v>33</v>
      </c>
      <c r="I64" s="49" t="s">
        <v>1559</v>
      </c>
      <c r="J64" s="49" t="s">
        <v>1630</v>
      </c>
      <c r="K64" s="99"/>
      <c r="L64" s="100"/>
      <c r="M64" s="100"/>
      <c r="N64" s="100"/>
      <c r="O64" s="100"/>
      <c r="P64" s="101"/>
      <c r="Q64" s="102"/>
      <c r="R64" s="102"/>
      <c r="S64" s="102"/>
      <c r="T64" s="102"/>
      <c r="U64" s="103"/>
      <c r="V64" s="104"/>
      <c r="W64" s="105"/>
      <c r="X64" s="115"/>
      <c r="Y64" s="103"/>
      <c r="Z64" s="106"/>
      <c r="AA64" s="107"/>
      <c r="AB64" s="107"/>
      <c r="AC64" s="107"/>
      <c r="AD64" s="107"/>
      <c r="AE64" s="109"/>
      <c r="AF64" s="108"/>
      <c r="AG64" s="108"/>
      <c r="AH64" s="108"/>
      <c r="AI64" s="108"/>
      <c r="AJ64" s="99"/>
      <c r="AK64" s="100"/>
      <c r="AL64" s="100"/>
      <c r="AM64" s="100"/>
      <c r="AN64" s="100"/>
      <c r="AO64" s="101"/>
      <c r="AP64" s="108"/>
      <c r="AQ64" s="102"/>
      <c r="AR64" s="102"/>
      <c r="AS64" s="102"/>
      <c r="AT64" s="103"/>
      <c r="AU64" s="104"/>
      <c r="AV64" s="105"/>
      <c r="AW64" s="105"/>
      <c r="AX64" s="103"/>
      <c r="AY64" s="106"/>
      <c r="AZ64" s="107"/>
      <c r="BA64" s="107"/>
      <c r="BB64" s="107"/>
      <c r="BC64" s="107"/>
      <c r="BD64" s="109"/>
      <c r="BE64" s="108"/>
      <c r="BF64" s="108"/>
      <c r="BG64" s="108"/>
      <c r="BH64" s="108"/>
      <c r="BI64" s="99"/>
      <c r="BJ64" s="100"/>
      <c r="BK64" s="100"/>
      <c r="BL64" s="100"/>
      <c r="BM64" s="100"/>
      <c r="BN64" s="101"/>
      <c r="BO64" s="102"/>
      <c r="BP64" s="102"/>
      <c r="BQ64" s="102"/>
      <c r="BR64" s="102"/>
      <c r="BS64" s="103"/>
      <c r="BT64" s="104"/>
      <c r="BU64" s="105"/>
      <c r="BV64" s="105"/>
      <c r="BW64" s="103"/>
      <c r="BX64" s="106"/>
      <c r="BY64" s="107"/>
      <c r="BZ64" s="107"/>
      <c r="CA64" s="107"/>
      <c r="CB64" s="107"/>
      <c r="CC64" s="74"/>
    </row>
    <row r="65" spans="2:81" ht="45">
      <c r="B65" s="47" t="s">
        <v>864</v>
      </c>
      <c r="C65" s="48" t="s">
        <v>969</v>
      </c>
      <c r="D65" s="116" t="s">
        <v>972</v>
      </c>
      <c r="E65" s="117" t="s">
        <v>971</v>
      </c>
      <c r="F65" s="118" t="s">
        <v>1631</v>
      </c>
      <c r="G65" s="98" t="s">
        <v>1632</v>
      </c>
      <c r="H65" s="49" t="s">
        <v>33</v>
      </c>
      <c r="I65" s="49" t="s">
        <v>1559</v>
      </c>
      <c r="J65" s="135" t="s">
        <v>1633</v>
      </c>
      <c r="K65" s="99"/>
      <c r="L65" s="100"/>
      <c r="M65" s="100"/>
      <c r="N65" s="100"/>
      <c r="O65" s="100"/>
      <c r="P65" s="101"/>
      <c r="Q65" s="102"/>
      <c r="R65" s="102"/>
      <c r="S65" s="102"/>
      <c r="T65" s="102"/>
      <c r="U65" s="103"/>
      <c r="V65" s="104"/>
      <c r="W65" s="105"/>
      <c r="X65" s="115"/>
      <c r="Y65" s="103"/>
      <c r="Z65" s="106"/>
      <c r="AA65" s="107"/>
      <c r="AB65" s="107"/>
      <c r="AC65" s="107"/>
      <c r="AD65" s="107"/>
      <c r="AE65" s="109"/>
      <c r="AF65" s="108"/>
      <c r="AG65" s="108"/>
      <c r="AH65" s="108"/>
      <c r="AI65" s="108"/>
      <c r="AJ65" s="99"/>
      <c r="AK65" s="100"/>
      <c r="AL65" s="100"/>
      <c r="AM65" s="100"/>
      <c r="AN65" s="100"/>
      <c r="AO65" s="101"/>
      <c r="AP65" s="108"/>
      <c r="AQ65" s="102"/>
      <c r="AR65" s="102"/>
      <c r="AS65" s="102"/>
      <c r="AT65" s="103"/>
      <c r="AU65" s="104"/>
      <c r="AV65" s="105"/>
      <c r="AW65" s="105"/>
      <c r="AX65" s="103"/>
      <c r="AY65" s="106"/>
      <c r="AZ65" s="107"/>
      <c r="BA65" s="107"/>
      <c r="BB65" s="107"/>
      <c r="BC65" s="107"/>
      <c r="BD65" s="109"/>
      <c r="BE65" s="108"/>
      <c r="BF65" s="108"/>
      <c r="BG65" s="108"/>
      <c r="BH65" s="108"/>
      <c r="BI65" s="99"/>
      <c r="BJ65" s="100"/>
      <c r="BK65" s="100"/>
      <c r="BL65" s="100"/>
      <c r="BM65" s="150" t="s">
        <v>860</v>
      </c>
      <c r="BN65" s="101"/>
      <c r="BO65" s="102"/>
      <c r="BP65" s="151" t="s">
        <v>861</v>
      </c>
      <c r="BQ65" s="102"/>
      <c r="BR65" s="102"/>
      <c r="BS65" s="103"/>
      <c r="BT65" s="104"/>
      <c r="BU65" s="105"/>
      <c r="BV65" s="105"/>
      <c r="BW65" s="103"/>
      <c r="BX65" s="106"/>
      <c r="BY65" s="107"/>
      <c r="BZ65" s="107"/>
      <c r="CA65" s="107"/>
      <c r="CB65" s="107"/>
      <c r="CC65" s="74"/>
    </row>
    <row r="66" spans="2:81" ht="45">
      <c r="B66" s="47" t="s">
        <v>864</v>
      </c>
      <c r="C66" s="48" t="s">
        <v>969</v>
      </c>
      <c r="D66" s="116" t="s">
        <v>975</v>
      </c>
      <c r="E66" s="117" t="s">
        <v>974</v>
      </c>
      <c r="F66" s="118" t="s">
        <v>1631</v>
      </c>
      <c r="G66" s="98" t="s">
        <v>1632</v>
      </c>
      <c r="H66" s="49" t="s">
        <v>33</v>
      </c>
      <c r="I66" s="49" t="s">
        <v>1559</v>
      </c>
      <c r="J66" s="49" t="s">
        <v>1633</v>
      </c>
      <c r="K66" s="99"/>
      <c r="L66" s="100"/>
      <c r="M66" s="100"/>
      <c r="N66" s="100"/>
      <c r="O66" s="100"/>
      <c r="P66" s="101"/>
      <c r="Q66" s="102"/>
      <c r="R66" s="102"/>
      <c r="S66" s="102"/>
      <c r="T66" s="102"/>
      <c r="U66" s="103"/>
      <c r="V66" s="104"/>
      <c r="W66" s="105"/>
      <c r="X66" s="115"/>
      <c r="Y66" s="103"/>
      <c r="Z66" s="106"/>
      <c r="AA66" s="107"/>
      <c r="AB66" s="107"/>
      <c r="AC66" s="107"/>
      <c r="AD66" s="107"/>
      <c r="AE66" s="109"/>
      <c r="AF66" s="108"/>
      <c r="AG66" s="108"/>
      <c r="AH66" s="108"/>
      <c r="AI66" s="108"/>
      <c r="AJ66" s="99"/>
      <c r="AK66" s="100"/>
      <c r="AL66" s="100"/>
      <c r="AM66" s="100"/>
      <c r="AN66" s="100"/>
      <c r="AO66" s="101"/>
      <c r="AP66" s="108"/>
      <c r="AQ66" s="102"/>
      <c r="AR66" s="102"/>
      <c r="AS66" s="102"/>
      <c r="AT66" s="103"/>
      <c r="AU66" s="104"/>
      <c r="AV66" s="105"/>
      <c r="AW66" s="105"/>
      <c r="AX66" s="103"/>
      <c r="AY66" s="106"/>
      <c r="AZ66" s="107"/>
      <c r="BA66" s="107"/>
      <c r="BB66" s="107"/>
      <c r="BC66" s="107"/>
      <c r="BD66" s="109"/>
      <c r="BE66" s="108"/>
      <c r="BF66" s="108"/>
      <c r="BG66" s="108"/>
      <c r="BH66" s="108"/>
      <c r="BI66" s="99"/>
      <c r="BJ66" s="100"/>
      <c r="BK66" s="100"/>
      <c r="BL66" s="100"/>
      <c r="BM66" s="150" t="s">
        <v>860</v>
      </c>
      <c r="BN66" s="101"/>
      <c r="BO66" s="102"/>
      <c r="BP66" s="151" t="s">
        <v>861</v>
      </c>
      <c r="BQ66" s="102"/>
      <c r="BR66" s="102"/>
      <c r="BS66" s="103"/>
      <c r="BT66" s="104"/>
      <c r="BU66" s="105"/>
      <c r="BV66" s="105"/>
      <c r="BW66" s="103"/>
      <c r="BX66" s="106"/>
      <c r="BY66" s="107"/>
      <c r="BZ66" s="107"/>
      <c r="CA66" s="107"/>
      <c r="CB66" s="107"/>
      <c r="CC66" s="74"/>
    </row>
  </sheetData>
  <sheetProtection algorithmName="SHA-512" hashValue="AIoRGjw8ALePCY1El0e+x+IrP/0xQoWtA9EceIuPp/8c8MF2+o3a7U3jSUEq5bTnSVHnek0cVjK6S38aSD+sgA==" saltValue="XtfUB0jFMRW06Zo5u2QIMg==" spinCount="100000" sheet="1" objects="1" scenarios="1" sort="0" autoFilter="0"/>
  <autoFilter ref="B17:CB64" xr:uid="{4502421D-2F48-47FB-A199-BA13FA50A5F3}">
    <sortState xmlns:xlrd2="http://schemas.microsoft.com/office/spreadsheetml/2017/richdata2" ref="B18:CB64">
      <sortCondition ref="G17:G64"/>
    </sortState>
  </autoFilter>
  <mergeCells count="25">
    <mergeCell ref="E12:J12"/>
    <mergeCell ref="E3:J3"/>
    <mergeCell ref="E7:J7"/>
    <mergeCell ref="E4:J4"/>
    <mergeCell ref="E5:J5"/>
    <mergeCell ref="E6:J6"/>
    <mergeCell ref="E8:J8"/>
    <mergeCell ref="E9:J9"/>
    <mergeCell ref="E10:J10"/>
    <mergeCell ref="E11:J11"/>
    <mergeCell ref="AJ16:AN16"/>
    <mergeCell ref="K16:O16"/>
    <mergeCell ref="P16:T16"/>
    <mergeCell ref="CC16:CC17"/>
    <mergeCell ref="AO16:AS16"/>
    <mergeCell ref="AT16:AX16"/>
    <mergeCell ref="AY16:BC16"/>
    <mergeCell ref="BD16:BH16"/>
    <mergeCell ref="BI16:BM16"/>
    <mergeCell ref="BN16:BR16"/>
    <mergeCell ref="BS16:BW16"/>
    <mergeCell ref="BX16:CB16"/>
    <mergeCell ref="U16:Y16"/>
    <mergeCell ref="Z16:AD16"/>
    <mergeCell ref="AE16:AI16"/>
  </mergeCells>
  <phoneticPr fontId="29" type="noConversion"/>
  <conditionalFormatting sqref="K18:N19">
    <cfRule type="expression" dxfId="240" priority="718">
      <formula>(TEXT(TODAY(),"aaaa"))="Thursday"</formula>
    </cfRule>
  </conditionalFormatting>
  <conditionalFormatting sqref="K20:O66">
    <cfRule type="expression" dxfId="239" priority="17">
      <formula>(TEXT(TODAY(),"aaaa"))="Thursday"</formula>
    </cfRule>
  </conditionalFormatting>
  <conditionalFormatting sqref="K18:P41">
    <cfRule type="cellIs" dxfId="238" priority="102" operator="equal">
      <formula>"✖"</formula>
    </cfRule>
    <cfRule type="cellIs" dxfId="237" priority="101" operator="equal">
      <formula>"✔"</formula>
    </cfRule>
  </conditionalFormatting>
  <conditionalFormatting sqref="K42:T57 Q18:T19 T23:T24 K18:N19 K20:O41 T27:T43 Q20:S41">
    <cfRule type="iconSet" priority="719">
      <iconSet iconSet="3Symbols2" showValue="0">
        <cfvo type="percent" val="0"/>
        <cfvo type="percent" val="33"/>
        <cfvo type="percent" val="67"/>
      </iconSet>
    </cfRule>
  </conditionalFormatting>
  <conditionalFormatting sqref="K42:T63">
    <cfRule type="cellIs" dxfId="236" priority="717" operator="equal">
      <formula>"✖"</formula>
    </cfRule>
    <cfRule type="cellIs" dxfId="235" priority="716" operator="equal">
      <formula>"✔"</formula>
    </cfRule>
  </conditionalFormatting>
  <conditionalFormatting sqref="K58:T63">
    <cfRule type="iconSet" priority="714">
      <iconSet iconSet="3Symbols2" showValue="0">
        <cfvo type="percent" val="0"/>
        <cfvo type="percent" val="33"/>
        <cfvo type="percent" val="67"/>
      </iconSet>
    </cfRule>
  </conditionalFormatting>
  <conditionalFormatting sqref="K64:AO64 AT64:CB64">
    <cfRule type="iconSet" priority="729">
      <iconSet iconSet="3Symbols2" showValue="0">
        <cfvo type="percent" val="0"/>
        <cfvo type="percent" val="33"/>
        <cfvo type="percent" val="67"/>
      </iconSet>
    </cfRule>
  </conditionalFormatting>
  <conditionalFormatting sqref="K65:AO65 AT65:BL65 BN65:BO65 BQ65:CB65">
    <cfRule type="iconSet" priority="44">
      <iconSet iconSet="3Symbols2" showValue="0">
        <cfvo type="percent" val="0"/>
        <cfvo type="percent" val="33"/>
        <cfvo type="percent" val="67"/>
      </iconSet>
    </cfRule>
  </conditionalFormatting>
  <conditionalFormatting sqref="K66:AO66 AT66:BL66 BN66:BO66 BQ66:CB66">
    <cfRule type="iconSet" priority="25">
      <iconSet iconSet="3Symbols2" showValue="0">
        <cfvo type="percent" val="0"/>
        <cfvo type="percent" val="33"/>
        <cfvo type="percent" val="67"/>
      </iconSet>
    </cfRule>
  </conditionalFormatting>
  <conditionalFormatting sqref="K64:CB66">
    <cfRule type="cellIs" dxfId="234" priority="3" operator="equal">
      <formula>"✔"</formula>
    </cfRule>
    <cfRule type="cellIs" dxfId="233" priority="4" operator="equal">
      <formula>"✖"</formula>
    </cfRule>
  </conditionalFormatting>
  <conditionalFormatting sqref="O18:O19">
    <cfRule type="iconSet" priority="558">
      <iconSet iconSet="3Symbols2" showValue="0">
        <cfvo type="percent" val="0"/>
        <cfvo type="percent" val="33"/>
        <cfvo type="percent" val="67"/>
      </iconSet>
    </cfRule>
    <cfRule type="expression" dxfId="232" priority="559">
      <formula>(TEXT(TODAY(),"aaaa"))="Wednesday"</formula>
    </cfRule>
  </conditionalFormatting>
  <conditionalFormatting sqref="P18">
    <cfRule type="iconSet" priority="554">
      <iconSet iconSet="3Symbols2" showValue="0">
        <cfvo type="percent" val="0"/>
        <cfvo type="percent" val="33"/>
        <cfvo type="percent" val="67"/>
      </iconSet>
    </cfRule>
  </conditionalFormatting>
  <conditionalFormatting sqref="P19">
    <cfRule type="iconSet" priority="550">
      <iconSet iconSet="3Symbols2" showValue="0">
        <cfvo type="percent" val="0"/>
        <cfvo type="percent" val="33"/>
        <cfvo type="percent" val="67"/>
      </iconSet>
    </cfRule>
  </conditionalFormatting>
  <conditionalFormatting sqref="P20">
    <cfRule type="iconSet" priority="107">
      <iconSet iconSet="3Symbols2" showValue="0">
        <cfvo type="percent" val="0"/>
        <cfvo type="percent" val="33"/>
        <cfvo type="percent" val="67"/>
      </iconSet>
    </cfRule>
  </conditionalFormatting>
  <conditionalFormatting sqref="P20:P22">
    <cfRule type="expression" dxfId="231" priority="100">
      <formula>(TEXT(TODAY(),"aaaa"))="Wednesday"</formula>
    </cfRule>
  </conditionalFormatting>
  <conditionalFormatting sqref="P21">
    <cfRule type="iconSet" priority="103">
      <iconSet iconSet="3Symbols2" showValue="0">
        <cfvo type="percent" val="0"/>
        <cfvo type="percent" val="33"/>
        <cfvo type="percent" val="67"/>
      </iconSet>
    </cfRule>
  </conditionalFormatting>
  <conditionalFormatting sqref="P22">
    <cfRule type="iconSet" priority="99">
      <iconSet iconSet="3Symbols2" showValue="0">
        <cfvo type="percent" val="0"/>
        <cfvo type="percent" val="33"/>
        <cfvo type="percent" val="67"/>
      </iconSet>
    </cfRule>
  </conditionalFormatting>
  <conditionalFormatting sqref="P23:P24 P27:P41">
    <cfRule type="expression" dxfId="230" priority="539">
      <formula>(TEXT(TODAY(),"aaaa"))="Friday"</formula>
    </cfRule>
  </conditionalFormatting>
  <conditionalFormatting sqref="P25">
    <cfRule type="iconSet" priority="474">
      <iconSet iconSet="3Symbols2" showValue="0">
        <cfvo type="percent" val="0"/>
        <cfvo type="percent" val="33"/>
        <cfvo type="percent" val="67"/>
      </iconSet>
    </cfRule>
  </conditionalFormatting>
  <conditionalFormatting sqref="P25:P26">
    <cfRule type="expression" dxfId="229" priority="469">
      <formula>(TEXT(TODAY(),"aaaa"))="Thursday"</formula>
    </cfRule>
  </conditionalFormatting>
  <conditionalFormatting sqref="P26">
    <cfRule type="iconSet" priority="470">
      <iconSet iconSet="3Symbols2" showValue="0">
        <cfvo type="percent" val="0"/>
        <cfvo type="percent" val="33"/>
        <cfvo type="percent" val="67"/>
      </iconSet>
    </cfRule>
  </conditionalFormatting>
  <conditionalFormatting sqref="P27:P41 P23:P24">
    <cfRule type="iconSet" priority="538">
      <iconSet iconSet="3Symbols2" showValue="0">
        <cfvo type="percent" val="0"/>
        <cfvo type="percent" val="33"/>
        <cfvo type="percent" val="67"/>
      </iconSet>
    </cfRule>
  </conditionalFormatting>
  <conditionalFormatting sqref="P18:T19">
    <cfRule type="expression" dxfId="228" priority="551">
      <formula>(TEXT(TODAY(),"aaaa"))="Friday"</formula>
    </cfRule>
  </conditionalFormatting>
  <conditionalFormatting sqref="P44:T66">
    <cfRule type="expression" dxfId="227" priority="18">
      <formula>(TEXT(TODAY(),"aaaa"))="Friday"</formula>
    </cfRule>
  </conditionalFormatting>
  <conditionalFormatting sqref="Q20:S41 T23:T24 T27:T43 P42:S43">
    <cfRule type="expression" dxfId="226" priority="720">
      <formula>(TEXT(TODAY(),"aaaa"))="Friday"</formula>
    </cfRule>
  </conditionalFormatting>
  <conditionalFormatting sqref="Q18:T19 Q20:S41">
    <cfRule type="cellIs" dxfId="225" priority="721" operator="equal">
      <formula>"✔"</formula>
    </cfRule>
    <cfRule type="cellIs" dxfId="224" priority="722" operator="equal">
      <formula>"✖"</formula>
    </cfRule>
  </conditionalFormatting>
  <conditionalFormatting sqref="T20:T22">
    <cfRule type="expression" dxfId="223" priority="502">
      <formula>(TEXT(TODAY(),"aaaa"))="Wednesday"</formula>
    </cfRule>
    <cfRule type="iconSet" priority="501">
      <iconSet iconSet="3Symbols2" showValue="0">
        <cfvo type="percent" val="0"/>
        <cfvo type="percent" val="33"/>
        <cfvo type="percent" val="67"/>
      </iconSet>
    </cfRule>
  </conditionalFormatting>
  <conditionalFormatting sqref="T20:T43">
    <cfRule type="cellIs" dxfId="222" priority="464" operator="equal">
      <formula>"✖"</formula>
    </cfRule>
    <cfRule type="cellIs" dxfId="221" priority="463" operator="equal">
      <formula>"✔"</formula>
    </cfRule>
  </conditionalFormatting>
  <conditionalFormatting sqref="T25">
    <cfRule type="iconSet" priority="465">
      <iconSet iconSet="3Symbols2" showValue="0">
        <cfvo type="percent" val="0"/>
        <cfvo type="percent" val="33"/>
        <cfvo type="percent" val="67"/>
      </iconSet>
    </cfRule>
  </conditionalFormatting>
  <conditionalFormatting sqref="T25:T26">
    <cfRule type="expression" dxfId="220" priority="462">
      <formula>(TEXT(TODAY(),"aaaa"))="Wednesday"</formula>
    </cfRule>
  </conditionalFormatting>
  <conditionalFormatting sqref="T26">
    <cfRule type="iconSet" priority="461">
      <iconSet iconSet="3Symbols2" showValue="0">
        <cfvo type="percent" val="0"/>
        <cfvo type="percent" val="33"/>
        <cfvo type="percent" val="67"/>
      </iconSet>
    </cfRule>
  </conditionalFormatting>
  <conditionalFormatting sqref="T39:T43">
    <cfRule type="expression" dxfId="219" priority="686">
      <formula>(TEXT(TODAY(),"aaaa"))="Thursday"</formula>
    </cfRule>
  </conditionalFormatting>
  <conditionalFormatting sqref="U23">
    <cfRule type="iconSet" priority="498">
      <iconSet iconSet="3Symbols2" showValue="0">
        <cfvo type="percent" val="0"/>
        <cfvo type="percent" val="33"/>
        <cfvo type="percent" val="67"/>
      </iconSet>
    </cfRule>
  </conditionalFormatting>
  <conditionalFormatting sqref="U23:U24">
    <cfRule type="expression" dxfId="218" priority="489">
      <formula>(TEXT(TODAY(),"aaaa"))="Thursday"</formula>
    </cfRule>
  </conditionalFormatting>
  <conditionalFormatting sqref="U24">
    <cfRule type="iconSet" priority="490">
      <iconSet iconSet="3Symbols2" showValue="0">
        <cfvo type="percent" val="0"/>
        <cfvo type="percent" val="33"/>
        <cfvo type="percent" val="67"/>
      </iconSet>
    </cfRule>
  </conditionalFormatting>
  <conditionalFormatting sqref="U42">
    <cfRule type="iconSet" priority="282">
      <iconSet iconSet="3Symbols2" showValue="0">
        <cfvo type="percent" val="0"/>
        <cfvo type="percent" val="33"/>
        <cfvo type="percent" val="67"/>
      </iconSet>
    </cfRule>
  </conditionalFormatting>
  <conditionalFormatting sqref="U42:U43">
    <cfRule type="expression" dxfId="217" priority="277">
      <formula>(TEXT(TODAY(),"aaaa"))="Thursday"</formula>
    </cfRule>
  </conditionalFormatting>
  <conditionalFormatting sqref="U43">
    <cfRule type="iconSet" priority="278">
      <iconSet iconSet="3Symbols2" showValue="0">
        <cfvo type="percent" val="0"/>
        <cfvo type="percent" val="33"/>
        <cfvo type="percent" val="67"/>
      </iconSet>
    </cfRule>
  </conditionalFormatting>
  <conditionalFormatting sqref="U49">
    <cfRule type="iconSet" priority="274">
      <iconSet iconSet="3Symbols2" showValue="0">
        <cfvo type="percent" val="0"/>
        <cfvo type="percent" val="33"/>
        <cfvo type="percent" val="67"/>
      </iconSet>
    </cfRule>
    <cfRule type="expression" dxfId="216" priority="273">
      <formula>(TEXT(TODAY(),"aaaa"))="Thursday"</formula>
    </cfRule>
  </conditionalFormatting>
  <conditionalFormatting sqref="U18:Y22 V23:X24 W25:X37 U25:U39 V38:X39 U40:X40 U41:Y41 V42:X43 Y44:Y47 U44:W48 X48:Y48 V49:Y49">
    <cfRule type="expression" dxfId="215" priority="758">
      <formula>(TEXT(TODAY(),"aaaa"))="Monday"</formula>
    </cfRule>
  </conditionalFormatting>
  <conditionalFormatting sqref="U23:Y43">
    <cfRule type="cellIs" dxfId="214" priority="97" operator="equal">
      <formula>"✔"</formula>
    </cfRule>
    <cfRule type="cellIs" dxfId="213" priority="98" operator="equal">
      <formula>"✖"</formula>
    </cfRule>
  </conditionalFormatting>
  <conditionalFormatting sqref="U50:Y66">
    <cfRule type="expression" dxfId="212" priority="26">
      <formula>(TEXT(TODAY(),"aaaa"))="Monday"</formula>
    </cfRule>
  </conditionalFormatting>
  <conditionalFormatting sqref="U49:AA58">
    <cfRule type="cellIs" dxfId="211" priority="275" operator="equal">
      <formula>"✔"</formula>
    </cfRule>
    <cfRule type="cellIs" dxfId="210" priority="276" operator="equal">
      <formula>"✖"</formula>
    </cfRule>
  </conditionalFormatting>
  <conditionalFormatting sqref="U59:AE63">
    <cfRule type="cellIs" dxfId="209" priority="214" operator="equal">
      <formula>"✖"</formula>
    </cfRule>
    <cfRule type="cellIs" dxfId="208" priority="213" operator="equal">
      <formula>"✔"</formula>
    </cfRule>
  </conditionalFormatting>
  <conditionalFormatting sqref="U18:CB22 Z23:CB24 AB25:CB29 AE42:AH42 AE43:AF43 Y44:AA44 U44:W48 AC44:AF58 Y45:Y47 Z45:AA48 X48:Y48 AF59:AF62">
    <cfRule type="cellIs" dxfId="207" priority="764" operator="equal">
      <formula>"✖"</formula>
    </cfRule>
    <cfRule type="cellIs" dxfId="206" priority="763" operator="equal">
      <formula>"✔"</formula>
    </cfRule>
  </conditionalFormatting>
  <conditionalFormatting sqref="V25:V37">
    <cfRule type="expression" dxfId="205" priority="96">
      <formula>(TEXT(TODAY(),"aaaa"))="Wednesday"</formula>
    </cfRule>
    <cfRule type="iconSet" priority="95">
      <iconSet iconSet="3Symbols2" showValue="0">
        <cfvo type="percent" val="0"/>
        <cfvo type="percent" val="33"/>
        <cfvo type="percent" val="67"/>
      </iconSet>
    </cfRule>
  </conditionalFormatting>
  <conditionalFormatting sqref="Y23">
    <cfRule type="iconSet" priority="457">
      <iconSet iconSet="3Symbols2" showValue="0">
        <cfvo type="percent" val="0"/>
        <cfvo type="percent" val="33"/>
        <cfvo type="percent" val="67"/>
      </iconSet>
    </cfRule>
    <cfRule type="expression" dxfId="204" priority="458">
      <formula>(TEXT(TODAY(),"aaaa"))="Wednesday"</formula>
    </cfRule>
  </conditionalFormatting>
  <conditionalFormatting sqref="Y24">
    <cfRule type="iconSet" priority="187">
      <iconSet iconSet="3Symbols2" showValue="0">
        <cfvo type="percent" val="0"/>
        <cfvo type="percent" val="33"/>
        <cfvo type="percent" val="67"/>
      </iconSet>
    </cfRule>
  </conditionalFormatting>
  <conditionalFormatting sqref="Y24:Y37">
    <cfRule type="expression" dxfId="203" priority="184">
      <formula>(TEXT(TODAY(),"aaaa"))="Monday"</formula>
    </cfRule>
  </conditionalFormatting>
  <conditionalFormatting sqref="Y25:Y37">
    <cfRule type="iconSet" priority="183">
      <iconSet iconSet="3Symbols2" showValue="0">
        <cfvo type="percent" val="0"/>
        <cfvo type="percent" val="33"/>
        <cfvo type="percent" val="67"/>
      </iconSet>
    </cfRule>
  </conditionalFormatting>
  <conditionalFormatting sqref="Y38">
    <cfRule type="iconSet" priority="401">
      <iconSet iconSet="3Symbols2" showValue="0">
        <cfvo type="percent" val="0"/>
        <cfvo type="percent" val="33"/>
        <cfvo type="percent" val="67"/>
      </iconSet>
    </cfRule>
    <cfRule type="expression" dxfId="202" priority="402">
      <formula>(TEXT(TODAY(),"aaaa"))="Wednesday"</formula>
    </cfRule>
  </conditionalFormatting>
  <conditionalFormatting sqref="Y39">
    <cfRule type="iconSet" priority="262">
      <iconSet iconSet="3Symbols2" showValue="0">
        <cfvo type="percent" val="0"/>
        <cfvo type="percent" val="33"/>
        <cfvo type="percent" val="67"/>
      </iconSet>
    </cfRule>
  </conditionalFormatting>
  <conditionalFormatting sqref="Y39:Y40">
    <cfRule type="expression" dxfId="201" priority="261">
      <formula>(TEXT(TODAY(),"aaaa"))="Thursday"</formula>
    </cfRule>
  </conditionalFormatting>
  <conditionalFormatting sqref="Y40">
    <cfRule type="iconSet" priority="390">
      <iconSet iconSet="3Symbols2" showValue="0">
        <cfvo type="percent" val="0"/>
        <cfvo type="percent" val="33"/>
        <cfvo type="percent" val="67"/>
      </iconSet>
    </cfRule>
  </conditionalFormatting>
  <conditionalFormatting sqref="Y42">
    <cfRule type="iconSet" priority="365">
      <iconSet iconSet="3Symbols2" showValue="0">
        <cfvo type="percent" val="0"/>
        <cfvo type="percent" val="33"/>
        <cfvo type="percent" val="67"/>
      </iconSet>
    </cfRule>
  </conditionalFormatting>
  <conditionalFormatting sqref="Y42:Y43">
    <cfRule type="expression" dxfId="200" priority="362">
      <formula>(TEXT(TODAY(),"aaaa"))="Wednesday"</formula>
    </cfRule>
  </conditionalFormatting>
  <conditionalFormatting sqref="Y43">
    <cfRule type="iconSet" priority="361">
      <iconSet iconSet="3Symbols2" showValue="0">
        <cfvo type="percent" val="0"/>
        <cfvo type="percent" val="33"/>
        <cfvo type="percent" val="67"/>
      </iconSet>
    </cfRule>
  </conditionalFormatting>
  <conditionalFormatting sqref="Y44:AA44 X48:Y48 U41:Y41 Y45:Y47 Z45:AA48 AF59:AF62 U44:W48 U40:X40 V49:Y49 U18:CB22 AC30:AE32 AG30:CB32 V42:X43 AA49 U50:AA57 Z23:CB24 V23:X24 AE59 AG43:AH57 AC44:AF58 AI42:CB57 AE43:AF43 AE42:AH42 AE33:CB37 Z38:AA39 AC33:AD38 AC40:AD43 AD39 Z41:AA43 W25:X37 V38:X39 U25:U39 Z25:Z37 AB25:CB29 AE39:CB41 AF38:CB38">
    <cfRule type="iconSet" priority="757">
      <iconSet iconSet="3Symbols2" showValue="0">
        <cfvo type="percent" val="0"/>
        <cfvo type="percent" val="33"/>
        <cfvo type="percent" val="67"/>
      </iconSet>
    </cfRule>
  </conditionalFormatting>
  <conditionalFormatting sqref="Z40">
    <cfRule type="iconSet" priority="175">
      <iconSet iconSet="3Symbols2" showValue="0">
        <cfvo type="percent" val="0"/>
        <cfvo type="percent" val="33"/>
        <cfvo type="percent" val="67"/>
      </iconSet>
    </cfRule>
    <cfRule type="expression" dxfId="199" priority="176">
      <formula>(TEXT(TODAY(),"aaaa"))="Tuesday"</formula>
    </cfRule>
  </conditionalFormatting>
  <conditionalFormatting sqref="Z49">
    <cfRule type="iconSet" priority="357">
      <iconSet iconSet="3Symbols2" showValue="0">
        <cfvo type="percent" val="0"/>
        <cfvo type="percent" val="33"/>
        <cfvo type="percent" val="67"/>
      </iconSet>
    </cfRule>
    <cfRule type="expression" dxfId="198" priority="358">
      <formula>(TEXT(TODAY(),"aaaa"))="Wednesday"</formula>
    </cfRule>
  </conditionalFormatting>
  <conditionalFormatting sqref="Z25:AA43">
    <cfRule type="cellIs" dxfId="197" priority="178" operator="equal">
      <formula>"✖"</formula>
    </cfRule>
    <cfRule type="cellIs" dxfId="196" priority="177" operator="equal">
      <formula>"✔"</formula>
    </cfRule>
  </conditionalFormatting>
  <conditionalFormatting sqref="Z50:AA58 Z59:AB59 AD59 Z60:AC60">
    <cfRule type="expression" dxfId="195" priority="746">
      <formula>(TEXT(TODAY(),"aaaa"))="Tuesday"</formula>
    </cfRule>
  </conditionalFormatting>
  <conditionalFormatting sqref="Z18:AD24 AB25:AD29 Z25:Z37 AC30:AD38 Z38:AA39 AD39 AC40:AD58 Z41:AA48 AA49">
    <cfRule type="expression" dxfId="194" priority="760">
      <formula>(TEXT(TODAY(),"aaaa"))="Tuesday"</formula>
    </cfRule>
  </conditionalFormatting>
  <conditionalFormatting sqref="Z61:AD66">
    <cfRule type="expression" dxfId="193" priority="27">
      <formula>(TEXT(TODAY(),"aaaa"))="Tuesday"</formula>
    </cfRule>
  </conditionalFormatting>
  <conditionalFormatting sqref="AA25">
    <cfRule type="iconSet" priority="191">
      <iconSet iconSet="3Symbols2" showValue="0">
        <cfvo type="percent" val="0"/>
        <cfvo type="percent" val="33"/>
        <cfvo type="percent" val="67"/>
      </iconSet>
    </cfRule>
  </conditionalFormatting>
  <conditionalFormatting sqref="AA25:AA37">
    <cfRule type="expression" dxfId="192" priority="192">
      <formula>(TEXT(TODAY(),"aaaa"))="Wednesday"</formula>
    </cfRule>
  </conditionalFormatting>
  <conditionalFormatting sqref="AA26:AA27">
    <cfRule type="iconSet" priority="203">
      <iconSet iconSet="3Symbols2" showValue="0">
        <cfvo type="percent" val="0"/>
        <cfvo type="percent" val="33"/>
        <cfvo type="percent" val="67"/>
      </iconSet>
    </cfRule>
  </conditionalFormatting>
  <conditionalFormatting sqref="AA28">
    <cfRule type="iconSet" priority="199">
      <iconSet iconSet="3Symbols2" showValue="0">
        <cfvo type="percent" val="0"/>
        <cfvo type="percent" val="33"/>
        <cfvo type="percent" val="67"/>
      </iconSet>
    </cfRule>
  </conditionalFormatting>
  <conditionalFormatting sqref="AA29:AA37">
    <cfRule type="iconSet" priority="195">
      <iconSet iconSet="3Symbols2" showValue="0">
        <cfvo type="percent" val="0"/>
        <cfvo type="percent" val="33"/>
        <cfvo type="percent" val="67"/>
      </iconSet>
    </cfRule>
  </conditionalFormatting>
  <conditionalFormatting sqref="AA40">
    <cfRule type="iconSet" priority="224">
      <iconSet iconSet="3Symbols2" showValue="0">
        <cfvo type="percent" val="0"/>
        <cfvo type="percent" val="33"/>
        <cfvo type="percent" val="67"/>
      </iconSet>
    </cfRule>
    <cfRule type="expression" dxfId="191" priority="223">
      <formula>(TEXT(TODAY(),"aaaa"))="Thursday"</formula>
    </cfRule>
  </conditionalFormatting>
  <conditionalFormatting sqref="AB30">
    <cfRule type="iconSet" priority="438">
      <iconSet iconSet="3Symbols2" showValue="0">
        <cfvo type="percent" val="0"/>
        <cfvo type="percent" val="33"/>
        <cfvo type="percent" val="67"/>
      </iconSet>
    </cfRule>
  </conditionalFormatting>
  <conditionalFormatting sqref="AB30:AB39">
    <cfRule type="expression" dxfId="190" priority="429">
      <formula>(TEXT(TODAY(),"aaaa"))="Thursday"</formula>
    </cfRule>
  </conditionalFormatting>
  <conditionalFormatting sqref="AB30:AB58">
    <cfRule type="cellIs" dxfId="189" priority="114" operator="equal">
      <formula>"✖"</formula>
    </cfRule>
    <cfRule type="cellIs" dxfId="188" priority="113" operator="equal">
      <formula>"✔"</formula>
    </cfRule>
  </conditionalFormatting>
  <conditionalFormatting sqref="AB31">
    <cfRule type="iconSet" priority="434">
      <iconSet iconSet="3Symbols2" showValue="0">
        <cfvo type="percent" val="0"/>
        <cfvo type="percent" val="33"/>
        <cfvo type="percent" val="67"/>
      </iconSet>
    </cfRule>
  </conditionalFormatting>
  <conditionalFormatting sqref="AB32:AB39">
    <cfRule type="iconSet" priority="430">
      <iconSet iconSet="3Symbols2" showValue="0">
        <cfvo type="percent" val="0"/>
        <cfvo type="percent" val="33"/>
        <cfvo type="percent" val="67"/>
      </iconSet>
    </cfRule>
  </conditionalFormatting>
  <conditionalFormatting sqref="AB40:AB57">
    <cfRule type="iconSet" priority="111">
      <iconSet iconSet="3Symbols2" showValue="0">
        <cfvo type="percent" val="0"/>
        <cfvo type="percent" val="33"/>
        <cfvo type="percent" val="67"/>
      </iconSet>
    </cfRule>
    <cfRule type="expression" dxfId="187" priority="112">
      <formula>(TEXT(TODAY(),"aaaa"))="Tuesday"</formula>
    </cfRule>
  </conditionalFormatting>
  <conditionalFormatting sqref="AB58">
    <cfRule type="expression" dxfId="186" priority="219">
      <formula>(TEXT(TODAY(),"aaaa"))="Thursday"</formula>
    </cfRule>
    <cfRule type="iconSet" priority="220">
      <iconSet iconSet="3Symbols2" showValue="0">
        <cfvo type="percent" val="0"/>
        <cfvo type="percent" val="33"/>
        <cfvo type="percent" val="67"/>
      </iconSet>
    </cfRule>
  </conditionalFormatting>
  <conditionalFormatting sqref="AC39">
    <cfRule type="expression" dxfId="185" priority="228">
      <formula>(TEXT(TODAY(),"aaaa"))="Wednesday"</formula>
    </cfRule>
    <cfRule type="iconSet" priority="227">
      <iconSet iconSet="3Symbols2" showValue="0">
        <cfvo type="percent" val="0"/>
        <cfvo type="percent" val="33"/>
        <cfvo type="percent" val="67"/>
      </iconSet>
    </cfRule>
  </conditionalFormatting>
  <conditionalFormatting sqref="AC59">
    <cfRule type="iconSet" priority="216">
      <iconSet iconSet="3Symbols2" showValue="0">
        <cfvo type="percent" val="0"/>
        <cfvo type="percent" val="33"/>
        <cfvo type="percent" val="67"/>
      </iconSet>
    </cfRule>
    <cfRule type="expression" dxfId="184" priority="215">
      <formula>(TEXT(TODAY(),"aaaa"))="Thursday"</formula>
    </cfRule>
  </conditionalFormatting>
  <conditionalFormatting sqref="AC33:AD43">
    <cfRule type="cellIs" dxfId="183" priority="230" operator="equal">
      <formula>"✖"</formula>
    </cfRule>
    <cfRule type="cellIs" dxfId="182" priority="229" operator="equal">
      <formula>"✔"</formula>
    </cfRule>
  </conditionalFormatting>
  <conditionalFormatting sqref="AC30:CB32">
    <cfRule type="cellIs" dxfId="181" priority="375" operator="equal">
      <formula>"✔"</formula>
    </cfRule>
    <cfRule type="cellIs" dxfId="180" priority="376" operator="equal">
      <formula>"✖"</formula>
    </cfRule>
  </conditionalFormatting>
  <conditionalFormatting sqref="AD60">
    <cfRule type="expression" dxfId="179" priority="211">
      <formula>(TEXT(TODAY(),"aaaa"))="Thursday"</formula>
    </cfRule>
    <cfRule type="iconSet" priority="212">
      <iconSet iconSet="3Symbols2" showValue="0">
        <cfvo type="percent" val="0"/>
        <cfvo type="percent" val="33"/>
        <cfvo type="percent" val="67"/>
      </iconSet>
    </cfRule>
  </conditionalFormatting>
  <conditionalFormatting sqref="AE38">
    <cfRule type="expression" dxfId="178" priority="179">
      <formula>(TEXT(TODAY(),"aaaa"))="Thursday"</formula>
    </cfRule>
    <cfRule type="iconSet" priority="180">
      <iconSet iconSet="3Symbols2" showValue="0">
        <cfvo type="percent" val="0"/>
        <cfvo type="percent" val="33"/>
        <cfvo type="percent" val="67"/>
      </iconSet>
    </cfRule>
  </conditionalFormatting>
  <conditionalFormatting sqref="AE59:AE60">
    <cfRule type="expression" dxfId="177" priority="242">
      <formula>(TEXT(TODAY(),"aaaa"))="Wednesday"</formula>
    </cfRule>
  </conditionalFormatting>
  <conditionalFormatting sqref="AE60">
    <cfRule type="iconSet" priority="241">
      <iconSet iconSet="3Symbols2" showValue="0">
        <cfvo type="percent" val="0"/>
        <cfvo type="percent" val="33"/>
        <cfvo type="percent" val="67"/>
      </iconSet>
    </cfRule>
  </conditionalFormatting>
  <conditionalFormatting sqref="AE61:AE63">
    <cfRule type="expression" dxfId="176" priority="353">
      <formula>(TEXT(TODAY(),"aaaa"))="Thursday"</formula>
    </cfRule>
    <cfRule type="iconSet" priority="354">
      <iconSet iconSet="3Symbols2" showValue="0">
        <cfvo type="percent" val="0"/>
        <cfvo type="percent" val="33"/>
        <cfvo type="percent" val="67"/>
      </iconSet>
    </cfRule>
  </conditionalFormatting>
  <conditionalFormatting sqref="AE42:AH58">
    <cfRule type="expression" dxfId="175" priority="747">
      <formula>(TEXT(TODAY(),"aaaa"))="Wednesday"</formula>
    </cfRule>
  </conditionalFormatting>
  <conditionalFormatting sqref="AE18:AI37">
    <cfRule type="expression" dxfId="174" priority="374">
      <formula>(TEXT(TODAY(),"aaaa"))="Wednesday"</formula>
    </cfRule>
  </conditionalFormatting>
  <conditionalFormatting sqref="AE64:AI66">
    <cfRule type="expression" dxfId="173" priority="28">
      <formula>(TEXT(TODAY(),"aaaa"))="Wednesday"</formula>
    </cfRule>
  </conditionalFormatting>
  <conditionalFormatting sqref="AE33:CB41">
    <cfRule type="cellIs" dxfId="172" priority="181" operator="equal">
      <formula>"✔"</formula>
    </cfRule>
    <cfRule type="cellIs" dxfId="171" priority="182" operator="equal">
      <formula>"✖"</formula>
    </cfRule>
  </conditionalFormatting>
  <conditionalFormatting sqref="AF30">
    <cfRule type="iconSet" priority="381">
      <iconSet iconSet="3Symbols2" showValue="0">
        <cfvo type="percent" val="0"/>
        <cfvo type="percent" val="33"/>
        <cfvo type="percent" val="67"/>
      </iconSet>
    </cfRule>
  </conditionalFormatting>
  <conditionalFormatting sqref="AF31">
    <cfRule type="iconSet" priority="377">
      <iconSet iconSet="3Symbols2" showValue="0">
        <cfvo type="percent" val="0"/>
        <cfvo type="percent" val="33"/>
        <cfvo type="percent" val="67"/>
      </iconSet>
    </cfRule>
  </conditionalFormatting>
  <conditionalFormatting sqref="AF32">
    <cfRule type="iconSet" priority="373">
      <iconSet iconSet="3Symbols2" showValue="0">
        <cfvo type="percent" val="0"/>
        <cfvo type="percent" val="33"/>
        <cfvo type="percent" val="67"/>
      </iconSet>
    </cfRule>
  </conditionalFormatting>
  <conditionalFormatting sqref="AF59:AH63">
    <cfRule type="expression" dxfId="170" priority="250">
      <formula>(TEXT(TODAY(),"aaaa"))="Wednesday"</formula>
    </cfRule>
  </conditionalFormatting>
  <conditionalFormatting sqref="AF38:AI38 AE39:AI41">
    <cfRule type="expression" dxfId="169" priority="761">
      <formula>(TEXT(TODAY(),"aaaa"))="Wednesday"</formula>
    </cfRule>
  </conditionalFormatting>
  <conditionalFormatting sqref="AF63:CB63">
    <cfRule type="cellIs" dxfId="168" priority="750" operator="equal">
      <formula>"✖"</formula>
    </cfRule>
    <cfRule type="cellIs" dxfId="167" priority="749" operator="equal">
      <formula>"✔"</formula>
    </cfRule>
  </conditionalFormatting>
  <conditionalFormatting sqref="AG59">
    <cfRule type="iconSet" priority="249">
      <iconSet iconSet="3Symbols2" showValue="0">
        <cfvo type="percent" val="0"/>
        <cfvo type="percent" val="33"/>
        <cfvo type="percent" val="67"/>
      </iconSet>
    </cfRule>
  </conditionalFormatting>
  <conditionalFormatting sqref="AG43:AH62">
    <cfRule type="cellIs" dxfId="166" priority="251" operator="equal">
      <formula>"✔"</formula>
    </cfRule>
    <cfRule type="cellIs" dxfId="165" priority="252" operator="equal">
      <formula>"✖"</formula>
    </cfRule>
  </conditionalFormatting>
  <conditionalFormatting sqref="AG58:AH58 U61:AD63 AJ58:CB58 U58:AA58 U59:AB59 AD59 AG60:AH62 AH59 U60:AC60 AJ59:AO59 AQ59:AR59 AT59:CB59 AJ60:CB60 AQ64:AS64 AJ61:AO62 AQ61:AR62 AT61:CB62 AF63:CB63">
    <cfRule type="iconSet" priority="743">
      <iconSet iconSet="3Symbols2" showValue="0">
        <cfvo type="percent" val="0"/>
        <cfvo type="percent" val="33"/>
        <cfvo type="percent" val="67"/>
      </iconSet>
    </cfRule>
  </conditionalFormatting>
  <conditionalFormatting sqref="AI42:AI63">
    <cfRule type="expression" dxfId="164" priority="55">
      <formula>(TEXT(TODAY(),"aaaa"))="Wednesday"</formula>
    </cfRule>
  </conditionalFormatting>
  <conditionalFormatting sqref="AI58:AI59">
    <cfRule type="iconSet" priority="257">
      <iconSet iconSet="3Symbols2" showValue="0">
        <cfvo type="percent" val="0"/>
        <cfvo type="percent" val="33"/>
        <cfvo type="percent" val="67"/>
      </iconSet>
    </cfRule>
  </conditionalFormatting>
  <conditionalFormatting sqref="AI60">
    <cfRule type="iconSet" priority="345">
      <iconSet iconSet="3Symbols2" showValue="0">
        <cfvo type="percent" val="0"/>
        <cfvo type="percent" val="33"/>
        <cfvo type="percent" val="67"/>
      </iconSet>
    </cfRule>
  </conditionalFormatting>
  <conditionalFormatting sqref="AI61">
    <cfRule type="iconSet" priority="60">
      <iconSet iconSet="3Symbols2" showValue="0">
        <cfvo type="percent" val="0"/>
        <cfvo type="percent" val="33"/>
        <cfvo type="percent" val="67"/>
      </iconSet>
    </cfRule>
  </conditionalFormatting>
  <conditionalFormatting sqref="AI62">
    <cfRule type="iconSet" priority="56">
      <iconSet iconSet="3Symbols2" showValue="0">
        <cfvo type="percent" val="0"/>
        <cfvo type="percent" val="33"/>
        <cfvo type="percent" val="67"/>
      </iconSet>
    </cfRule>
  </conditionalFormatting>
  <conditionalFormatting sqref="AI42:CB62">
    <cfRule type="cellIs" dxfId="163" priority="58" operator="equal">
      <formula>"✔"</formula>
    </cfRule>
    <cfRule type="cellIs" dxfId="162" priority="59" operator="equal">
      <formula>"✖"</formula>
    </cfRule>
  </conditionalFormatting>
  <conditionalFormatting sqref="AJ18:AN66">
    <cfRule type="expression" dxfId="161" priority="29">
      <formula>(TEXT(TODAY(),"aaaa"))="Thursday"</formula>
    </cfRule>
  </conditionalFormatting>
  <conditionalFormatting sqref="AO61:AO62 AQ61:AR62 AO63:AS63">
    <cfRule type="expression" dxfId="160" priority="745">
      <formula>(TEXT(TODAY(),"aaaa"))="Friday"</formula>
    </cfRule>
  </conditionalFormatting>
  <conditionalFormatting sqref="AO18:AS60">
    <cfRule type="expression" dxfId="159" priority="234">
      <formula>(TEXT(TODAY(),"aaaa"))="Friday"</formula>
    </cfRule>
  </conditionalFormatting>
  <conditionalFormatting sqref="AP59">
    <cfRule type="iconSet" priority="237">
      <iconSet iconSet="3Symbols2" showValue="0">
        <cfvo type="percent" val="0"/>
        <cfvo type="percent" val="33"/>
        <cfvo type="percent" val="67"/>
      </iconSet>
    </cfRule>
  </conditionalFormatting>
  <conditionalFormatting sqref="AP61">
    <cfRule type="iconSet" priority="91">
      <iconSet iconSet="3Symbols2" showValue="0">
        <cfvo type="percent" val="0"/>
        <cfvo type="percent" val="33"/>
        <cfvo type="percent" val="67"/>
      </iconSet>
    </cfRule>
  </conditionalFormatting>
  <conditionalFormatting sqref="AP61:AP62">
    <cfRule type="expression" dxfId="158" priority="88">
      <formula>(TEXT(TODAY(),"aaaa"))="Wednesday"</formula>
    </cfRule>
  </conditionalFormatting>
  <conditionalFormatting sqref="AP62">
    <cfRule type="iconSet" priority="87">
      <iconSet iconSet="3Symbols2" showValue="0">
        <cfvo type="percent" val="0"/>
        <cfvo type="percent" val="33"/>
        <cfvo type="percent" val="67"/>
      </iconSet>
    </cfRule>
  </conditionalFormatting>
  <conditionalFormatting sqref="AP64:AP66">
    <cfRule type="iconSet" priority="64">
      <iconSet iconSet="3Symbols2" showValue="0">
        <cfvo type="percent" val="0"/>
        <cfvo type="percent" val="33"/>
        <cfvo type="percent" val="67"/>
      </iconSet>
    </cfRule>
    <cfRule type="expression" dxfId="157" priority="65">
      <formula>(TEXT(TODAY(),"aaaa"))="Wednesday"</formula>
    </cfRule>
  </conditionalFormatting>
  <conditionalFormatting sqref="AQ64:AS66">
    <cfRule type="expression" dxfId="156" priority="33">
      <formula>(TEXT(TODAY(),"aaaa"))="Friday"</formula>
    </cfRule>
  </conditionalFormatting>
  <conditionalFormatting sqref="AQ65:AS65">
    <cfRule type="iconSet" priority="51">
      <iconSet iconSet="3Symbols2" showValue="0">
        <cfvo type="percent" val="0"/>
        <cfvo type="percent" val="33"/>
        <cfvo type="percent" val="67"/>
      </iconSet>
    </cfRule>
  </conditionalFormatting>
  <conditionalFormatting sqref="AQ66:AS66">
    <cfRule type="iconSet" priority="32">
      <iconSet iconSet="3Symbols2" showValue="0">
        <cfvo type="percent" val="0"/>
        <cfvo type="percent" val="33"/>
        <cfvo type="percent" val="67"/>
      </iconSet>
    </cfRule>
  </conditionalFormatting>
  <conditionalFormatting sqref="AS59">
    <cfRule type="iconSet" priority="233">
      <iconSet iconSet="3Symbols2" showValue="0">
        <cfvo type="percent" val="0"/>
        <cfvo type="percent" val="33"/>
        <cfvo type="percent" val="67"/>
      </iconSet>
    </cfRule>
  </conditionalFormatting>
  <conditionalFormatting sqref="AS61">
    <cfRule type="iconSet" priority="72">
      <iconSet iconSet="3Symbols2" showValue="0">
        <cfvo type="percent" val="0"/>
        <cfvo type="percent" val="33"/>
        <cfvo type="percent" val="67"/>
      </iconSet>
    </cfRule>
  </conditionalFormatting>
  <conditionalFormatting sqref="AS61:AS62">
    <cfRule type="expression" dxfId="155" priority="69">
      <formula>(TEXT(TODAY(),"aaaa"))="Wednesday"</formula>
    </cfRule>
  </conditionalFormatting>
  <conditionalFormatting sqref="AS62">
    <cfRule type="iconSet" priority="68">
      <iconSet iconSet="3Symbols2" showValue="0">
        <cfvo type="percent" val="0"/>
        <cfvo type="percent" val="33"/>
        <cfvo type="percent" val="67"/>
      </iconSet>
    </cfRule>
  </conditionalFormatting>
  <conditionalFormatting sqref="AT18:AX66">
    <cfRule type="expression" dxfId="154" priority="21">
      <formula>(TEXT(TODAY(),"aaaa"))="Monday"</formula>
    </cfRule>
  </conditionalFormatting>
  <conditionalFormatting sqref="AY18:BC66">
    <cfRule type="expression" dxfId="153" priority="22">
      <formula>(TEXT(TODAY(),"aaaa"))="Tuesday"</formula>
    </cfRule>
  </conditionalFormatting>
  <conditionalFormatting sqref="BD18:BH66">
    <cfRule type="expression" dxfId="152" priority="23">
      <formula>(TEXT(TODAY(),"aaaa"))="Wednesday"</formula>
    </cfRule>
  </conditionalFormatting>
  <conditionalFormatting sqref="BI65:BL66">
    <cfRule type="expression" dxfId="151" priority="24">
      <formula>(TEXT(TODAY(),"aaaa"))="Thursday"</formula>
    </cfRule>
  </conditionalFormatting>
  <conditionalFormatting sqref="BI18:BM64">
    <cfRule type="expression" dxfId="150" priority="728">
      <formula>(TEXT(TODAY(),"aaaa"))="Thursday"</formula>
    </cfRule>
  </conditionalFormatting>
  <conditionalFormatting sqref="BM65">
    <cfRule type="iconSet" priority="13">
      <iconSet iconSet="3Symbols2" showValue="0">
        <cfvo type="percent" val="0"/>
        <cfvo type="percent" val="33"/>
        <cfvo type="percent" val="67"/>
      </iconSet>
    </cfRule>
  </conditionalFormatting>
  <conditionalFormatting sqref="BM66">
    <cfRule type="iconSet" priority="9">
      <iconSet iconSet="3Symbols2" showValue="0">
        <cfvo type="percent" val="0"/>
        <cfvo type="percent" val="33"/>
        <cfvo type="percent" val="67"/>
      </iconSet>
    </cfRule>
  </conditionalFormatting>
  <conditionalFormatting sqref="BM65:BR66">
    <cfRule type="expression" dxfId="149" priority="2">
      <formula>(TEXT(TODAY(),"aaaa"))="Friday"</formula>
    </cfRule>
  </conditionalFormatting>
  <conditionalFormatting sqref="BN18:BR64 AO64:AO66">
    <cfRule type="expression" dxfId="148" priority="731">
      <formula>(TEXT(TODAY(),"aaaa"))="Friday"</formula>
    </cfRule>
  </conditionalFormatting>
  <conditionalFormatting sqref="BP65">
    <cfRule type="iconSet" priority="5">
      <iconSet iconSet="3Symbols2" showValue="0">
        <cfvo type="percent" val="0"/>
        <cfvo type="percent" val="33"/>
        <cfvo type="percent" val="67"/>
      </iconSet>
    </cfRule>
  </conditionalFormatting>
  <conditionalFormatting sqref="BP66">
    <cfRule type="iconSet" priority="1">
      <iconSet iconSet="3Symbols2" showValue="0">
        <cfvo type="percent" val="0"/>
        <cfvo type="percent" val="33"/>
        <cfvo type="percent" val="67"/>
      </iconSet>
    </cfRule>
  </conditionalFormatting>
  <conditionalFormatting sqref="BS18:BW66">
    <cfRule type="expression" dxfId="147" priority="19">
      <formula>(TEXT(TODAY(),"aaaa"))="Monday"</formula>
    </cfRule>
  </conditionalFormatting>
  <conditionalFormatting sqref="BX18:CB66">
    <cfRule type="expression" dxfId="146" priority="20">
      <formula>(TEXT(TODAY(),"aaaa"))="Tuesday"</formula>
    </cfRule>
  </conditionalFormatting>
  <dataValidations count="3">
    <dataValidation allowBlank="1" showInputMessage="1" showErrorMessage="1" prompt="Enter Time in this cell." sqref="Z14 BX14 AY14" xr:uid="{4AB93F96-CF92-48A4-B14A-807A01A73E04}"/>
    <dataValidation allowBlank="1" showInputMessage="1" showErrorMessage="1" prompt="Enter Period time in this cell." sqref="AJ14 BI14 K14" xr:uid="{1335FB1C-B85B-4DB0-AEF1-DDCEBBCB8B6B}"/>
    <dataValidation allowBlank="1" showInputMessage="1" showErrorMessage="1" prompt="Enter Period time in next cell T7." sqref="AE14 BD14" xr:uid="{5A7BB98B-5D9D-46F0-A2A5-21B9BE761779}"/>
  </dataValidation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1AE2-99CE-4C08-8220-9D49C36F6382}">
  <sheetPr codeName="Sheet9"/>
  <dimension ref="B1:CF139"/>
  <sheetViews>
    <sheetView zoomScale="70" zoomScaleNormal="70" workbookViewId="0">
      <pane xSplit="10" ySplit="17" topLeftCell="K24" activePane="bottomRight" state="frozen"/>
      <selection pane="bottomRight" activeCell="E48" sqref="E48"/>
      <selection pane="bottomLeft" activeCell="A15" sqref="A15"/>
      <selection pane="topRight" activeCell="J1" sqref="J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5" style="8" customWidth="1"/>
    <col min="10" max="10" width="24" style="8" customWidth="1"/>
    <col min="11" max="11" width="19.85546875" style="7" customWidth="1"/>
    <col min="12" max="16" width="19.140625" style="7" bestFit="1" customWidth="1"/>
    <col min="17" max="17" width="22.42578125" style="7" bestFit="1" customWidth="1"/>
    <col min="18" max="22" width="17.85546875" style="7" customWidth="1"/>
    <col min="23" max="23" width="20.85546875" style="7" bestFit="1" customWidth="1"/>
    <col min="24" max="24" width="17.85546875" style="7" customWidth="1"/>
    <col min="25" max="25" width="20.140625" style="7" bestFit="1" customWidth="1"/>
    <col min="26" max="26" width="17.85546875" style="7" customWidth="1"/>
    <col min="27" max="27" width="19.140625" style="7" bestFit="1" customWidth="1"/>
    <col min="28" max="80" width="17.85546875" style="7" customWidth="1"/>
    <col min="81" max="81" width="34.7109375" style="9" customWidth="1"/>
    <col min="82" max="82" width="1.7109375" style="7" bestFit="1" customWidth="1"/>
    <col min="83" max="16384" width="10.42578125" style="7"/>
  </cols>
  <sheetData>
    <row r="1" spans="2:84" ht="39.75">
      <c r="B1" s="6" t="s">
        <v>1213</v>
      </c>
      <c r="CD1" s="10" t="s">
        <v>1336</v>
      </c>
    </row>
    <row r="2" spans="2:84" ht="39.75">
      <c r="B2" s="6"/>
      <c r="CD2" s="10"/>
    </row>
    <row r="3" spans="2:84" ht="18.75" customHeight="1">
      <c r="B3" s="6"/>
      <c r="E3" s="366" t="s">
        <v>0</v>
      </c>
      <c r="F3" s="366"/>
      <c r="G3" s="366"/>
      <c r="H3" s="366"/>
      <c r="I3" s="119"/>
      <c r="J3" s="119"/>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1"/>
      <c r="CD3" s="10"/>
    </row>
    <row r="4" spans="2:84" ht="18.75" customHeight="1">
      <c r="B4" s="6"/>
      <c r="E4" s="365" t="s">
        <v>1214</v>
      </c>
      <c r="F4" s="365"/>
      <c r="G4" s="365"/>
      <c r="H4" s="365"/>
      <c r="I4" s="365"/>
      <c r="J4" s="365"/>
      <c r="CD4" s="10"/>
    </row>
    <row r="5" spans="2:84" ht="18.75" customHeight="1">
      <c r="B5" s="6"/>
      <c r="E5" s="365" t="s">
        <v>1215</v>
      </c>
      <c r="F5" s="365"/>
      <c r="G5" s="365"/>
      <c r="H5" s="365"/>
      <c r="I5" s="365"/>
      <c r="J5" s="365"/>
      <c r="K5" s="11"/>
      <c r="L5" s="11"/>
      <c r="M5" s="11"/>
      <c r="N5" s="129" t="s">
        <v>1495</v>
      </c>
      <c r="O5" s="11"/>
      <c r="P5" s="11"/>
      <c r="CD5" s="10"/>
    </row>
    <row r="6" spans="2:84" ht="18.75" customHeight="1">
      <c r="B6" s="6"/>
      <c r="E6" s="367" t="s">
        <v>1216</v>
      </c>
      <c r="F6" s="367"/>
      <c r="G6" s="367"/>
      <c r="H6" s="367"/>
      <c r="I6" s="367"/>
      <c r="J6" s="367"/>
      <c r="Q6" s="129" t="s">
        <v>1495</v>
      </c>
      <c r="CD6" s="10"/>
    </row>
    <row r="7" spans="2:84" ht="18.75" customHeight="1">
      <c r="E7" s="366" t="s">
        <v>33</v>
      </c>
      <c r="F7" s="366"/>
      <c r="G7" s="366"/>
      <c r="H7" s="366"/>
      <c r="I7" s="119"/>
      <c r="J7" s="119"/>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1"/>
      <c r="CD7" s="10"/>
    </row>
    <row r="8" spans="2:84" ht="18.75" customHeight="1">
      <c r="E8" s="365" t="s">
        <v>1634</v>
      </c>
      <c r="F8" s="365"/>
      <c r="G8" s="365"/>
      <c r="H8" s="365"/>
      <c r="I8" s="365"/>
      <c r="J8" s="365"/>
      <c r="CD8" s="10"/>
    </row>
    <row r="9" spans="2:84" ht="28.5">
      <c r="E9" s="365" t="s">
        <v>1218</v>
      </c>
      <c r="F9" s="365"/>
      <c r="G9" s="365"/>
      <c r="H9" s="365"/>
      <c r="I9" s="365"/>
      <c r="J9" s="365"/>
      <c r="W9" s="129" t="s">
        <v>163</v>
      </c>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D9" s="10"/>
    </row>
    <row r="10" spans="2:84" ht="28.5">
      <c r="E10" s="365" t="s">
        <v>1219</v>
      </c>
      <c r="F10" s="365"/>
      <c r="G10" s="365"/>
      <c r="H10" s="365"/>
      <c r="I10" s="365"/>
      <c r="J10" s="365"/>
      <c r="K10" s="11"/>
      <c r="L10" s="11"/>
      <c r="M10" s="11"/>
      <c r="N10" s="11"/>
      <c r="O10" s="11"/>
      <c r="P10" s="11"/>
      <c r="Q10" s="11"/>
      <c r="R10" s="11"/>
      <c r="S10" s="11"/>
      <c r="T10" s="11"/>
      <c r="U10" s="11"/>
      <c r="V10" s="11"/>
      <c r="W10" s="11"/>
      <c r="X10" s="11"/>
      <c r="Y10" s="129" t="s">
        <v>177</v>
      </c>
      <c r="Z10" s="11"/>
      <c r="AA10" s="129" t="s">
        <v>180</v>
      </c>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D10" s="10"/>
    </row>
    <row r="11" spans="2:84" ht="21" customHeight="1">
      <c r="E11" s="365" t="s">
        <v>1220</v>
      </c>
      <c r="F11" s="365"/>
      <c r="G11" s="365"/>
      <c r="H11" s="365"/>
      <c r="I11" s="365"/>
      <c r="J11" s="365"/>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D11" s="10"/>
    </row>
    <row r="12" spans="2:84" ht="18">
      <c r="E12" s="367" t="s">
        <v>1216</v>
      </c>
      <c r="F12" s="367"/>
      <c r="G12" s="367"/>
      <c r="H12" s="367"/>
      <c r="I12" s="367"/>
      <c r="J12" s="367"/>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3"/>
      <c r="CD12" s="10"/>
    </row>
    <row r="13" spans="2:84">
      <c r="E13" s="12"/>
      <c r="CD13" s="10"/>
    </row>
    <row r="14" spans="2:84" s="13" customFormat="1" ht="39.75">
      <c r="E14" s="14"/>
      <c r="F14" s="15"/>
      <c r="G14" s="15"/>
      <c r="H14" s="15"/>
      <c r="I14" s="15"/>
      <c r="J14" s="15"/>
      <c r="K14" s="16"/>
      <c r="L14" s="16"/>
      <c r="M14" s="17"/>
      <c r="N14" s="17"/>
      <c r="O14" s="17"/>
      <c r="P14" s="17"/>
      <c r="Q14" s="17"/>
      <c r="R14" s="18"/>
      <c r="U14" s="16"/>
      <c r="V14" s="16"/>
      <c r="Z14" s="17"/>
      <c r="AA14" s="16"/>
      <c r="AE14" s="17"/>
      <c r="AG14" s="19"/>
      <c r="AH14" s="19"/>
      <c r="AI14" s="19"/>
      <c r="AJ14" s="16"/>
      <c r="AK14" s="16"/>
      <c r="AL14" s="17"/>
      <c r="AM14" s="17"/>
      <c r="AN14" s="17"/>
      <c r="AO14" s="17"/>
      <c r="AP14" s="17"/>
      <c r="AT14" s="16"/>
      <c r="AU14" s="16"/>
      <c r="AY14" s="17"/>
      <c r="AZ14" s="16"/>
      <c r="BD14" s="17"/>
      <c r="BF14" s="19"/>
      <c r="BG14" s="19"/>
      <c r="BH14" s="19"/>
      <c r="BI14" s="16"/>
      <c r="BJ14" s="16"/>
      <c r="BK14" s="17"/>
      <c r="BL14" s="17"/>
      <c r="BM14" s="17"/>
      <c r="BN14" s="17"/>
      <c r="BO14" s="17"/>
      <c r="BS14" s="16"/>
      <c r="BT14" s="16"/>
      <c r="BX14" s="17"/>
      <c r="BY14" s="16"/>
      <c r="CC14" s="20"/>
      <c r="CF14" s="21"/>
    </row>
    <row r="15" spans="2:84" ht="18">
      <c r="E15" s="22"/>
      <c r="F15" s="23"/>
      <c r="G15" s="23"/>
      <c r="H15" s="23"/>
      <c r="I15" s="23"/>
      <c r="J15" s="23"/>
      <c r="CC15" s="24"/>
      <c r="CF15" s="21"/>
    </row>
    <row r="16" spans="2:84" s="13" customFormat="1" ht="18">
      <c r="B16" s="25" t="s">
        <v>855</v>
      </c>
      <c r="C16" s="26" t="s">
        <v>856</v>
      </c>
      <c r="D16" s="27" t="s">
        <v>857</v>
      </c>
      <c r="E16" s="28" t="s">
        <v>859</v>
      </c>
      <c r="F16" s="28" t="s">
        <v>860</v>
      </c>
      <c r="G16" s="29" t="s">
        <v>861</v>
      </c>
      <c r="H16" s="29" t="s">
        <v>1516</v>
      </c>
      <c r="I16" s="29" t="s">
        <v>1635</v>
      </c>
      <c r="J16" s="29" t="s">
        <v>140</v>
      </c>
      <c r="K16" s="377" t="s">
        <v>1517</v>
      </c>
      <c r="L16" s="377"/>
      <c r="M16" s="377"/>
      <c r="N16" s="377"/>
      <c r="O16" s="377"/>
      <c r="P16" s="368" t="s">
        <v>1518</v>
      </c>
      <c r="Q16" s="368"/>
      <c r="R16" s="368"/>
      <c r="S16" s="368"/>
      <c r="T16" s="369"/>
      <c r="U16" s="362" t="s">
        <v>1519</v>
      </c>
      <c r="V16" s="363"/>
      <c r="W16" s="363"/>
      <c r="X16" s="363"/>
      <c r="Y16" s="364"/>
      <c r="Z16" s="359" t="s">
        <v>1520</v>
      </c>
      <c r="AA16" s="360"/>
      <c r="AB16" s="360"/>
      <c r="AC16" s="360"/>
      <c r="AD16" s="361"/>
      <c r="AE16" s="370" t="s">
        <v>1521</v>
      </c>
      <c r="AF16" s="371"/>
      <c r="AG16" s="371"/>
      <c r="AH16" s="371"/>
      <c r="AI16" s="372"/>
      <c r="AJ16" s="373" t="s">
        <v>1522</v>
      </c>
      <c r="AK16" s="374"/>
      <c r="AL16" s="374"/>
      <c r="AM16" s="374"/>
      <c r="AN16" s="374"/>
      <c r="AO16" s="368" t="s">
        <v>1523</v>
      </c>
      <c r="AP16" s="368"/>
      <c r="AQ16" s="368"/>
      <c r="AR16" s="368"/>
      <c r="AS16" s="369"/>
      <c r="AT16" s="362" t="s">
        <v>1524</v>
      </c>
      <c r="AU16" s="363"/>
      <c r="AV16" s="363"/>
      <c r="AW16" s="363"/>
      <c r="AX16" s="364"/>
      <c r="AY16" s="359" t="s">
        <v>1525</v>
      </c>
      <c r="AZ16" s="360"/>
      <c r="BA16" s="360"/>
      <c r="BB16" s="360"/>
      <c r="BC16" s="361"/>
      <c r="BD16" s="370" t="s">
        <v>1526</v>
      </c>
      <c r="BE16" s="371"/>
      <c r="BF16" s="371"/>
      <c r="BG16" s="371"/>
      <c r="BH16" s="372"/>
      <c r="BI16" s="373" t="s">
        <v>1527</v>
      </c>
      <c r="BJ16" s="374"/>
      <c r="BK16" s="374"/>
      <c r="BL16" s="374"/>
      <c r="BM16" s="374"/>
      <c r="BN16" s="368" t="s">
        <v>1528</v>
      </c>
      <c r="BO16" s="368"/>
      <c r="BP16" s="368"/>
      <c r="BQ16" s="368"/>
      <c r="BR16" s="369"/>
      <c r="BS16" s="362" t="s">
        <v>1529</v>
      </c>
      <c r="BT16" s="363"/>
      <c r="BU16" s="363"/>
      <c r="BV16" s="363"/>
      <c r="BW16" s="364"/>
      <c r="BX16" s="359" t="s">
        <v>1530</v>
      </c>
      <c r="BY16" s="360"/>
      <c r="BZ16" s="360"/>
      <c r="CA16" s="360"/>
      <c r="CB16" s="361"/>
      <c r="CC16" s="375" t="s">
        <v>1440</v>
      </c>
    </row>
    <row r="17" spans="2:81" s="21" customFormat="1" ht="18">
      <c r="B17" s="30"/>
      <c r="C17" s="31"/>
      <c r="D17" s="32"/>
      <c r="E17" s="33"/>
      <c r="F17" s="33"/>
      <c r="G17" s="34"/>
      <c r="H17" s="29" t="s">
        <v>1531</v>
      </c>
      <c r="I17" s="29" t="s">
        <v>856</v>
      </c>
      <c r="J17" s="29" t="s">
        <v>1247</v>
      </c>
      <c r="K17" s="35" t="s">
        <v>1248</v>
      </c>
      <c r="L17" s="36" t="s">
        <v>1249</v>
      </c>
      <c r="M17" s="36" t="s">
        <v>1250</v>
      </c>
      <c r="N17" s="36" t="s">
        <v>1251</v>
      </c>
      <c r="O17" s="36" t="s">
        <v>1252</v>
      </c>
      <c r="P17" s="37" t="s">
        <v>1248</v>
      </c>
      <c r="Q17" s="38" t="s">
        <v>1249</v>
      </c>
      <c r="R17" s="38" t="s">
        <v>1250</v>
      </c>
      <c r="S17" s="38" t="s">
        <v>1251</v>
      </c>
      <c r="T17" s="38" t="s">
        <v>1252</v>
      </c>
      <c r="U17" s="39" t="s">
        <v>1248</v>
      </c>
      <c r="V17" s="40" t="s">
        <v>1249</v>
      </c>
      <c r="W17" s="40" t="s">
        <v>1250</v>
      </c>
      <c r="X17" s="40" t="s">
        <v>1251</v>
      </c>
      <c r="Y17" s="39" t="s">
        <v>1252</v>
      </c>
      <c r="Z17" s="41" t="s">
        <v>1248</v>
      </c>
      <c r="AA17" s="42" t="s">
        <v>1249</v>
      </c>
      <c r="AB17" s="42" t="s">
        <v>1250</v>
      </c>
      <c r="AC17" s="42" t="s">
        <v>1251</v>
      </c>
      <c r="AD17" s="42" t="s">
        <v>1252</v>
      </c>
      <c r="AE17" s="43" t="s">
        <v>1248</v>
      </c>
      <c r="AF17" s="44" t="s">
        <v>1249</v>
      </c>
      <c r="AG17" s="44" t="s">
        <v>1250</v>
      </c>
      <c r="AH17" s="44" t="s">
        <v>1251</v>
      </c>
      <c r="AI17" s="44" t="s">
        <v>1252</v>
      </c>
      <c r="AJ17" s="35" t="s">
        <v>1248</v>
      </c>
      <c r="AK17" s="36" t="s">
        <v>1249</v>
      </c>
      <c r="AL17" s="36" t="s">
        <v>1250</v>
      </c>
      <c r="AM17" s="36" t="s">
        <v>1251</v>
      </c>
      <c r="AN17" s="36" t="s">
        <v>1252</v>
      </c>
      <c r="AO17" s="37" t="s">
        <v>1248</v>
      </c>
      <c r="AP17" s="38" t="s">
        <v>1249</v>
      </c>
      <c r="AQ17" s="38" t="s">
        <v>1250</v>
      </c>
      <c r="AR17" s="38" t="s">
        <v>1251</v>
      </c>
      <c r="AS17" s="38" t="s">
        <v>1252</v>
      </c>
      <c r="AT17" s="39" t="s">
        <v>1248</v>
      </c>
      <c r="AU17" s="40" t="s">
        <v>1249</v>
      </c>
      <c r="AV17" s="40" t="s">
        <v>1250</v>
      </c>
      <c r="AW17" s="40" t="s">
        <v>1251</v>
      </c>
      <c r="AX17" s="39" t="s">
        <v>1252</v>
      </c>
      <c r="AY17" s="41" t="s">
        <v>1248</v>
      </c>
      <c r="AZ17" s="42" t="s">
        <v>1249</v>
      </c>
      <c r="BA17" s="42" t="s">
        <v>1250</v>
      </c>
      <c r="BB17" s="42" t="s">
        <v>1251</v>
      </c>
      <c r="BC17" s="42" t="s">
        <v>1252</v>
      </c>
      <c r="BD17" s="45" t="s">
        <v>1248</v>
      </c>
      <c r="BE17" s="46" t="s">
        <v>1249</v>
      </c>
      <c r="BF17" s="44" t="s">
        <v>1250</v>
      </c>
      <c r="BG17" s="44" t="s">
        <v>1251</v>
      </c>
      <c r="BH17" s="44" t="s">
        <v>1252</v>
      </c>
      <c r="BI17" s="35" t="s">
        <v>1248</v>
      </c>
      <c r="BJ17" s="36" t="s">
        <v>1249</v>
      </c>
      <c r="BK17" s="36" t="s">
        <v>1250</v>
      </c>
      <c r="BL17" s="36" t="s">
        <v>1251</v>
      </c>
      <c r="BM17" s="36" t="s">
        <v>1252</v>
      </c>
      <c r="BN17" s="37" t="s">
        <v>1248</v>
      </c>
      <c r="BO17" s="38" t="s">
        <v>1249</v>
      </c>
      <c r="BP17" s="38" t="s">
        <v>1250</v>
      </c>
      <c r="BQ17" s="38" t="s">
        <v>1251</v>
      </c>
      <c r="BR17" s="38" t="s">
        <v>1252</v>
      </c>
      <c r="BS17" s="39" t="s">
        <v>1248</v>
      </c>
      <c r="BT17" s="40" t="s">
        <v>1249</v>
      </c>
      <c r="BU17" s="40" t="s">
        <v>1250</v>
      </c>
      <c r="BV17" s="40" t="s">
        <v>1251</v>
      </c>
      <c r="BW17" s="39" t="s">
        <v>1252</v>
      </c>
      <c r="BX17" s="41" t="s">
        <v>1248</v>
      </c>
      <c r="BY17" s="42" t="s">
        <v>1249</v>
      </c>
      <c r="BZ17" s="42" t="s">
        <v>1250</v>
      </c>
      <c r="CA17" s="42" t="s">
        <v>1251</v>
      </c>
      <c r="CB17" s="42" t="s">
        <v>1252</v>
      </c>
      <c r="CC17" s="376"/>
    </row>
    <row r="18" spans="2:81" ht="30">
      <c r="B18" s="47" t="s">
        <v>899</v>
      </c>
      <c r="C18" s="48" t="s">
        <v>1541</v>
      </c>
      <c r="D18" s="49" t="s">
        <v>940</v>
      </c>
      <c r="E18" s="50" t="s">
        <v>1451</v>
      </c>
      <c r="F18" s="71" t="s">
        <v>1606</v>
      </c>
      <c r="G18" s="52" t="s">
        <v>1636</v>
      </c>
      <c r="H18" s="49" t="s">
        <v>0</v>
      </c>
      <c r="I18" s="49" t="s">
        <v>1637</v>
      </c>
      <c r="J18" s="49" t="s">
        <v>1638</v>
      </c>
      <c r="K18" s="53"/>
      <c r="L18" s="54"/>
      <c r="M18" s="54"/>
      <c r="N18" s="54"/>
      <c r="O18" s="54"/>
      <c r="P18" s="75" t="s">
        <v>860</v>
      </c>
      <c r="Q18" s="56"/>
      <c r="R18" s="56"/>
      <c r="S18" s="55" t="s">
        <v>861</v>
      </c>
      <c r="T18" s="56"/>
      <c r="U18" s="57"/>
      <c r="V18" s="58"/>
      <c r="W18" s="58"/>
      <c r="X18" s="58"/>
      <c r="Y18" s="59"/>
      <c r="Z18" s="60"/>
      <c r="AA18" s="61"/>
      <c r="AB18" s="61"/>
      <c r="AC18" s="61"/>
      <c r="AD18" s="62"/>
      <c r="AE18" s="63"/>
      <c r="AF18" s="64"/>
      <c r="AG18" s="65"/>
      <c r="AH18" s="64"/>
      <c r="AI18" s="64"/>
      <c r="AJ18" s="53"/>
      <c r="AK18" s="54"/>
      <c r="AL18" s="54"/>
      <c r="AM18" s="54"/>
      <c r="AN18" s="54"/>
      <c r="AO18" s="66"/>
      <c r="AP18" s="56"/>
      <c r="AQ18" s="56"/>
      <c r="AR18" s="56"/>
      <c r="AS18" s="56"/>
      <c r="AT18" s="57"/>
      <c r="AU18" s="58"/>
      <c r="AV18" s="58"/>
      <c r="AW18" s="58"/>
      <c r="AX18" s="59"/>
      <c r="AY18" s="60"/>
      <c r="AZ18" s="61"/>
      <c r="BA18" s="61"/>
      <c r="BB18" s="61"/>
      <c r="BC18" s="61"/>
      <c r="BD18" s="67"/>
      <c r="BE18" s="68"/>
      <c r="BF18" s="64"/>
      <c r="BG18" s="64"/>
      <c r="BH18" s="64"/>
      <c r="BI18" s="53"/>
      <c r="BJ18" s="54"/>
      <c r="BK18" s="54"/>
      <c r="BL18" s="54"/>
      <c r="BM18" s="54"/>
      <c r="BN18" s="66"/>
      <c r="BO18" s="56"/>
      <c r="BP18" s="56"/>
      <c r="BQ18" s="56"/>
      <c r="BR18" s="56"/>
      <c r="BS18" s="57"/>
      <c r="BT18" s="58"/>
      <c r="BU18" s="58"/>
      <c r="BV18" s="58"/>
      <c r="BW18" s="59"/>
      <c r="BX18" s="60"/>
      <c r="BY18" s="61"/>
      <c r="BZ18" s="61"/>
      <c r="CA18" s="61"/>
      <c r="CB18" s="61"/>
      <c r="CC18" s="69"/>
    </row>
    <row r="19" spans="2:81" ht="30">
      <c r="B19" s="47" t="s">
        <v>899</v>
      </c>
      <c r="C19" s="48" t="s">
        <v>1541</v>
      </c>
      <c r="D19" s="49" t="s">
        <v>942</v>
      </c>
      <c r="E19" s="70" t="s">
        <v>943</v>
      </c>
      <c r="F19" s="71" t="s">
        <v>1606</v>
      </c>
      <c r="G19" s="52" t="s">
        <v>1636</v>
      </c>
      <c r="H19" s="49" t="s">
        <v>0</v>
      </c>
      <c r="I19" s="49" t="s">
        <v>1637</v>
      </c>
      <c r="J19" s="49" t="s">
        <v>1638</v>
      </c>
      <c r="K19" s="72"/>
      <c r="L19" s="73"/>
      <c r="M19" s="73"/>
      <c r="N19" s="73"/>
      <c r="O19" s="73"/>
      <c r="P19" s="75" t="s">
        <v>860</v>
      </c>
      <c r="Q19" s="56"/>
      <c r="R19" s="56"/>
      <c r="S19" s="55" t="s">
        <v>861</v>
      </c>
      <c r="T19" s="56"/>
      <c r="U19" s="57"/>
      <c r="V19" s="58"/>
      <c r="W19" s="58"/>
      <c r="X19" s="58"/>
      <c r="Y19" s="57"/>
      <c r="Z19" s="60"/>
      <c r="AA19" s="61"/>
      <c r="AB19" s="61"/>
      <c r="AC19" s="61"/>
      <c r="AD19" s="61"/>
      <c r="AE19" s="63"/>
      <c r="AF19" s="64"/>
      <c r="AG19" s="64"/>
      <c r="AH19" s="64"/>
      <c r="AI19" s="64"/>
      <c r="AJ19" s="72"/>
      <c r="AK19" s="73"/>
      <c r="AL19" s="73"/>
      <c r="AM19" s="73"/>
      <c r="AN19" s="73"/>
      <c r="AO19" s="66"/>
      <c r="AP19" s="56"/>
      <c r="AQ19" s="56"/>
      <c r="AR19" s="56"/>
      <c r="AS19" s="56"/>
      <c r="AT19" s="57"/>
      <c r="AU19" s="58"/>
      <c r="AV19" s="58"/>
      <c r="AW19" s="58"/>
      <c r="AX19" s="57"/>
      <c r="AY19" s="60"/>
      <c r="AZ19" s="61"/>
      <c r="BA19" s="61"/>
      <c r="BB19" s="61"/>
      <c r="BC19" s="61"/>
      <c r="BD19" s="63"/>
      <c r="BE19" s="64"/>
      <c r="BF19" s="64"/>
      <c r="BG19" s="64"/>
      <c r="BH19" s="64"/>
      <c r="BI19" s="72"/>
      <c r="BJ19" s="73"/>
      <c r="BK19" s="73"/>
      <c r="BL19" s="73"/>
      <c r="BM19" s="73"/>
      <c r="BN19" s="66"/>
      <c r="BO19" s="56"/>
      <c r="BP19" s="56"/>
      <c r="BQ19" s="56"/>
      <c r="BR19" s="56"/>
      <c r="BS19" s="57"/>
      <c r="BT19" s="58"/>
      <c r="BU19" s="58"/>
      <c r="BV19" s="58"/>
      <c r="BW19" s="57"/>
      <c r="BX19" s="60"/>
      <c r="BY19" s="61"/>
      <c r="BZ19" s="61"/>
      <c r="CA19" s="61"/>
      <c r="CB19" s="61"/>
      <c r="CC19" s="74"/>
    </row>
    <row r="20" spans="2:81" ht="30">
      <c r="B20" s="47" t="s">
        <v>899</v>
      </c>
      <c r="C20" s="48" t="s">
        <v>1541</v>
      </c>
      <c r="D20" s="49" t="s">
        <v>944</v>
      </c>
      <c r="E20" s="70" t="s">
        <v>945</v>
      </c>
      <c r="F20" s="71" t="s">
        <v>1606</v>
      </c>
      <c r="G20" s="52" t="s">
        <v>1636</v>
      </c>
      <c r="H20" s="49" t="s">
        <v>0</v>
      </c>
      <c r="I20" s="49" t="s">
        <v>1637</v>
      </c>
      <c r="J20" s="49" t="s">
        <v>1638</v>
      </c>
      <c r="K20" s="72"/>
      <c r="L20" s="73"/>
      <c r="M20" s="73"/>
      <c r="N20" s="73"/>
      <c r="O20" s="73"/>
      <c r="P20" s="75" t="s">
        <v>860</v>
      </c>
      <c r="Q20" s="56"/>
      <c r="R20" s="56"/>
      <c r="S20" s="55" t="s">
        <v>861</v>
      </c>
      <c r="T20" s="56"/>
      <c r="U20" s="57"/>
      <c r="V20" s="76"/>
      <c r="W20" s="77"/>
      <c r="X20" s="77"/>
      <c r="Y20" s="57"/>
      <c r="Z20" s="60"/>
      <c r="AA20" s="61"/>
      <c r="AB20" s="61"/>
      <c r="AC20" s="61"/>
      <c r="AD20" s="61"/>
      <c r="AE20" s="63"/>
      <c r="AF20" s="64"/>
      <c r="AG20" s="64"/>
      <c r="AH20" s="64"/>
      <c r="AI20" s="64"/>
      <c r="AJ20" s="72"/>
      <c r="AK20" s="73"/>
      <c r="AL20" s="73"/>
      <c r="AM20" s="73"/>
      <c r="AN20" s="73"/>
      <c r="AO20" s="66"/>
      <c r="AP20" s="56"/>
      <c r="AQ20" s="56"/>
      <c r="AR20" s="56"/>
      <c r="AS20" s="56"/>
      <c r="AT20" s="57"/>
      <c r="AU20" s="76"/>
      <c r="AV20" s="77"/>
      <c r="AW20" s="77"/>
      <c r="AX20" s="57"/>
      <c r="AY20" s="60"/>
      <c r="AZ20" s="61"/>
      <c r="BA20" s="61"/>
      <c r="BB20" s="61"/>
      <c r="BC20" s="61"/>
      <c r="BD20" s="63"/>
      <c r="BE20" s="64"/>
      <c r="BF20" s="64"/>
      <c r="BG20" s="64"/>
      <c r="BH20" s="64"/>
      <c r="BI20" s="72"/>
      <c r="BJ20" s="73"/>
      <c r="BK20" s="73"/>
      <c r="BL20" s="73"/>
      <c r="BM20" s="73"/>
      <c r="BN20" s="66"/>
      <c r="BO20" s="56"/>
      <c r="BP20" s="56"/>
      <c r="BQ20" s="56"/>
      <c r="BR20" s="56"/>
      <c r="BS20" s="57"/>
      <c r="BT20" s="76"/>
      <c r="BU20" s="77"/>
      <c r="BV20" s="77"/>
      <c r="BW20" s="57"/>
      <c r="BX20" s="60"/>
      <c r="BY20" s="61"/>
      <c r="BZ20" s="61"/>
      <c r="CA20" s="61"/>
      <c r="CB20" s="61"/>
      <c r="CC20" s="74"/>
    </row>
    <row r="21" spans="2:81" ht="30">
      <c r="B21" s="47" t="s">
        <v>899</v>
      </c>
      <c r="C21" s="48" t="s">
        <v>1541</v>
      </c>
      <c r="D21" s="49" t="s">
        <v>1452</v>
      </c>
      <c r="E21" s="70" t="s">
        <v>916</v>
      </c>
      <c r="F21" s="71" t="s">
        <v>1606</v>
      </c>
      <c r="G21" s="52" t="s">
        <v>1636</v>
      </c>
      <c r="H21" s="49" t="s">
        <v>0</v>
      </c>
      <c r="I21" s="49" t="s">
        <v>1637</v>
      </c>
      <c r="J21" s="49" t="s">
        <v>1638</v>
      </c>
      <c r="K21" s="72"/>
      <c r="L21" s="73"/>
      <c r="M21" s="73"/>
      <c r="N21" s="73"/>
      <c r="O21" s="73"/>
      <c r="P21" s="75" t="s">
        <v>860</v>
      </c>
      <c r="Q21" s="56"/>
      <c r="R21" s="56"/>
      <c r="S21" s="55" t="s">
        <v>861</v>
      </c>
      <c r="T21" s="56"/>
      <c r="U21" s="77"/>
      <c r="V21" s="77"/>
      <c r="W21" s="77"/>
      <c r="X21" s="77"/>
      <c r="Y21" s="57"/>
      <c r="Z21" s="60"/>
      <c r="AA21" s="61"/>
      <c r="AB21" s="61"/>
      <c r="AC21" s="61"/>
      <c r="AD21" s="61"/>
      <c r="AE21" s="63"/>
      <c r="AF21" s="64"/>
      <c r="AG21" s="64"/>
      <c r="AH21" s="64"/>
      <c r="AI21" s="64"/>
      <c r="AJ21" s="72"/>
      <c r="AK21" s="73"/>
      <c r="AL21" s="73"/>
      <c r="AM21" s="73"/>
      <c r="AN21" s="73"/>
      <c r="AO21" s="66"/>
      <c r="AP21" s="56"/>
      <c r="AQ21" s="56"/>
      <c r="AR21" s="56"/>
      <c r="AS21" s="56"/>
      <c r="AT21" s="77"/>
      <c r="AU21" s="77"/>
      <c r="AV21" s="77"/>
      <c r="AW21" s="77"/>
      <c r="AX21" s="57"/>
      <c r="AY21" s="60"/>
      <c r="AZ21" s="61"/>
      <c r="BA21" s="61"/>
      <c r="BB21" s="61"/>
      <c r="BC21" s="61"/>
      <c r="BD21" s="63"/>
      <c r="BE21" s="64"/>
      <c r="BF21" s="64"/>
      <c r="BG21" s="64"/>
      <c r="BH21" s="64"/>
      <c r="BI21" s="72"/>
      <c r="BJ21" s="73"/>
      <c r="BK21" s="73"/>
      <c r="BL21" s="73"/>
      <c r="BM21" s="73"/>
      <c r="BN21" s="66"/>
      <c r="BO21" s="56"/>
      <c r="BP21" s="56"/>
      <c r="BQ21" s="56"/>
      <c r="BR21" s="56"/>
      <c r="BS21" s="77"/>
      <c r="BT21" s="77"/>
      <c r="BU21" s="77"/>
      <c r="BV21" s="77"/>
      <c r="BW21" s="57"/>
      <c r="BX21" s="60"/>
      <c r="BY21" s="61"/>
      <c r="BZ21" s="61"/>
      <c r="CA21" s="61"/>
      <c r="CB21" s="61"/>
      <c r="CC21" s="74"/>
    </row>
    <row r="22" spans="2:81" ht="30">
      <c r="B22" s="47" t="s">
        <v>899</v>
      </c>
      <c r="C22" s="48" t="s">
        <v>1539</v>
      </c>
      <c r="D22" s="49" t="s">
        <v>934</v>
      </c>
      <c r="E22" s="70" t="s">
        <v>1456</v>
      </c>
      <c r="F22" s="71" t="s">
        <v>1606</v>
      </c>
      <c r="G22" s="52" t="s">
        <v>1636</v>
      </c>
      <c r="H22" s="49" t="s">
        <v>0</v>
      </c>
      <c r="I22" s="49" t="s">
        <v>1637</v>
      </c>
      <c r="J22" s="49" t="s">
        <v>1638</v>
      </c>
      <c r="K22" s="72"/>
      <c r="L22" s="73"/>
      <c r="M22" s="73"/>
      <c r="N22" s="73"/>
      <c r="O22" s="73"/>
      <c r="P22" s="75" t="s">
        <v>860</v>
      </c>
      <c r="Q22" s="56"/>
      <c r="R22" s="56"/>
      <c r="S22" s="55" t="s">
        <v>861</v>
      </c>
      <c r="T22" s="56"/>
      <c r="U22" s="77"/>
      <c r="V22" s="77"/>
      <c r="W22" s="77"/>
      <c r="X22" s="77"/>
      <c r="Y22" s="57"/>
      <c r="Z22" s="60"/>
      <c r="AA22" s="61"/>
      <c r="AB22" s="61"/>
      <c r="AC22" s="61"/>
      <c r="AD22" s="61"/>
      <c r="AE22" s="63"/>
      <c r="AF22" s="64"/>
      <c r="AG22" s="64"/>
      <c r="AH22" s="64"/>
      <c r="AI22" s="64"/>
      <c r="AJ22" s="72"/>
      <c r="AK22" s="73"/>
      <c r="AL22" s="73"/>
      <c r="AM22" s="73"/>
      <c r="AN22" s="73"/>
      <c r="AO22" s="66"/>
      <c r="AP22" s="56"/>
      <c r="AQ22" s="56"/>
      <c r="AR22" s="56"/>
      <c r="AS22" s="56"/>
      <c r="AT22" s="77"/>
      <c r="AU22" s="77"/>
      <c r="AV22" s="77"/>
      <c r="AW22" s="77"/>
      <c r="AX22" s="57"/>
      <c r="AY22" s="60"/>
      <c r="AZ22" s="61"/>
      <c r="BA22" s="61"/>
      <c r="BB22" s="61"/>
      <c r="BC22" s="61"/>
      <c r="BD22" s="63"/>
      <c r="BE22" s="64"/>
      <c r="BF22" s="64"/>
      <c r="BG22" s="64"/>
      <c r="BH22" s="64"/>
      <c r="BI22" s="72"/>
      <c r="BJ22" s="73"/>
      <c r="BK22" s="73"/>
      <c r="BL22" s="73"/>
      <c r="BM22" s="73"/>
      <c r="BN22" s="66"/>
      <c r="BO22" s="56"/>
      <c r="BP22" s="56"/>
      <c r="BQ22" s="56"/>
      <c r="BR22" s="56"/>
      <c r="BS22" s="77"/>
      <c r="BT22" s="77"/>
      <c r="BU22" s="77"/>
      <c r="BV22" s="77"/>
      <c r="BW22" s="57"/>
      <c r="BX22" s="60"/>
      <c r="BY22" s="61"/>
      <c r="BZ22" s="61"/>
      <c r="CA22" s="61"/>
      <c r="CB22" s="61"/>
      <c r="CC22" s="74"/>
    </row>
    <row r="23" spans="2:81" ht="30">
      <c r="B23" s="47" t="s">
        <v>899</v>
      </c>
      <c r="C23" s="48" t="s">
        <v>1539</v>
      </c>
      <c r="D23" s="49" t="s">
        <v>932</v>
      </c>
      <c r="E23" s="70" t="s">
        <v>933</v>
      </c>
      <c r="F23" s="71" t="s">
        <v>1606</v>
      </c>
      <c r="G23" s="52" t="s">
        <v>1636</v>
      </c>
      <c r="H23" s="49" t="s">
        <v>0</v>
      </c>
      <c r="I23" s="49" t="s">
        <v>1637</v>
      </c>
      <c r="J23" s="49" t="s">
        <v>1638</v>
      </c>
      <c r="K23" s="72"/>
      <c r="L23" s="73"/>
      <c r="M23" s="73"/>
      <c r="N23" s="73"/>
      <c r="O23" s="73"/>
      <c r="P23" s="75" t="s">
        <v>860</v>
      </c>
      <c r="Q23" s="56"/>
      <c r="R23" s="56"/>
      <c r="S23" s="55" t="s">
        <v>861</v>
      </c>
      <c r="T23" s="56"/>
      <c r="U23" s="77"/>
      <c r="V23" s="77"/>
      <c r="W23" s="77"/>
      <c r="X23" s="77"/>
      <c r="Y23" s="57"/>
      <c r="Z23" s="60"/>
      <c r="AA23" s="61"/>
      <c r="AB23" s="61"/>
      <c r="AC23" s="61"/>
      <c r="AD23" s="61"/>
      <c r="AE23" s="63"/>
      <c r="AF23" s="64"/>
      <c r="AG23" s="64"/>
      <c r="AH23" s="64"/>
      <c r="AI23" s="64"/>
      <c r="AJ23" s="72"/>
      <c r="AK23" s="73"/>
      <c r="AL23" s="73"/>
      <c r="AM23" s="73"/>
      <c r="AN23" s="73"/>
      <c r="AO23" s="66"/>
      <c r="AP23" s="56"/>
      <c r="AQ23" s="56"/>
      <c r="AR23" s="56"/>
      <c r="AS23" s="56"/>
      <c r="AT23" s="77"/>
      <c r="AU23" s="77"/>
      <c r="AV23" s="77"/>
      <c r="AW23" s="77"/>
      <c r="AX23" s="57"/>
      <c r="AY23" s="60"/>
      <c r="AZ23" s="61"/>
      <c r="BA23" s="61"/>
      <c r="BB23" s="61"/>
      <c r="BC23" s="61"/>
      <c r="BD23" s="63"/>
      <c r="BE23" s="64"/>
      <c r="BF23" s="64"/>
      <c r="BG23" s="64"/>
      <c r="BH23" s="64"/>
      <c r="BI23" s="72"/>
      <c r="BJ23" s="73"/>
      <c r="BK23" s="73"/>
      <c r="BL23" s="73"/>
      <c r="BM23" s="73"/>
      <c r="BN23" s="66"/>
      <c r="BO23" s="56"/>
      <c r="BP23" s="56"/>
      <c r="BQ23" s="56"/>
      <c r="BR23" s="56"/>
      <c r="BS23" s="77"/>
      <c r="BT23" s="77"/>
      <c r="BU23" s="77"/>
      <c r="BV23" s="77"/>
      <c r="BW23" s="57"/>
      <c r="BX23" s="60"/>
      <c r="BY23" s="61"/>
      <c r="BZ23" s="61"/>
      <c r="CA23" s="61"/>
      <c r="CB23" s="61"/>
      <c r="CC23" s="74"/>
    </row>
    <row r="24" spans="2:81" ht="30">
      <c r="B24" s="47" t="s">
        <v>899</v>
      </c>
      <c r="C24" s="48" t="s">
        <v>1539</v>
      </c>
      <c r="D24" s="49" t="s">
        <v>1418</v>
      </c>
      <c r="E24" s="70" t="s">
        <v>921</v>
      </c>
      <c r="F24" s="71" t="s">
        <v>1606</v>
      </c>
      <c r="G24" s="52" t="s">
        <v>1636</v>
      </c>
      <c r="H24" s="49" t="s">
        <v>0</v>
      </c>
      <c r="I24" s="49" t="s">
        <v>1637</v>
      </c>
      <c r="J24" s="49" t="s">
        <v>1638</v>
      </c>
      <c r="K24" s="72"/>
      <c r="L24" s="73"/>
      <c r="M24" s="73"/>
      <c r="N24" s="73"/>
      <c r="O24" s="73"/>
      <c r="P24" s="75" t="s">
        <v>860</v>
      </c>
      <c r="Q24" s="56"/>
      <c r="R24" s="56"/>
      <c r="S24" s="55" t="s">
        <v>861</v>
      </c>
      <c r="T24" s="56"/>
      <c r="U24" s="77"/>
      <c r="V24" s="77"/>
      <c r="W24" s="77"/>
      <c r="X24" s="77"/>
      <c r="Y24" s="57"/>
      <c r="Z24" s="60"/>
      <c r="AA24" s="61"/>
      <c r="AB24" s="61"/>
      <c r="AC24" s="61"/>
      <c r="AD24" s="61"/>
      <c r="AE24" s="63"/>
      <c r="AF24" s="64"/>
      <c r="AG24" s="64"/>
      <c r="AH24" s="64"/>
      <c r="AI24" s="64"/>
      <c r="AJ24" s="72"/>
      <c r="AK24" s="73"/>
      <c r="AL24" s="73"/>
      <c r="AM24" s="73"/>
      <c r="AN24" s="73"/>
      <c r="AO24" s="66"/>
      <c r="AP24" s="56"/>
      <c r="AQ24" s="56"/>
      <c r="AR24" s="56"/>
      <c r="AS24" s="56"/>
      <c r="AT24" s="77"/>
      <c r="AU24" s="77"/>
      <c r="AV24" s="77"/>
      <c r="AW24" s="77"/>
      <c r="AX24" s="57"/>
      <c r="AY24" s="60"/>
      <c r="AZ24" s="61"/>
      <c r="BA24" s="61"/>
      <c r="BB24" s="61"/>
      <c r="BC24" s="61"/>
      <c r="BD24" s="63"/>
      <c r="BE24" s="64"/>
      <c r="BF24" s="64"/>
      <c r="BG24" s="64"/>
      <c r="BH24" s="64"/>
      <c r="BI24" s="72"/>
      <c r="BJ24" s="73"/>
      <c r="BK24" s="73"/>
      <c r="BL24" s="73"/>
      <c r="BM24" s="73"/>
      <c r="BN24" s="66"/>
      <c r="BO24" s="56"/>
      <c r="BP24" s="56"/>
      <c r="BQ24" s="56"/>
      <c r="BR24" s="56"/>
      <c r="BS24" s="77"/>
      <c r="BT24" s="77"/>
      <c r="BU24" s="77"/>
      <c r="BV24" s="77"/>
      <c r="BW24" s="57"/>
      <c r="BX24" s="60"/>
      <c r="BY24" s="61"/>
      <c r="BZ24" s="61"/>
      <c r="CA24" s="61"/>
      <c r="CB24" s="61"/>
      <c r="CC24" s="74"/>
    </row>
    <row r="25" spans="2:81" ht="30">
      <c r="B25" s="47" t="s">
        <v>899</v>
      </c>
      <c r="C25" s="48" t="s">
        <v>1539</v>
      </c>
      <c r="D25" s="49" t="s">
        <v>938</v>
      </c>
      <c r="E25" s="70" t="s">
        <v>1461</v>
      </c>
      <c r="F25" s="71" t="s">
        <v>1606</v>
      </c>
      <c r="G25" s="52" t="s">
        <v>1636</v>
      </c>
      <c r="H25" s="49" t="s">
        <v>0</v>
      </c>
      <c r="I25" s="49" t="s">
        <v>1637</v>
      </c>
      <c r="J25" s="49" t="s">
        <v>1638</v>
      </c>
      <c r="K25" s="72"/>
      <c r="L25" s="73"/>
      <c r="M25" s="73"/>
      <c r="N25" s="73"/>
      <c r="O25" s="73"/>
      <c r="P25" s="75" t="s">
        <v>860</v>
      </c>
      <c r="Q25" s="56"/>
      <c r="R25" s="56"/>
      <c r="S25" s="55" t="s">
        <v>861</v>
      </c>
      <c r="T25" s="56"/>
      <c r="U25" s="77"/>
      <c r="V25" s="77"/>
      <c r="W25" s="77"/>
      <c r="X25" s="77"/>
      <c r="Y25" s="57"/>
      <c r="Z25" s="60"/>
      <c r="AA25" s="61"/>
      <c r="AB25" s="61"/>
      <c r="AC25" s="61"/>
      <c r="AD25" s="61"/>
      <c r="AE25" s="63"/>
      <c r="AF25" s="64"/>
      <c r="AG25" s="64"/>
      <c r="AH25" s="64"/>
      <c r="AI25" s="64"/>
      <c r="AJ25" s="72"/>
      <c r="AK25" s="73"/>
      <c r="AL25" s="73"/>
      <c r="AM25" s="73"/>
      <c r="AN25" s="73"/>
      <c r="AO25" s="66"/>
      <c r="AP25" s="56"/>
      <c r="AQ25" s="56"/>
      <c r="AR25" s="56"/>
      <c r="AS25" s="56"/>
      <c r="AT25" s="77"/>
      <c r="AU25" s="77"/>
      <c r="AV25" s="77"/>
      <c r="AW25" s="77"/>
      <c r="AX25" s="57"/>
      <c r="AY25" s="60"/>
      <c r="AZ25" s="61"/>
      <c r="BA25" s="61"/>
      <c r="BB25" s="61"/>
      <c r="BC25" s="61"/>
      <c r="BD25" s="63"/>
      <c r="BE25" s="64"/>
      <c r="BF25" s="64"/>
      <c r="BG25" s="64"/>
      <c r="BH25" s="64"/>
      <c r="BI25" s="72"/>
      <c r="BJ25" s="73"/>
      <c r="BK25" s="73"/>
      <c r="BL25" s="73"/>
      <c r="BM25" s="73"/>
      <c r="BN25" s="66"/>
      <c r="BO25" s="56"/>
      <c r="BP25" s="56"/>
      <c r="BQ25" s="56"/>
      <c r="BR25" s="56"/>
      <c r="BS25" s="77"/>
      <c r="BT25" s="77"/>
      <c r="BU25" s="77"/>
      <c r="BV25" s="77"/>
      <c r="BW25" s="57"/>
      <c r="BX25" s="60"/>
      <c r="BY25" s="61"/>
      <c r="BZ25" s="61"/>
      <c r="CA25" s="61"/>
      <c r="CB25" s="61"/>
      <c r="CC25" s="74"/>
    </row>
    <row r="26" spans="2:81" ht="30">
      <c r="B26" s="47" t="s">
        <v>899</v>
      </c>
      <c r="C26" s="48" t="s">
        <v>1539</v>
      </c>
      <c r="D26" s="49" t="s">
        <v>936</v>
      </c>
      <c r="E26" s="70" t="s">
        <v>937</v>
      </c>
      <c r="F26" s="71" t="s">
        <v>1606</v>
      </c>
      <c r="G26" s="52" t="s">
        <v>1636</v>
      </c>
      <c r="H26" s="49" t="s">
        <v>0</v>
      </c>
      <c r="I26" s="49" t="s">
        <v>1637</v>
      </c>
      <c r="J26" s="49" t="s">
        <v>1638</v>
      </c>
      <c r="K26" s="72"/>
      <c r="L26" s="73"/>
      <c r="M26" s="73"/>
      <c r="N26" s="73"/>
      <c r="O26" s="73"/>
      <c r="P26" s="75" t="s">
        <v>860</v>
      </c>
      <c r="Q26" s="56"/>
      <c r="R26" s="56"/>
      <c r="S26" s="55" t="s">
        <v>861</v>
      </c>
      <c r="T26" s="56"/>
      <c r="U26" s="77"/>
      <c r="V26" s="77"/>
      <c r="W26" s="77"/>
      <c r="X26" s="77"/>
      <c r="Y26" s="57"/>
      <c r="Z26" s="60"/>
      <c r="AA26" s="61"/>
      <c r="AB26" s="61"/>
      <c r="AC26" s="61"/>
      <c r="AD26" s="61"/>
      <c r="AE26" s="63"/>
      <c r="AF26" s="64"/>
      <c r="AG26" s="64"/>
      <c r="AH26" s="64"/>
      <c r="AI26" s="64"/>
      <c r="AJ26" s="72"/>
      <c r="AK26" s="73"/>
      <c r="AL26" s="73"/>
      <c r="AM26" s="73"/>
      <c r="AN26" s="73"/>
      <c r="AO26" s="66"/>
      <c r="AP26" s="56"/>
      <c r="AQ26" s="56"/>
      <c r="AR26" s="56"/>
      <c r="AS26" s="56"/>
      <c r="AT26" s="77"/>
      <c r="AU26" s="77"/>
      <c r="AV26" s="77"/>
      <c r="AW26" s="77"/>
      <c r="AX26" s="57"/>
      <c r="AY26" s="60"/>
      <c r="AZ26" s="61"/>
      <c r="BA26" s="61"/>
      <c r="BB26" s="61"/>
      <c r="BC26" s="61"/>
      <c r="BD26" s="63"/>
      <c r="BE26" s="64"/>
      <c r="BF26" s="64"/>
      <c r="BG26" s="64"/>
      <c r="BH26" s="64"/>
      <c r="BI26" s="72"/>
      <c r="BJ26" s="73"/>
      <c r="BK26" s="73"/>
      <c r="BL26" s="73"/>
      <c r="BM26" s="73"/>
      <c r="BN26" s="66"/>
      <c r="BO26" s="56"/>
      <c r="BP26" s="56"/>
      <c r="BQ26" s="56"/>
      <c r="BR26" s="56"/>
      <c r="BS26" s="77"/>
      <c r="BT26" s="77"/>
      <c r="BU26" s="77"/>
      <c r="BV26" s="77"/>
      <c r="BW26" s="57"/>
      <c r="BX26" s="60"/>
      <c r="BY26" s="61"/>
      <c r="BZ26" s="61"/>
      <c r="CA26" s="61"/>
      <c r="CB26" s="61"/>
      <c r="CC26" s="74"/>
    </row>
    <row r="27" spans="2:81" ht="30">
      <c r="B27" s="47" t="s">
        <v>899</v>
      </c>
      <c r="C27" s="48" t="s">
        <v>1539</v>
      </c>
      <c r="D27" s="49" t="s">
        <v>918</v>
      </c>
      <c r="E27" s="81" t="s">
        <v>919</v>
      </c>
      <c r="F27" s="71" t="s">
        <v>1606</v>
      </c>
      <c r="G27" s="52" t="s">
        <v>1636</v>
      </c>
      <c r="H27" s="49" t="s">
        <v>0</v>
      </c>
      <c r="I27" s="49" t="s">
        <v>1637</v>
      </c>
      <c r="J27" s="49" t="s">
        <v>1638</v>
      </c>
      <c r="K27" s="84"/>
      <c r="L27" s="85"/>
      <c r="M27" s="85"/>
      <c r="N27" s="85"/>
      <c r="O27" s="85"/>
      <c r="P27" s="75" t="s">
        <v>860</v>
      </c>
      <c r="Q27" s="56"/>
      <c r="R27" s="56"/>
      <c r="S27" s="55" t="s">
        <v>861</v>
      </c>
      <c r="T27" s="56"/>
      <c r="U27" s="77"/>
      <c r="V27" s="77"/>
      <c r="W27" s="77"/>
      <c r="X27" s="77"/>
      <c r="Y27" s="57"/>
      <c r="Z27" s="88"/>
      <c r="AA27" s="89"/>
      <c r="AB27" s="89"/>
      <c r="AC27" s="89"/>
      <c r="AD27" s="89"/>
      <c r="AE27" s="90"/>
      <c r="AF27" s="91"/>
      <c r="AG27" s="91"/>
      <c r="AH27" s="91"/>
      <c r="AI27" s="91"/>
      <c r="AJ27" s="84"/>
      <c r="AK27" s="85"/>
      <c r="AL27" s="85"/>
      <c r="AM27" s="85"/>
      <c r="AN27" s="85"/>
      <c r="AO27" s="92"/>
      <c r="AP27" s="86"/>
      <c r="AQ27" s="86"/>
      <c r="AR27" s="86"/>
      <c r="AS27" s="86"/>
      <c r="AT27" s="87"/>
      <c r="AU27" s="87"/>
      <c r="AV27" s="87"/>
      <c r="AW27" s="87"/>
      <c r="AX27" s="93"/>
      <c r="AY27" s="88"/>
      <c r="AZ27" s="89"/>
      <c r="BA27" s="89"/>
      <c r="BB27" s="89"/>
      <c r="BC27" s="89"/>
      <c r="BD27" s="90"/>
      <c r="BE27" s="91"/>
      <c r="BF27" s="91"/>
      <c r="BG27" s="91"/>
      <c r="BH27" s="91"/>
      <c r="BI27" s="84"/>
      <c r="BJ27" s="85"/>
      <c r="BK27" s="85"/>
      <c r="BL27" s="85"/>
      <c r="BM27" s="85"/>
      <c r="BN27" s="92"/>
      <c r="BO27" s="86"/>
      <c r="BP27" s="86"/>
      <c r="BQ27" s="86"/>
      <c r="BR27" s="86"/>
      <c r="BS27" s="87"/>
      <c r="BT27" s="87"/>
      <c r="BU27" s="87"/>
      <c r="BV27" s="87"/>
      <c r="BW27" s="93"/>
      <c r="BX27" s="88"/>
      <c r="BY27" s="89"/>
      <c r="BZ27" s="89"/>
      <c r="CA27" s="89"/>
      <c r="CB27" s="89"/>
      <c r="CC27" s="94"/>
    </row>
    <row r="28" spans="2:81" ht="30">
      <c r="B28" s="47" t="s">
        <v>899</v>
      </c>
      <c r="C28" s="48" t="s">
        <v>1539</v>
      </c>
      <c r="D28" s="49" t="s">
        <v>923</v>
      </c>
      <c r="E28" s="70" t="s">
        <v>924</v>
      </c>
      <c r="F28" s="71" t="s">
        <v>1606</v>
      </c>
      <c r="G28" s="52" t="s">
        <v>1636</v>
      </c>
      <c r="H28" s="49" t="s">
        <v>0</v>
      </c>
      <c r="I28" s="49" t="s">
        <v>1637</v>
      </c>
      <c r="J28" s="49" t="s">
        <v>1638</v>
      </c>
      <c r="K28" s="72"/>
      <c r="L28" s="73"/>
      <c r="M28" s="73"/>
      <c r="N28" s="73"/>
      <c r="O28" s="73"/>
      <c r="P28" s="75" t="s">
        <v>860</v>
      </c>
      <c r="Q28" s="56"/>
      <c r="R28" s="56"/>
      <c r="S28" s="55" t="s">
        <v>861</v>
      </c>
      <c r="T28" s="56"/>
      <c r="U28" s="77"/>
      <c r="V28" s="77"/>
      <c r="W28" s="77"/>
      <c r="X28" s="77"/>
      <c r="Y28" s="57"/>
      <c r="Z28" s="60"/>
      <c r="AA28" s="61"/>
      <c r="AB28" s="61"/>
      <c r="AC28" s="61"/>
      <c r="AD28" s="61"/>
      <c r="AE28" s="63"/>
      <c r="AF28" s="64"/>
      <c r="AG28" s="64"/>
      <c r="AH28" s="64"/>
      <c r="AI28" s="64"/>
      <c r="AJ28" s="72"/>
      <c r="AK28" s="73"/>
      <c r="AL28" s="73"/>
      <c r="AM28" s="73"/>
      <c r="AN28" s="73"/>
      <c r="AO28" s="66"/>
      <c r="AP28" s="56"/>
      <c r="AQ28" s="56"/>
      <c r="AR28" s="56"/>
      <c r="AS28" s="56"/>
      <c r="AT28" s="77"/>
      <c r="AU28" s="77"/>
      <c r="AV28" s="77"/>
      <c r="AW28" s="77"/>
      <c r="AX28" s="57"/>
      <c r="AY28" s="60"/>
      <c r="AZ28" s="61"/>
      <c r="BA28" s="61"/>
      <c r="BB28" s="61"/>
      <c r="BC28" s="61"/>
      <c r="BD28" s="63"/>
      <c r="BE28" s="64"/>
      <c r="BF28" s="64"/>
      <c r="BG28" s="64"/>
      <c r="BH28" s="64"/>
      <c r="BI28" s="72"/>
      <c r="BJ28" s="73"/>
      <c r="BK28" s="73"/>
      <c r="BL28" s="73"/>
      <c r="BM28" s="73"/>
      <c r="BN28" s="66"/>
      <c r="BO28" s="56"/>
      <c r="BP28" s="56"/>
      <c r="BQ28" s="56"/>
      <c r="BR28" s="56"/>
      <c r="BS28" s="77"/>
      <c r="BT28" s="77"/>
      <c r="BU28" s="77"/>
      <c r="BV28" s="77"/>
      <c r="BW28" s="57"/>
      <c r="BX28" s="60"/>
      <c r="BY28" s="61"/>
      <c r="BZ28" s="61"/>
      <c r="CA28" s="61"/>
      <c r="CB28" s="61"/>
      <c r="CC28" s="74"/>
    </row>
    <row r="29" spans="2:81" ht="30">
      <c r="B29" s="47" t="s">
        <v>899</v>
      </c>
      <c r="C29" s="48" t="s">
        <v>1539</v>
      </c>
      <c r="D29" s="49" t="s">
        <v>1463</v>
      </c>
      <c r="E29" s="70" t="s">
        <v>1464</v>
      </c>
      <c r="F29" s="71" t="s">
        <v>1606</v>
      </c>
      <c r="G29" s="52" t="s">
        <v>1636</v>
      </c>
      <c r="H29" s="49" t="s">
        <v>0</v>
      </c>
      <c r="I29" s="49" t="s">
        <v>1637</v>
      </c>
      <c r="J29" s="49" t="s">
        <v>1638</v>
      </c>
      <c r="K29" s="72"/>
      <c r="L29" s="73"/>
      <c r="M29" s="73"/>
      <c r="N29" s="73"/>
      <c r="O29" s="73"/>
      <c r="P29" s="75" t="s">
        <v>860</v>
      </c>
      <c r="Q29" s="56"/>
      <c r="R29" s="56"/>
      <c r="S29" s="55" t="s">
        <v>861</v>
      </c>
      <c r="T29" s="56"/>
      <c r="U29" s="77"/>
      <c r="V29" s="77"/>
      <c r="W29" s="77"/>
      <c r="X29" s="77"/>
      <c r="Y29" s="57"/>
      <c r="Z29" s="60"/>
      <c r="AA29" s="61"/>
      <c r="AB29" s="61"/>
      <c r="AC29" s="61"/>
      <c r="AD29" s="61"/>
      <c r="AE29" s="63"/>
      <c r="AF29" s="64"/>
      <c r="AG29" s="64"/>
      <c r="AH29" s="64"/>
      <c r="AI29" s="64"/>
      <c r="AJ29" s="72"/>
      <c r="AK29" s="73"/>
      <c r="AL29" s="73"/>
      <c r="AM29" s="73"/>
      <c r="AN29" s="73"/>
      <c r="AO29" s="66"/>
      <c r="AP29" s="56"/>
      <c r="AQ29" s="56"/>
      <c r="AR29" s="56"/>
      <c r="AS29" s="56"/>
      <c r="AT29" s="77"/>
      <c r="AU29" s="77"/>
      <c r="AV29" s="77"/>
      <c r="AW29" s="77"/>
      <c r="AX29" s="57"/>
      <c r="AY29" s="60"/>
      <c r="AZ29" s="61"/>
      <c r="BA29" s="61"/>
      <c r="BB29" s="61"/>
      <c r="BC29" s="61"/>
      <c r="BD29" s="63"/>
      <c r="BE29" s="64"/>
      <c r="BF29" s="64"/>
      <c r="BG29" s="64"/>
      <c r="BH29" s="64"/>
      <c r="BI29" s="72"/>
      <c r="BJ29" s="73"/>
      <c r="BK29" s="73"/>
      <c r="BL29" s="73"/>
      <c r="BM29" s="73"/>
      <c r="BN29" s="66"/>
      <c r="BO29" s="56"/>
      <c r="BP29" s="56"/>
      <c r="BQ29" s="56"/>
      <c r="BR29" s="56"/>
      <c r="BS29" s="77"/>
      <c r="BT29" s="77"/>
      <c r="BU29" s="77"/>
      <c r="BV29" s="77"/>
      <c r="BW29" s="57"/>
      <c r="BX29" s="60"/>
      <c r="BY29" s="61"/>
      <c r="BZ29" s="61"/>
      <c r="CA29" s="61"/>
      <c r="CB29" s="61"/>
      <c r="CC29" s="74"/>
    </row>
    <row r="30" spans="2:81" ht="30">
      <c r="B30" s="47" t="s">
        <v>899</v>
      </c>
      <c r="C30" s="48" t="s">
        <v>1539</v>
      </c>
      <c r="D30" s="49" t="s">
        <v>901</v>
      </c>
      <c r="E30" s="70" t="s">
        <v>902</v>
      </c>
      <c r="F30" s="71" t="s">
        <v>1606</v>
      </c>
      <c r="G30" s="52" t="s">
        <v>1636</v>
      </c>
      <c r="H30" s="49" t="s">
        <v>0</v>
      </c>
      <c r="I30" s="49" t="s">
        <v>1637</v>
      </c>
      <c r="J30" s="49" t="s">
        <v>1638</v>
      </c>
      <c r="K30" s="72"/>
      <c r="L30" s="73"/>
      <c r="M30" s="73"/>
      <c r="N30" s="73"/>
      <c r="O30" s="73"/>
      <c r="P30" s="75" t="s">
        <v>860</v>
      </c>
      <c r="Q30" s="56"/>
      <c r="R30" s="56"/>
      <c r="S30" s="55" t="s">
        <v>861</v>
      </c>
      <c r="T30" s="56"/>
      <c r="U30" s="77"/>
      <c r="V30" s="77"/>
      <c r="W30" s="77"/>
      <c r="X30" s="77"/>
      <c r="Y30" s="57"/>
      <c r="Z30" s="60"/>
      <c r="AA30" s="61"/>
      <c r="AB30" s="54"/>
      <c r="AC30" s="61"/>
      <c r="AD30" s="61"/>
      <c r="AE30" s="63"/>
      <c r="AF30" s="80"/>
      <c r="AG30" s="64"/>
      <c r="AH30" s="64"/>
      <c r="AI30" s="64"/>
      <c r="AJ30" s="72"/>
      <c r="AK30" s="73"/>
      <c r="AL30" s="73"/>
      <c r="AM30" s="73"/>
      <c r="AN30" s="73"/>
      <c r="AO30" s="66"/>
      <c r="AP30" s="56"/>
      <c r="AQ30" s="56"/>
      <c r="AR30" s="56"/>
      <c r="AS30" s="56"/>
      <c r="AT30" s="77"/>
      <c r="AU30" s="77"/>
      <c r="AV30" s="77"/>
      <c r="AW30" s="77"/>
      <c r="AX30" s="57"/>
      <c r="AY30" s="60"/>
      <c r="AZ30" s="61"/>
      <c r="BA30" s="61"/>
      <c r="BB30" s="61"/>
      <c r="BC30" s="61"/>
      <c r="BD30" s="63"/>
      <c r="BE30" s="64"/>
      <c r="BF30" s="64"/>
      <c r="BG30" s="64"/>
      <c r="BH30" s="64"/>
      <c r="BI30" s="72"/>
      <c r="BJ30" s="73"/>
      <c r="BK30" s="73"/>
      <c r="BL30" s="73"/>
      <c r="BM30" s="73"/>
      <c r="BN30" s="66"/>
      <c r="BO30" s="56"/>
      <c r="BP30" s="56"/>
      <c r="BQ30" s="56"/>
      <c r="BR30" s="56"/>
      <c r="BS30" s="77"/>
      <c r="BT30" s="77"/>
      <c r="BU30" s="77"/>
      <c r="BV30" s="77"/>
      <c r="BW30" s="57"/>
      <c r="BX30" s="60"/>
      <c r="BY30" s="61"/>
      <c r="BZ30" s="61"/>
      <c r="CA30" s="61"/>
      <c r="CB30" s="61"/>
      <c r="CC30" s="74"/>
    </row>
    <row r="31" spans="2:81" ht="30">
      <c r="B31" s="47" t="s">
        <v>899</v>
      </c>
      <c r="C31" s="48" t="s">
        <v>950</v>
      </c>
      <c r="D31" s="49" t="s">
        <v>1465</v>
      </c>
      <c r="E31" s="70" t="s">
        <v>1466</v>
      </c>
      <c r="F31" s="71" t="s">
        <v>1606</v>
      </c>
      <c r="G31" s="52" t="s">
        <v>1636</v>
      </c>
      <c r="H31" s="49" t="s">
        <v>0</v>
      </c>
      <c r="I31" s="49" t="s">
        <v>1637</v>
      </c>
      <c r="J31" s="49" t="s">
        <v>1638</v>
      </c>
      <c r="K31" s="72"/>
      <c r="L31" s="73"/>
      <c r="M31" s="73"/>
      <c r="N31" s="73"/>
      <c r="O31" s="73"/>
      <c r="P31" s="75" t="s">
        <v>860</v>
      </c>
      <c r="Q31" s="56"/>
      <c r="R31" s="56"/>
      <c r="S31" s="55" t="s">
        <v>861</v>
      </c>
      <c r="T31" s="56"/>
      <c r="U31" s="77"/>
      <c r="V31" s="77"/>
      <c r="W31" s="77"/>
      <c r="X31" s="77"/>
      <c r="Y31" s="57"/>
      <c r="Z31" s="60"/>
      <c r="AA31" s="61"/>
      <c r="AB31" s="54"/>
      <c r="AC31" s="61"/>
      <c r="AD31" s="61"/>
      <c r="AE31" s="63"/>
      <c r="AF31" s="80"/>
      <c r="AG31" s="64"/>
      <c r="AH31" s="64"/>
      <c r="AI31" s="64"/>
      <c r="AJ31" s="72"/>
      <c r="AK31" s="73"/>
      <c r="AL31" s="73"/>
      <c r="AM31" s="73"/>
      <c r="AN31" s="73"/>
      <c r="AO31" s="66"/>
      <c r="AP31" s="56"/>
      <c r="AQ31" s="56"/>
      <c r="AR31" s="56"/>
      <c r="AS31" s="56"/>
      <c r="AT31" s="77"/>
      <c r="AU31" s="77"/>
      <c r="AV31" s="77"/>
      <c r="AW31" s="77"/>
      <c r="AX31" s="57"/>
      <c r="AY31" s="60"/>
      <c r="AZ31" s="61"/>
      <c r="BA31" s="61"/>
      <c r="BB31" s="61"/>
      <c r="BC31" s="61"/>
      <c r="BD31" s="63"/>
      <c r="BE31" s="64"/>
      <c r="BF31" s="64"/>
      <c r="BG31" s="64"/>
      <c r="BH31" s="64"/>
      <c r="BI31" s="72"/>
      <c r="BJ31" s="73"/>
      <c r="BK31" s="73"/>
      <c r="BL31" s="73"/>
      <c r="BM31" s="73"/>
      <c r="BN31" s="66"/>
      <c r="BO31" s="56"/>
      <c r="BP31" s="56"/>
      <c r="BQ31" s="56"/>
      <c r="BR31" s="56"/>
      <c r="BS31" s="77"/>
      <c r="BT31" s="77"/>
      <c r="BU31" s="77"/>
      <c r="BV31" s="77"/>
      <c r="BW31" s="57"/>
      <c r="BX31" s="60"/>
      <c r="BY31" s="61"/>
      <c r="BZ31" s="61"/>
      <c r="CA31" s="61"/>
      <c r="CB31" s="61"/>
      <c r="CC31" s="74"/>
    </row>
    <row r="32" spans="2:81" ht="30">
      <c r="B32" s="47" t="s">
        <v>899</v>
      </c>
      <c r="C32" s="48" t="s">
        <v>950</v>
      </c>
      <c r="D32" s="49" t="s">
        <v>1547</v>
      </c>
      <c r="E32" s="70" t="s">
        <v>1548</v>
      </c>
      <c r="F32" s="71" t="s">
        <v>1606</v>
      </c>
      <c r="G32" s="52" t="s">
        <v>1636</v>
      </c>
      <c r="H32" s="49" t="s">
        <v>0</v>
      </c>
      <c r="I32" s="49" t="s">
        <v>1637</v>
      </c>
      <c r="J32" s="49" t="s">
        <v>1638</v>
      </c>
      <c r="K32" s="72"/>
      <c r="L32" s="73"/>
      <c r="M32" s="73"/>
      <c r="N32" s="73"/>
      <c r="O32" s="73"/>
      <c r="P32" s="75" t="s">
        <v>860</v>
      </c>
      <c r="Q32" s="56"/>
      <c r="R32" s="56"/>
      <c r="S32" s="55" t="s">
        <v>861</v>
      </c>
      <c r="T32" s="56"/>
      <c r="U32" s="77"/>
      <c r="V32" s="77"/>
      <c r="W32" s="77"/>
      <c r="X32" s="77"/>
      <c r="Y32" s="57"/>
      <c r="Z32" s="60"/>
      <c r="AA32" s="61"/>
      <c r="AB32" s="54"/>
      <c r="AC32" s="61"/>
      <c r="AD32" s="61"/>
      <c r="AE32" s="63"/>
      <c r="AF32" s="80"/>
      <c r="AG32" s="64"/>
      <c r="AH32" s="64"/>
      <c r="AI32" s="64"/>
      <c r="AJ32" s="72"/>
      <c r="AK32" s="73"/>
      <c r="AL32" s="73"/>
      <c r="AM32" s="73"/>
      <c r="AN32" s="73"/>
      <c r="AO32" s="66"/>
      <c r="AP32" s="56"/>
      <c r="AQ32" s="56"/>
      <c r="AR32" s="56"/>
      <c r="AS32" s="56"/>
      <c r="AT32" s="77"/>
      <c r="AU32" s="77"/>
      <c r="AV32" s="77"/>
      <c r="AW32" s="77"/>
      <c r="AX32" s="57"/>
      <c r="AY32" s="60"/>
      <c r="AZ32" s="61"/>
      <c r="BA32" s="61"/>
      <c r="BB32" s="61"/>
      <c r="BC32" s="61"/>
      <c r="BD32" s="63"/>
      <c r="BE32" s="64"/>
      <c r="BF32" s="64"/>
      <c r="BG32" s="64"/>
      <c r="BH32" s="64"/>
      <c r="BI32" s="72"/>
      <c r="BJ32" s="73"/>
      <c r="BK32" s="73"/>
      <c r="BL32" s="73"/>
      <c r="BM32" s="73"/>
      <c r="BN32" s="66"/>
      <c r="BO32" s="56"/>
      <c r="BP32" s="56"/>
      <c r="BQ32" s="56"/>
      <c r="BR32" s="56"/>
      <c r="BS32" s="77"/>
      <c r="BT32" s="77"/>
      <c r="BU32" s="77"/>
      <c r="BV32" s="77"/>
      <c r="BW32" s="57"/>
      <c r="BX32" s="60"/>
      <c r="BY32" s="61"/>
      <c r="BZ32" s="61"/>
      <c r="CA32" s="61"/>
      <c r="CB32" s="61"/>
      <c r="CC32" s="74"/>
    </row>
    <row r="33" spans="2:81" ht="30">
      <c r="B33" s="47" t="s">
        <v>899</v>
      </c>
      <c r="C33" s="48" t="s">
        <v>950</v>
      </c>
      <c r="D33" s="49" t="s">
        <v>1545</v>
      </c>
      <c r="E33" s="70" t="s">
        <v>1546</v>
      </c>
      <c r="F33" s="71" t="s">
        <v>1606</v>
      </c>
      <c r="G33" s="52" t="s">
        <v>1636</v>
      </c>
      <c r="H33" s="49" t="s">
        <v>0</v>
      </c>
      <c r="I33" s="49" t="s">
        <v>1637</v>
      </c>
      <c r="J33" s="49" t="s">
        <v>1638</v>
      </c>
      <c r="K33" s="72"/>
      <c r="L33" s="73"/>
      <c r="M33" s="73"/>
      <c r="N33" s="73"/>
      <c r="O33" s="73"/>
      <c r="P33" s="75" t="s">
        <v>860</v>
      </c>
      <c r="Q33" s="56"/>
      <c r="R33" s="56"/>
      <c r="S33" s="55" t="s">
        <v>861</v>
      </c>
      <c r="T33" s="56"/>
      <c r="U33" s="77"/>
      <c r="V33" s="77"/>
      <c r="W33" s="77"/>
      <c r="X33" s="77"/>
      <c r="Y33" s="57"/>
      <c r="Z33" s="60"/>
      <c r="AA33" s="61"/>
      <c r="AB33" s="61"/>
      <c r="AC33" s="61"/>
      <c r="AD33" s="61"/>
      <c r="AE33" s="63"/>
      <c r="AF33" s="64"/>
      <c r="AG33" s="64"/>
      <c r="AH33" s="64"/>
      <c r="AI33" s="64"/>
      <c r="AJ33" s="72"/>
      <c r="AK33" s="73"/>
      <c r="AL33" s="73"/>
      <c r="AM33" s="73"/>
      <c r="AN33" s="73"/>
      <c r="AO33" s="66"/>
      <c r="AP33" s="56"/>
      <c r="AQ33" s="56"/>
      <c r="AR33" s="56"/>
      <c r="AS33" s="56"/>
      <c r="AT33" s="77"/>
      <c r="AU33" s="77"/>
      <c r="AV33" s="77"/>
      <c r="AW33" s="77"/>
      <c r="AX33" s="57"/>
      <c r="AY33" s="60"/>
      <c r="AZ33" s="61"/>
      <c r="BA33" s="61"/>
      <c r="BB33" s="61"/>
      <c r="BC33" s="61"/>
      <c r="BD33" s="63"/>
      <c r="BE33" s="64"/>
      <c r="BF33" s="64"/>
      <c r="BG33" s="64"/>
      <c r="BH33" s="64"/>
      <c r="BI33" s="72"/>
      <c r="BJ33" s="73"/>
      <c r="BK33" s="73"/>
      <c r="BL33" s="73"/>
      <c r="BM33" s="73"/>
      <c r="BN33" s="66"/>
      <c r="BO33" s="56"/>
      <c r="BP33" s="56"/>
      <c r="BQ33" s="56"/>
      <c r="BR33" s="56"/>
      <c r="BS33" s="77"/>
      <c r="BT33" s="77"/>
      <c r="BU33" s="77"/>
      <c r="BV33" s="77"/>
      <c r="BW33" s="57"/>
      <c r="BX33" s="60"/>
      <c r="BY33" s="61"/>
      <c r="BZ33" s="61"/>
      <c r="CA33" s="61"/>
      <c r="CB33" s="61"/>
      <c r="CC33" s="74"/>
    </row>
    <row r="34" spans="2:81" ht="30">
      <c r="B34" s="47" t="s">
        <v>899</v>
      </c>
      <c r="C34" s="48" t="s">
        <v>950</v>
      </c>
      <c r="D34" s="49" t="s">
        <v>1333</v>
      </c>
      <c r="E34" s="70" t="s">
        <v>1467</v>
      </c>
      <c r="F34" s="71" t="s">
        <v>1606</v>
      </c>
      <c r="G34" s="52" t="s">
        <v>1636</v>
      </c>
      <c r="H34" s="49" t="s">
        <v>0</v>
      </c>
      <c r="I34" s="49" t="s">
        <v>1637</v>
      </c>
      <c r="J34" s="49" t="s">
        <v>1638</v>
      </c>
      <c r="K34" s="72"/>
      <c r="L34" s="73"/>
      <c r="M34" s="73"/>
      <c r="N34" s="73"/>
      <c r="O34" s="73"/>
      <c r="P34" s="75" t="s">
        <v>860</v>
      </c>
      <c r="Q34" s="56"/>
      <c r="R34" s="56"/>
      <c r="S34" s="55" t="s">
        <v>861</v>
      </c>
      <c r="T34" s="56"/>
      <c r="U34" s="77"/>
      <c r="V34" s="77"/>
      <c r="W34" s="77"/>
      <c r="X34" s="77"/>
      <c r="Y34" s="57"/>
      <c r="Z34" s="60"/>
      <c r="AA34" s="61"/>
      <c r="AB34" s="61"/>
      <c r="AC34" s="61"/>
      <c r="AD34" s="61"/>
      <c r="AE34" s="63"/>
      <c r="AF34" s="64"/>
      <c r="AG34" s="64"/>
      <c r="AH34" s="64"/>
      <c r="AI34" s="64"/>
      <c r="AJ34" s="72"/>
      <c r="AK34" s="73"/>
      <c r="AL34" s="73"/>
      <c r="AM34" s="73"/>
      <c r="AN34" s="73"/>
      <c r="AO34" s="66"/>
      <c r="AP34" s="56"/>
      <c r="AQ34" s="56"/>
      <c r="AR34" s="56"/>
      <c r="AS34" s="56"/>
      <c r="AT34" s="77"/>
      <c r="AU34" s="77"/>
      <c r="AV34" s="77"/>
      <c r="AW34" s="77"/>
      <c r="AX34" s="57"/>
      <c r="AY34" s="60"/>
      <c r="AZ34" s="61"/>
      <c r="BA34" s="61"/>
      <c r="BB34" s="61"/>
      <c r="BC34" s="61"/>
      <c r="BD34" s="63"/>
      <c r="BE34" s="64"/>
      <c r="BF34" s="64"/>
      <c r="BG34" s="64"/>
      <c r="BH34" s="64"/>
      <c r="BI34" s="72"/>
      <c r="BJ34" s="73"/>
      <c r="BK34" s="73"/>
      <c r="BL34" s="73"/>
      <c r="BM34" s="73"/>
      <c r="BN34" s="66"/>
      <c r="BO34" s="56"/>
      <c r="BP34" s="56"/>
      <c r="BQ34" s="56"/>
      <c r="BR34" s="56"/>
      <c r="BS34" s="77"/>
      <c r="BT34" s="77"/>
      <c r="BU34" s="77"/>
      <c r="BV34" s="77"/>
      <c r="BW34" s="57"/>
      <c r="BX34" s="60"/>
      <c r="BY34" s="61"/>
      <c r="BZ34" s="61"/>
      <c r="CA34" s="61"/>
      <c r="CB34" s="61"/>
      <c r="CC34" s="74"/>
    </row>
    <row r="35" spans="2:81" ht="30">
      <c r="B35" s="47" t="s">
        <v>899</v>
      </c>
      <c r="C35" s="48" t="s">
        <v>950</v>
      </c>
      <c r="D35" s="49" t="s">
        <v>1562</v>
      </c>
      <c r="E35" s="70" t="s">
        <v>1563</v>
      </c>
      <c r="F35" s="71" t="s">
        <v>1606</v>
      </c>
      <c r="G35" s="52" t="s">
        <v>1636</v>
      </c>
      <c r="H35" s="49" t="s">
        <v>0</v>
      </c>
      <c r="I35" s="49" t="s">
        <v>1637</v>
      </c>
      <c r="J35" s="49" t="s">
        <v>1638</v>
      </c>
      <c r="K35" s="72"/>
      <c r="L35" s="73"/>
      <c r="M35" s="73"/>
      <c r="N35" s="73"/>
      <c r="O35" s="73"/>
      <c r="P35" s="75" t="s">
        <v>860</v>
      </c>
      <c r="Q35" s="56"/>
      <c r="R35" s="56"/>
      <c r="S35" s="55" t="s">
        <v>861</v>
      </c>
      <c r="T35" s="56"/>
      <c r="U35" s="77"/>
      <c r="V35" s="77"/>
      <c r="W35" s="77"/>
      <c r="X35" s="77"/>
      <c r="Y35" s="57"/>
      <c r="Z35" s="60"/>
      <c r="AA35" s="61"/>
      <c r="AB35" s="61"/>
      <c r="AC35" s="61"/>
      <c r="AD35" s="61"/>
      <c r="AE35" s="63"/>
      <c r="AF35" s="64"/>
      <c r="AG35" s="64"/>
      <c r="AH35" s="64"/>
      <c r="AI35" s="64"/>
      <c r="AJ35" s="72"/>
      <c r="AK35" s="73"/>
      <c r="AL35" s="73"/>
      <c r="AM35" s="73"/>
      <c r="AN35" s="73"/>
      <c r="AO35" s="66"/>
      <c r="AP35" s="56"/>
      <c r="AQ35" s="56"/>
      <c r="AR35" s="56"/>
      <c r="AS35" s="56"/>
      <c r="AT35" s="77"/>
      <c r="AU35" s="77"/>
      <c r="AV35" s="77"/>
      <c r="AW35" s="77"/>
      <c r="AX35" s="57"/>
      <c r="AY35" s="60"/>
      <c r="AZ35" s="61"/>
      <c r="BA35" s="61"/>
      <c r="BB35" s="61"/>
      <c r="BC35" s="61"/>
      <c r="BD35" s="63"/>
      <c r="BE35" s="64"/>
      <c r="BF35" s="64"/>
      <c r="BG35" s="64"/>
      <c r="BH35" s="64"/>
      <c r="BI35" s="72"/>
      <c r="BJ35" s="73"/>
      <c r="BK35" s="73"/>
      <c r="BL35" s="73"/>
      <c r="BM35" s="73"/>
      <c r="BN35" s="66"/>
      <c r="BO35" s="56"/>
      <c r="BP35" s="56"/>
      <c r="BQ35" s="56"/>
      <c r="BR35" s="56"/>
      <c r="BS35" s="77"/>
      <c r="BT35" s="77"/>
      <c r="BU35" s="77"/>
      <c r="BV35" s="77"/>
      <c r="BW35" s="57"/>
      <c r="BX35" s="60"/>
      <c r="BY35" s="61"/>
      <c r="BZ35" s="61"/>
      <c r="CA35" s="61"/>
      <c r="CB35" s="61"/>
      <c r="CC35" s="74"/>
    </row>
    <row r="36" spans="2:81" ht="30">
      <c r="B36" s="47" t="s">
        <v>899</v>
      </c>
      <c r="C36" s="48" t="s">
        <v>1639</v>
      </c>
      <c r="D36" s="49" t="s">
        <v>1640</v>
      </c>
      <c r="E36" s="70" t="s">
        <v>1641</v>
      </c>
      <c r="F36" s="71" t="s">
        <v>1606</v>
      </c>
      <c r="G36" s="52" t="s">
        <v>1636</v>
      </c>
      <c r="H36" s="49" t="s">
        <v>0</v>
      </c>
      <c r="I36" s="49" t="s">
        <v>1637</v>
      </c>
      <c r="J36" s="49" t="s">
        <v>1638</v>
      </c>
      <c r="K36" s="72"/>
      <c r="L36" s="73"/>
      <c r="M36" s="73"/>
      <c r="N36" s="73"/>
      <c r="O36" s="73"/>
      <c r="P36" s="75" t="s">
        <v>860</v>
      </c>
      <c r="Q36" s="56"/>
      <c r="R36" s="56"/>
      <c r="S36" s="55" t="s">
        <v>861</v>
      </c>
      <c r="T36" s="56"/>
      <c r="U36" s="77"/>
      <c r="V36" s="77"/>
      <c r="W36" s="77"/>
      <c r="X36" s="77"/>
      <c r="Y36" s="57"/>
      <c r="Z36" s="60"/>
      <c r="AA36" s="61"/>
      <c r="AB36" s="61"/>
      <c r="AC36" s="61"/>
      <c r="AD36" s="61"/>
      <c r="AE36" s="63"/>
      <c r="AF36" s="64"/>
      <c r="AG36" s="64"/>
      <c r="AH36" s="64"/>
      <c r="AI36" s="64"/>
      <c r="AJ36" s="72"/>
      <c r="AK36" s="73"/>
      <c r="AL36" s="73"/>
      <c r="AM36" s="73"/>
      <c r="AN36" s="73"/>
      <c r="AO36" s="66"/>
      <c r="AP36" s="56"/>
      <c r="AQ36" s="56"/>
      <c r="AR36" s="56"/>
      <c r="AS36" s="56"/>
      <c r="AT36" s="77"/>
      <c r="AU36" s="77"/>
      <c r="AV36" s="77"/>
      <c r="AW36" s="77"/>
      <c r="AX36" s="57"/>
      <c r="AY36" s="60"/>
      <c r="AZ36" s="61"/>
      <c r="BA36" s="61"/>
      <c r="BB36" s="61"/>
      <c r="BC36" s="61"/>
      <c r="BD36" s="63"/>
      <c r="BE36" s="64"/>
      <c r="BF36" s="64"/>
      <c r="BG36" s="64"/>
      <c r="BH36" s="64"/>
      <c r="BI36" s="72"/>
      <c r="BJ36" s="73"/>
      <c r="BK36" s="73"/>
      <c r="BL36" s="73"/>
      <c r="BM36" s="73"/>
      <c r="BN36" s="66"/>
      <c r="BO36" s="56"/>
      <c r="BP36" s="56"/>
      <c r="BQ36" s="56"/>
      <c r="BR36" s="56"/>
      <c r="BS36" s="77"/>
      <c r="BT36" s="77"/>
      <c r="BU36" s="77"/>
      <c r="BV36" s="77"/>
      <c r="BW36" s="57"/>
      <c r="BX36" s="60"/>
      <c r="BY36" s="61"/>
      <c r="BZ36" s="61"/>
      <c r="CA36" s="61"/>
      <c r="CB36" s="61"/>
      <c r="CC36" s="74"/>
    </row>
    <row r="37" spans="2:81" ht="30">
      <c r="B37" s="47" t="s">
        <v>899</v>
      </c>
      <c r="C37" s="48" t="s">
        <v>1639</v>
      </c>
      <c r="D37" s="49" t="s">
        <v>1642</v>
      </c>
      <c r="E37" s="70" t="s">
        <v>1643</v>
      </c>
      <c r="F37" s="71" t="s">
        <v>1606</v>
      </c>
      <c r="G37" s="52" t="s">
        <v>1636</v>
      </c>
      <c r="H37" s="49" t="s">
        <v>0</v>
      </c>
      <c r="I37" s="49" t="s">
        <v>1637</v>
      </c>
      <c r="J37" s="49" t="s">
        <v>1638</v>
      </c>
      <c r="K37" s="72"/>
      <c r="L37" s="73"/>
      <c r="M37" s="73"/>
      <c r="N37" s="73"/>
      <c r="O37" s="73"/>
      <c r="P37" s="75" t="s">
        <v>860</v>
      </c>
      <c r="Q37" s="56"/>
      <c r="R37" s="56"/>
      <c r="S37" s="55" t="s">
        <v>861</v>
      </c>
      <c r="T37" s="56"/>
      <c r="U37" s="77"/>
      <c r="V37" s="77"/>
      <c r="W37" s="77"/>
      <c r="X37" s="77"/>
      <c r="Y37" s="57"/>
      <c r="Z37" s="60"/>
      <c r="AA37" s="61"/>
      <c r="AB37" s="61"/>
      <c r="AC37" s="61"/>
      <c r="AD37" s="61"/>
      <c r="AE37" s="63"/>
      <c r="AF37" s="64"/>
      <c r="AG37" s="64"/>
      <c r="AH37" s="64"/>
      <c r="AI37" s="64"/>
      <c r="AJ37" s="72"/>
      <c r="AK37" s="73"/>
      <c r="AL37" s="73"/>
      <c r="AM37" s="73"/>
      <c r="AN37" s="73"/>
      <c r="AO37" s="66"/>
      <c r="AP37" s="56"/>
      <c r="AQ37" s="56"/>
      <c r="AR37" s="56"/>
      <c r="AS37" s="56"/>
      <c r="AT37" s="77"/>
      <c r="AU37" s="77"/>
      <c r="AV37" s="77"/>
      <c r="AW37" s="77"/>
      <c r="AX37" s="57"/>
      <c r="AY37" s="60"/>
      <c r="AZ37" s="61"/>
      <c r="BA37" s="61"/>
      <c r="BB37" s="61"/>
      <c r="BC37" s="61"/>
      <c r="BD37" s="63"/>
      <c r="BE37" s="64"/>
      <c r="BF37" s="64"/>
      <c r="BG37" s="64"/>
      <c r="BH37" s="64"/>
      <c r="BI37" s="72"/>
      <c r="BJ37" s="73"/>
      <c r="BK37" s="73"/>
      <c r="BL37" s="73"/>
      <c r="BM37" s="73"/>
      <c r="BN37" s="66"/>
      <c r="BO37" s="56"/>
      <c r="BP37" s="56"/>
      <c r="BQ37" s="56"/>
      <c r="BR37" s="56"/>
      <c r="BS37" s="77"/>
      <c r="BT37" s="77"/>
      <c r="BU37" s="77"/>
      <c r="BV37" s="77"/>
      <c r="BW37" s="57"/>
      <c r="BX37" s="60"/>
      <c r="BY37" s="61"/>
      <c r="BZ37" s="61"/>
      <c r="CA37" s="61"/>
      <c r="CB37" s="61"/>
      <c r="CC37" s="74"/>
    </row>
    <row r="38" spans="2:81" ht="30">
      <c r="B38" s="47" t="s">
        <v>899</v>
      </c>
      <c r="C38" s="48" t="s">
        <v>1639</v>
      </c>
      <c r="D38" s="49" t="s">
        <v>1644</v>
      </c>
      <c r="E38" s="70" t="s">
        <v>1645</v>
      </c>
      <c r="F38" s="71" t="s">
        <v>1606</v>
      </c>
      <c r="G38" s="52" t="s">
        <v>1636</v>
      </c>
      <c r="H38" s="49" t="s">
        <v>0</v>
      </c>
      <c r="I38" s="49" t="s">
        <v>1637</v>
      </c>
      <c r="J38" s="49" t="s">
        <v>1638</v>
      </c>
      <c r="K38" s="72"/>
      <c r="L38" s="73"/>
      <c r="M38" s="73"/>
      <c r="N38" s="73"/>
      <c r="O38" s="73"/>
      <c r="P38" s="75" t="s">
        <v>860</v>
      </c>
      <c r="Q38" s="56"/>
      <c r="R38" s="56"/>
      <c r="S38" s="55" t="s">
        <v>861</v>
      </c>
      <c r="T38" s="56"/>
      <c r="U38" s="77"/>
      <c r="V38" s="77"/>
      <c r="W38" s="77"/>
      <c r="X38" s="77"/>
      <c r="Y38" s="57"/>
      <c r="Z38" s="60"/>
      <c r="AA38" s="61"/>
      <c r="AB38" s="61"/>
      <c r="AC38" s="61"/>
      <c r="AD38" s="61"/>
      <c r="AE38" s="63"/>
      <c r="AF38" s="64"/>
      <c r="AG38" s="64"/>
      <c r="AH38" s="64"/>
      <c r="AI38" s="64"/>
      <c r="AJ38" s="72"/>
      <c r="AK38" s="73"/>
      <c r="AL38" s="73"/>
      <c r="AM38" s="73"/>
      <c r="AN38" s="73"/>
      <c r="AO38" s="66"/>
      <c r="AP38" s="56"/>
      <c r="AQ38" s="56"/>
      <c r="AR38" s="56"/>
      <c r="AS38" s="56"/>
      <c r="AT38" s="77"/>
      <c r="AU38" s="77"/>
      <c r="AV38" s="77"/>
      <c r="AW38" s="77"/>
      <c r="AX38" s="57"/>
      <c r="AY38" s="60"/>
      <c r="AZ38" s="61"/>
      <c r="BA38" s="61"/>
      <c r="BB38" s="61"/>
      <c r="BC38" s="61"/>
      <c r="BD38" s="63"/>
      <c r="BE38" s="64"/>
      <c r="BF38" s="64"/>
      <c r="BG38" s="64"/>
      <c r="BH38" s="64"/>
      <c r="BI38" s="72"/>
      <c r="BJ38" s="73"/>
      <c r="BK38" s="73"/>
      <c r="BL38" s="73"/>
      <c r="BM38" s="73"/>
      <c r="BN38" s="66"/>
      <c r="BO38" s="56"/>
      <c r="BP38" s="56"/>
      <c r="BQ38" s="56"/>
      <c r="BR38" s="56"/>
      <c r="BS38" s="77"/>
      <c r="BT38" s="77"/>
      <c r="BU38" s="77"/>
      <c r="BV38" s="77"/>
      <c r="BW38" s="57"/>
      <c r="BX38" s="60"/>
      <c r="BY38" s="61"/>
      <c r="BZ38" s="61"/>
      <c r="CA38" s="61"/>
      <c r="CB38" s="61"/>
      <c r="CC38" s="74"/>
    </row>
    <row r="39" spans="2:81" ht="30">
      <c r="B39" s="47" t="s">
        <v>899</v>
      </c>
      <c r="C39" s="48" t="s">
        <v>1639</v>
      </c>
      <c r="D39" s="49" t="s">
        <v>1646</v>
      </c>
      <c r="E39" s="70" t="s">
        <v>1647</v>
      </c>
      <c r="F39" s="71" t="s">
        <v>1606</v>
      </c>
      <c r="G39" s="52" t="s">
        <v>1636</v>
      </c>
      <c r="H39" s="49" t="s">
        <v>0</v>
      </c>
      <c r="I39" s="49" t="s">
        <v>1637</v>
      </c>
      <c r="J39" s="49" t="s">
        <v>1638</v>
      </c>
      <c r="K39" s="72"/>
      <c r="L39" s="73"/>
      <c r="M39" s="73"/>
      <c r="N39" s="73"/>
      <c r="O39" s="73"/>
      <c r="P39" s="75" t="s">
        <v>860</v>
      </c>
      <c r="Q39" s="56"/>
      <c r="R39" s="56"/>
      <c r="S39" s="55" t="s">
        <v>861</v>
      </c>
      <c r="T39" s="56"/>
      <c r="U39" s="77"/>
      <c r="V39" s="77"/>
      <c r="W39" s="77"/>
      <c r="X39" s="77"/>
      <c r="Y39" s="57"/>
      <c r="Z39" s="60"/>
      <c r="AA39" s="61"/>
      <c r="AB39" s="61"/>
      <c r="AC39" s="61"/>
      <c r="AD39" s="61"/>
      <c r="AE39" s="63"/>
      <c r="AF39" s="64"/>
      <c r="AG39" s="64"/>
      <c r="AH39" s="64"/>
      <c r="AI39" s="64"/>
      <c r="AJ39" s="72"/>
      <c r="AK39" s="73"/>
      <c r="AL39" s="73"/>
      <c r="AM39" s="73"/>
      <c r="AN39" s="73"/>
      <c r="AO39" s="66"/>
      <c r="AP39" s="56"/>
      <c r="AQ39" s="56"/>
      <c r="AR39" s="56"/>
      <c r="AS39" s="56"/>
      <c r="AT39" s="77"/>
      <c r="AU39" s="77"/>
      <c r="AV39" s="77"/>
      <c r="AW39" s="77"/>
      <c r="AX39" s="57"/>
      <c r="AY39" s="60"/>
      <c r="AZ39" s="61"/>
      <c r="BA39" s="61"/>
      <c r="BB39" s="61"/>
      <c r="BC39" s="61"/>
      <c r="BD39" s="63"/>
      <c r="BE39" s="64"/>
      <c r="BF39" s="64"/>
      <c r="BG39" s="64"/>
      <c r="BH39" s="64"/>
      <c r="BI39" s="72"/>
      <c r="BJ39" s="73"/>
      <c r="BK39" s="73"/>
      <c r="BL39" s="73"/>
      <c r="BM39" s="73"/>
      <c r="BN39" s="66"/>
      <c r="BO39" s="56"/>
      <c r="BP39" s="56"/>
      <c r="BQ39" s="56"/>
      <c r="BR39" s="56"/>
      <c r="BS39" s="77"/>
      <c r="BT39" s="77"/>
      <c r="BU39" s="77"/>
      <c r="BV39" s="77"/>
      <c r="BW39" s="57"/>
      <c r="BX39" s="60"/>
      <c r="BY39" s="61"/>
      <c r="BZ39" s="61"/>
      <c r="CA39" s="61"/>
      <c r="CB39" s="61"/>
      <c r="CC39" s="74"/>
    </row>
    <row r="40" spans="2:81" ht="30">
      <c r="B40" s="47" t="s">
        <v>899</v>
      </c>
      <c r="C40" s="48" t="s">
        <v>1639</v>
      </c>
      <c r="D40" s="49" t="s">
        <v>1648</v>
      </c>
      <c r="E40" s="70" t="s">
        <v>1649</v>
      </c>
      <c r="F40" s="71" t="s">
        <v>1606</v>
      </c>
      <c r="G40" s="52" t="s">
        <v>1636</v>
      </c>
      <c r="H40" s="49" t="s">
        <v>0</v>
      </c>
      <c r="I40" s="49" t="s">
        <v>1637</v>
      </c>
      <c r="J40" s="49" t="s">
        <v>1638</v>
      </c>
      <c r="K40" s="72"/>
      <c r="L40" s="73"/>
      <c r="M40" s="73"/>
      <c r="N40" s="73"/>
      <c r="O40" s="73"/>
      <c r="P40" s="75" t="s">
        <v>860</v>
      </c>
      <c r="Q40" s="56"/>
      <c r="R40" s="56"/>
      <c r="S40" s="55" t="s">
        <v>861</v>
      </c>
      <c r="T40" s="56"/>
      <c r="U40" s="77"/>
      <c r="V40" s="77"/>
      <c r="W40" s="77"/>
      <c r="X40" s="77"/>
      <c r="Y40" s="57"/>
      <c r="Z40" s="60"/>
      <c r="AA40" s="61"/>
      <c r="AB40" s="61"/>
      <c r="AC40" s="61"/>
      <c r="AD40" s="61"/>
      <c r="AE40" s="63"/>
      <c r="AF40" s="64"/>
      <c r="AG40" s="64"/>
      <c r="AH40" s="64"/>
      <c r="AI40" s="64"/>
      <c r="AJ40" s="72"/>
      <c r="AK40" s="73"/>
      <c r="AL40" s="73"/>
      <c r="AM40" s="73"/>
      <c r="AN40" s="73"/>
      <c r="AO40" s="66"/>
      <c r="AP40" s="56"/>
      <c r="AQ40" s="56"/>
      <c r="AR40" s="56"/>
      <c r="AS40" s="56"/>
      <c r="AT40" s="77"/>
      <c r="AU40" s="77"/>
      <c r="AV40" s="77"/>
      <c r="AW40" s="77"/>
      <c r="AX40" s="57"/>
      <c r="AY40" s="60"/>
      <c r="AZ40" s="61"/>
      <c r="BA40" s="61"/>
      <c r="BB40" s="61"/>
      <c r="BC40" s="61"/>
      <c r="BD40" s="63"/>
      <c r="BE40" s="64"/>
      <c r="BF40" s="64"/>
      <c r="BG40" s="64"/>
      <c r="BH40" s="64"/>
      <c r="BI40" s="72"/>
      <c r="BJ40" s="73"/>
      <c r="BK40" s="73"/>
      <c r="BL40" s="73"/>
      <c r="BM40" s="73"/>
      <c r="BN40" s="66"/>
      <c r="BO40" s="56"/>
      <c r="BP40" s="56"/>
      <c r="BQ40" s="56"/>
      <c r="BR40" s="56"/>
      <c r="BS40" s="77"/>
      <c r="BT40" s="77"/>
      <c r="BU40" s="77"/>
      <c r="BV40" s="77"/>
      <c r="BW40" s="57"/>
      <c r="BX40" s="60"/>
      <c r="BY40" s="61"/>
      <c r="BZ40" s="61"/>
      <c r="CA40" s="61"/>
      <c r="CB40" s="61"/>
      <c r="CC40" s="74"/>
    </row>
    <row r="41" spans="2:81" ht="30">
      <c r="B41" s="47" t="s">
        <v>899</v>
      </c>
      <c r="C41" s="48" t="s">
        <v>1639</v>
      </c>
      <c r="D41" s="49" t="s">
        <v>1650</v>
      </c>
      <c r="E41" s="70" t="s">
        <v>1651</v>
      </c>
      <c r="F41" s="71" t="s">
        <v>1606</v>
      </c>
      <c r="G41" s="52" t="s">
        <v>1636</v>
      </c>
      <c r="H41" s="49" t="s">
        <v>0</v>
      </c>
      <c r="I41" s="49" t="s">
        <v>1637</v>
      </c>
      <c r="J41" s="49" t="s">
        <v>1638</v>
      </c>
      <c r="K41" s="72"/>
      <c r="L41" s="73"/>
      <c r="M41" s="73"/>
      <c r="N41" s="73"/>
      <c r="O41" s="73"/>
      <c r="P41" s="75" t="s">
        <v>860</v>
      </c>
      <c r="Q41" s="56"/>
      <c r="R41" s="56"/>
      <c r="S41" s="55" t="s">
        <v>861</v>
      </c>
      <c r="T41" s="56"/>
      <c r="U41" s="77"/>
      <c r="V41" s="77"/>
      <c r="W41" s="77"/>
      <c r="X41" s="77"/>
      <c r="Y41" s="57"/>
      <c r="Z41" s="60"/>
      <c r="AA41" s="61"/>
      <c r="AB41" s="61"/>
      <c r="AC41" s="61"/>
      <c r="AD41" s="61"/>
      <c r="AE41" s="63"/>
      <c r="AF41" s="64"/>
      <c r="AG41" s="64"/>
      <c r="AH41" s="64"/>
      <c r="AI41" s="64"/>
      <c r="AJ41" s="72"/>
      <c r="AK41" s="73"/>
      <c r="AL41" s="73"/>
      <c r="AM41" s="73"/>
      <c r="AN41" s="73"/>
      <c r="AO41" s="66"/>
      <c r="AP41" s="56"/>
      <c r="AQ41" s="56"/>
      <c r="AR41" s="56"/>
      <c r="AS41" s="56"/>
      <c r="AT41" s="77"/>
      <c r="AU41" s="77"/>
      <c r="AV41" s="77"/>
      <c r="AW41" s="77"/>
      <c r="AX41" s="57"/>
      <c r="AY41" s="60"/>
      <c r="AZ41" s="61"/>
      <c r="BA41" s="61"/>
      <c r="BB41" s="61"/>
      <c r="BC41" s="61"/>
      <c r="BD41" s="63"/>
      <c r="BE41" s="64"/>
      <c r="BF41" s="64"/>
      <c r="BG41" s="64"/>
      <c r="BH41" s="64"/>
      <c r="BI41" s="72"/>
      <c r="BJ41" s="73"/>
      <c r="BK41" s="73"/>
      <c r="BL41" s="73"/>
      <c r="BM41" s="73"/>
      <c r="BN41" s="66"/>
      <c r="BO41" s="56"/>
      <c r="BP41" s="56"/>
      <c r="BQ41" s="56"/>
      <c r="BR41" s="56"/>
      <c r="BS41" s="77"/>
      <c r="BT41" s="77"/>
      <c r="BU41" s="77"/>
      <c r="BV41" s="77"/>
      <c r="BW41" s="57"/>
      <c r="BX41" s="60"/>
      <c r="BY41" s="61"/>
      <c r="BZ41" s="61"/>
      <c r="CA41" s="61"/>
      <c r="CB41" s="61"/>
      <c r="CC41" s="74"/>
    </row>
    <row r="42" spans="2:81" ht="30">
      <c r="B42" s="47" t="s">
        <v>899</v>
      </c>
      <c r="C42" s="48" t="s">
        <v>1639</v>
      </c>
      <c r="D42" s="49" t="s">
        <v>1652</v>
      </c>
      <c r="E42" s="70" t="s">
        <v>1653</v>
      </c>
      <c r="F42" s="71" t="s">
        <v>1606</v>
      </c>
      <c r="G42" s="52" t="s">
        <v>1636</v>
      </c>
      <c r="H42" s="49" t="s">
        <v>0</v>
      </c>
      <c r="I42" s="49" t="s">
        <v>1637</v>
      </c>
      <c r="J42" s="49" t="s">
        <v>1638</v>
      </c>
      <c r="K42" s="72"/>
      <c r="L42" s="73"/>
      <c r="M42" s="73"/>
      <c r="N42" s="73"/>
      <c r="O42" s="73"/>
      <c r="P42" s="75" t="s">
        <v>860</v>
      </c>
      <c r="Q42" s="56"/>
      <c r="R42" s="56"/>
      <c r="S42" s="55" t="s">
        <v>861</v>
      </c>
      <c r="T42" s="56"/>
      <c r="U42" s="77"/>
      <c r="V42" s="77"/>
      <c r="W42" s="77"/>
      <c r="X42" s="77"/>
      <c r="Y42" s="57"/>
      <c r="Z42" s="60"/>
      <c r="AA42" s="61"/>
      <c r="AB42" s="61"/>
      <c r="AC42" s="61"/>
      <c r="AD42" s="61"/>
      <c r="AE42" s="63"/>
      <c r="AF42" s="64"/>
      <c r="AG42" s="64"/>
      <c r="AH42" s="64"/>
      <c r="AI42" s="64"/>
      <c r="AJ42" s="72"/>
      <c r="AK42" s="73"/>
      <c r="AL42" s="73"/>
      <c r="AM42" s="73"/>
      <c r="AN42" s="73"/>
      <c r="AO42" s="66"/>
      <c r="AP42" s="56"/>
      <c r="AQ42" s="56"/>
      <c r="AR42" s="56"/>
      <c r="AS42" s="56"/>
      <c r="AT42" s="77"/>
      <c r="AU42" s="77"/>
      <c r="AV42" s="77"/>
      <c r="AW42" s="77"/>
      <c r="AX42" s="57"/>
      <c r="AY42" s="60"/>
      <c r="AZ42" s="61"/>
      <c r="BA42" s="61"/>
      <c r="BB42" s="61"/>
      <c r="BC42" s="61"/>
      <c r="BD42" s="63"/>
      <c r="BE42" s="64"/>
      <c r="BF42" s="64"/>
      <c r="BG42" s="64"/>
      <c r="BH42" s="64"/>
      <c r="BI42" s="72"/>
      <c r="BJ42" s="73"/>
      <c r="BK42" s="73"/>
      <c r="BL42" s="73"/>
      <c r="BM42" s="73"/>
      <c r="BN42" s="66"/>
      <c r="BO42" s="56"/>
      <c r="BP42" s="56"/>
      <c r="BQ42" s="56"/>
      <c r="BR42" s="56"/>
      <c r="BS42" s="77"/>
      <c r="BT42" s="77"/>
      <c r="BU42" s="77"/>
      <c r="BV42" s="77"/>
      <c r="BW42" s="57"/>
      <c r="BX42" s="60"/>
      <c r="BY42" s="61"/>
      <c r="BZ42" s="61"/>
      <c r="CA42" s="61"/>
      <c r="CB42" s="61"/>
      <c r="CC42" s="74"/>
    </row>
    <row r="43" spans="2:81" ht="30">
      <c r="B43" s="47" t="s">
        <v>899</v>
      </c>
      <c r="C43" s="48" t="s">
        <v>1639</v>
      </c>
      <c r="D43" s="49" t="s">
        <v>1654</v>
      </c>
      <c r="E43" s="70" t="s">
        <v>1655</v>
      </c>
      <c r="F43" s="71" t="s">
        <v>1606</v>
      </c>
      <c r="G43" s="52" t="s">
        <v>1636</v>
      </c>
      <c r="H43" s="49" t="s">
        <v>0</v>
      </c>
      <c r="I43" s="49" t="s">
        <v>1637</v>
      </c>
      <c r="J43" s="49" t="s">
        <v>1638</v>
      </c>
      <c r="K43" s="72"/>
      <c r="L43" s="73"/>
      <c r="M43" s="73"/>
      <c r="N43" s="73"/>
      <c r="O43" s="73"/>
      <c r="P43" s="75" t="s">
        <v>860</v>
      </c>
      <c r="Q43" s="56"/>
      <c r="R43" s="56"/>
      <c r="S43" s="55" t="s">
        <v>861</v>
      </c>
      <c r="T43" s="56"/>
      <c r="U43" s="77"/>
      <c r="V43" s="77"/>
      <c r="W43" s="77"/>
      <c r="X43" s="77"/>
      <c r="Y43" s="57"/>
      <c r="Z43" s="60"/>
      <c r="AA43" s="61"/>
      <c r="AB43" s="61"/>
      <c r="AC43" s="61"/>
      <c r="AD43" s="61"/>
      <c r="AE43" s="63"/>
      <c r="AF43" s="64"/>
      <c r="AG43" s="64"/>
      <c r="AH43" s="64"/>
      <c r="AI43" s="64"/>
      <c r="AJ43" s="72"/>
      <c r="AK43" s="73"/>
      <c r="AL43" s="73"/>
      <c r="AM43" s="73"/>
      <c r="AN43" s="73"/>
      <c r="AO43" s="66"/>
      <c r="AP43" s="56"/>
      <c r="AQ43" s="56"/>
      <c r="AR43" s="56"/>
      <c r="AS43" s="56"/>
      <c r="AT43" s="77"/>
      <c r="AU43" s="77"/>
      <c r="AV43" s="77"/>
      <c r="AW43" s="77"/>
      <c r="AX43" s="57"/>
      <c r="AY43" s="60"/>
      <c r="AZ43" s="61"/>
      <c r="BA43" s="61"/>
      <c r="BB43" s="61"/>
      <c r="BC43" s="61"/>
      <c r="BD43" s="63"/>
      <c r="BE43" s="64"/>
      <c r="BF43" s="64"/>
      <c r="BG43" s="64"/>
      <c r="BH43" s="64"/>
      <c r="BI43" s="72"/>
      <c r="BJ43" s="73"/>
      <c r="BK43" s="73"/>
      <c r="BL43" s="73"/>
      <c r="BM43" s="73"/>
      <c r="BN43" s="66"/>
      <c r="BO43" s="56"/>
      <c r="BP43" s="56"/>
      <c r="BQ43" s="56"/>
      <c r="BR43" s="56"/>
      <c r="BS43" s="77"/>
      <c r="BT43" s="77"/>
      <c r="BU43" s="77"/>
      <c r="BV43" s="77"/>
      <c r="BW43" s="57"/>
      <c r="BX43" s="60"/>
      <c r="BY43" s="61"/>
      <c r="BZ43" s="61"/>
      <c r="CA43" s="61"/>
      <c r="CB43" s="61"/>
      <c r="CC43" s="74"/>
    </row>
    <row r="44" spans="2:81" ht="30">
      <c r="B44" s="47" t="s">
        <v>899</v>
      </c>
      <c r="C44" s="48" t="s">
        <v>1639</v>
      </c>
      <c r="D44" s="49" t="s">
        <v>1656</v>
      </c>
      <c r="E44" s="70" t="s">
        <v>1657</v>
      </c>
      <c r="F44" s="71" t="s">
        <v>1606</v>
      </c>
      <c r="G44" s="52" t="s">
        <v>1636</v>
      </c>
      <c r="H44" s="49" t="s">
        <v>0</v>
      </c>
      <c r="I44" s="49" t="s">
        <v>1637</v>
      </c>
      <c r="J44" s="49" t="s">
        <v>1638</v>
      </c>
      <c r="K44" s="72"/>
      <c r="L44" s="73"/>
      <c r="M44" s="73"/>
      <c r="N44" s="73"/>
      <c r="O44" s="73"/>
      <c r="P44" s="75" t="s">
        <v>860</v>
      </c>
      <c r="Q44" s="56"/>
      <c r="R44" s="56"/>
      <c r="S44" s="55" t="s">
        <v>861</v>
      </c>
      <c r="T44" s="56"/>
      <c r="U44" s="77"/>
      <c r="V44" s="77"/>
      <c r="W44" s="77"/>
      <c r="X44" s="77"/>
      <c r="Y44" s="57"/>
      <c r="Z44" s="60"/>
      <c r="AA44" s="61"/>
      <c r="AB44" s="61"/>
      <c r="AC44" s="61"/>
      <c r="AD44" s="61"/>
      <c r="AE44" s="63"/>
      <c r="AF44" s="64"/>
      <c r="AG44" s="64"/>
      <c r="AH44" s="64"/>
      <c r="AI44" s="64"/>
      <c r="AJ44" s="72"/>
      <c r="AK44" s="73"/>
      <c r="AL44" s="73"/>
      <c r="AM44" s="73"/>
      <c r="AN44" s="73"/>
      <c r="AO44" s="66"/>
      <c r="AP44" s="56"/>
      <c r="AQ44" s="56"/>
      <c r="AR44" s="56"/>
      <c r="AS44" s="56"/>
      <c r="AT44" s="77"/>
      <c r="AU44" s="77"/>
      <c r="AV44" s="77"/>
      <c r="AW44" s="77"/>
      <c r="AX44" s="57"/>
      <c r="AY44" s="60"/>
      <c r="AZ44" s="61"/>
      <c r="BA44" s="61"/>
      <c r="BB44" s="61"/>
      <c r="BC44" s="61"/>
      <c r="BD44" s="63"/>
      <c r="BE44" s="64"/>
      <c r="BF44" s="64"/>
      <c r="BG44" s="64"/>
      <c r="BH44" s="64"/>
      <c r="BI44" s="72"/>
      <c r="BJ44" s="73"/>
      <c r="BK44" s="73"/>
      <c r="BL44" s="73"/>
      <c r="BM44" s="73"/>
      <c r="BN44" s="66"/>
      <c r="BO44" s="56"/>
      <c r="BP44" s="56"/>
      <c r="BQ44" s="56"/>
      <c r="BR44" s="56"/>
      <c r="BS44" s="77"/>
      <c r="BT44" s="77"/>
      <c r="BU44" s="77"/>
      <c r="BV44" s="77"/>
      <c r="BW44" s="57"/>
      <c r="BX44" s="60"/>
      <c r="BY44" s="61"/>
      <c r="BZ44" s="61"/>
      <c r="CA44" s="61"/>
      <c r="CB44" s="61"/>
      <c r="CC44" s="74"/>
    </row>
    <row r="45" spans="2:81" ht="30">
      <c r="B45" s="47" t="s">
        <v>899</v>
      </c>
      <c r="C45" s="48" t="s">
        <v>1639</v>
      </c>
      <c r="D45" s="49" t="s">
        <v>1658</v>
      </c>
      <c r="E45" s="70" t="s">
        <v>1659</v>
      </c>
      <c r="F45" s="71" t="s">
        <v>1606</v>
      </c>
      <c r="G45" s="52" t="s">
        <v>1636</v>
      </c>
      <c r="H45" s="49" t="s">
        <v>0</v>
      </c>
      <c r="I45" s="49" t="s">
        <v>1637</v>
      </c>
      <c r="J45" s="49" t="s">
        <v>1638</v>
      </c>
      <c r="K45" s="72"/>
      <c r="L45" s="73"/>
      <c r="M45" s="73"/>
      <c r="N45" s="73"/>
      <c r="O45" s="73"/>
      <c r="P45" s="75" t="s">
        <v>860</v>
      </c>
      <c r="Q45" s="56"/>
      <c r="R45" s="56"/>
      <c r="S45" s="55" t="s">
        <v>861</v>
      </c>
      <c r="T45" s="56"/>
      <c r="U45" s="77"/>
      <c r="V45" s="77"/>
      <c r="W45" s="77"/>
      <c r="X45" s="77"/>
      <c r="Y45" s="57"/>
      <c r="Z45" s="60"/>
      <c r="AA45" s="61"/>
      <c r="AB45" s="61"/>
      <c r="AC45" s="61"/>
      <c r="AD45" s="61"/>
      <c r="AE45" s="63"/>
      <c r="AF45" s="64"/>
      <c r="AG45" s="64"/>
      <c r="AH45" s="64"/>
      <c r="AI45" s="64"/>
      <c r="AJ45" s="72"/>
      <c r="AK45" s="73"/>
      <c r="AL45" s="73"/>
      <c r="AM45" s="73"/>
      <c r="AN45" s="73"/>
      <c r="AO45" s="66"/>
      <c r="AP45" s="56"/>
      <c r="AQ45" s="56"/>
      <c r="AR45" s="56"/>
      <c r="AS45" s="56"/>
      <c r="AT45" s="77"/>
      <c r="AU45" s="77"/>
      <c r="AV45" s="77"/>
      <c r="AW45" s="77"/>
      <c r="AX45" s="57"/>
      <c r="AY45" s="60"/>
      <c r="AZ45" s="61"/>
      <c r="BA45" s="61"/>
      <c r="BB45" s="61"/>
      <c r="BC45" s="61"/>
      <c r="BD45" s="63"/>
      <c r="BE45" s="64"/>
      <c r="BF45" s="64"/>
      <c r="BG45" s="64"/>
      <c r="BH45" s="64"/>
      <c r="BI45" s="72"/>
      <c r="BJ45" s="73"/>
      <c r="BK45" s="73"/>
      <c r="BL45" s="73"/>
      <c r="BM45" s="73"/>
      <c r="BN45" s="66"/>
      <c r="BO45" s="56"/>
      <c r="BP45" s="56"/>
      <c r="BQ45" s="56"/>
      <c r="BR45" s="56"/>
      <c r="BS45" s="77"/>
      <c r="BT45" s="77"/>
      <c r="BU45" s="77"/>
      <c r="BV45" s="77"/>
      <c r="BW45" s="57"/>
      <c r="BX45" s="60"/>
      <c r="BY45" s="61"/>
      <c r="BZ45" s="61"/>
      <c r="CA45" s="61"/>
      <c r="CB45" s="61"/>
      <c r="CC45" s="74"/>
    </row>
    <row r="46" spans="2:81" ht="30">
      <c r="B46" s="47" t="s">
        <v>899</v>
      </c>
      <c r="C46" s="48" t="s">
        <v>1639</v>
      </c>
      <c r="D46" s="49" t="s">
        <v>1660</v>
      </c>
      <c r="E46" s="70" t="s">
        <v>1661</v>
      </c>
      <c r="F46" s="71" t="s">
        <v>1606</v>
      </c>
      <c r="G46" s="52" t="s">
        <v>1636</v>
      </c>
      <c r="H46" s="49" t="s">
        <v>0</v>
      </c>
      <c r="I46" s="49" t="s">
        <v>1637</v>
      </c>
      <c r="J46" s="49" t="s">
        <v>1638</v>
      </c>
      <c r="K46" s="72"/>
      <c r="L46" s="73"/>
      <c r="M46" s="73"/>
      <c r="N46" s="73"/>
      <c r="O46" s="73"/>
      <c r="P46" s="75" t="s">
        <v>860</v>
      </c>
      <c r="Q46" s="56"/>
      <c r="R46" s="56"/>
      <c r="S46" s="55" t="s">
        <v>861</v>
      </c>
      <c r="T46" s="56"/>
      <c r="U46" s="77"/>
      <c r="V46" s="77"/>
      <c r="W46" s="77"/>
      <c r="X46" s="77"/>
      <c r="Y46" s="57"/>
      <c r="Z46" s="60"/>
      <c r="AA46" s="61"/>
      <c r="AB46" s="61"/>
      <c r="AC46" s="61"/>
      <c r="AD46" s="61"/>
      <c r="AE46" s="63"/>
      <c r="AF46" s="64"/>
      <c r="AG46" s="64"/>
      <c r="AH46" s="64"/>
      <c r="AI46" s="64"/>
      <c r="AJ46" s="72"/>
      <c r="AK46" s="73"/>
      <c r="AL46" s="73"/>
      <c r="AM46" s="73"/>
      <c r="AN46" s="73"/>
      <c r="AO46" s="66"/>
      <c r="AP46" s="56"/>
      <c r="AQ46" s="56"/>
      <c r="AR46" s="56"/>
      <c r="AS46" s="56"/>
      <c r="AT46" s="77"/>
      <c r="AU46" s="77"/>
      <c r="AV46" s="77"/>
      <c r="AW46" s="77"/>
      <c r="AX46" s="57"/>
      <c r="AY46" s="60"/>
      <c r="AZ46" s="61"/>
      <c r="BA46" s="61"/>
      <c r="BB46" s="61"/>
      <c r="BC46" s="61"/>
      <c r="BD46" s="63"/>
      <c r="BE46" s="64"/>
      <c r="BF46" s="64"/>
      <c r="BG46" s="64"/>
      <c r="BH46" s="64"/>
      <c r="BI46" s="72"/>
      <c r="BJ46" s="73"/>
      <c r="BK46" s="73"/>
      <c r="BL46" s="73"/>
      <c r="BM46" s="73"/>
      <c r="BN46" s="66"/>
      <c r="BO46" s="56"/>
      <c r="BP46" s="56"/>
      <c r="BQ46" s="56"/>
      <c r="BR46" s="56"/>
      <c r="BS46" s="77"/>
      <c r="BT46" s="77"/>
      <c r="BU46" s="77"/>
      <c r="BV46" s="77"/>
      <c r="BW46" s="57"/>
      <c r="BX46" s="60"/>
      <c r="BY46" s="61"/>
      <c r="BZ46" s="61"/>
      <c r="CA46" s="61"/>
      <c r="CB46" s="61"/>
      <c r="CC46" s="74"/>
    </row>
    <row r="47" spans="2:81" ht="30">
      <c r="B47" s="47" t="s">
        <v>899</v>
      </c>
      <c r="C47" s="48" t="s">
        <v>1639</v>
      </c>
      <c r="D47" s="49" t="s">
        <v>1662</v>
      </c>
      <c r="E47" s="70" t="s">
        <v>1663</v>
      </c>
      <c r="F47" s="71" t="s">
        <v>1606</v>
      </c>
      <c r="G47" s="52" t="s">
        <v>1636</v>
      </c>
      <c r="H47" s="49" t="s">
        <v>0</v>
      </c>
      <c r="I47" s="49" t="s">
        <v>1637</v>
      </c>
      <c r="J47" s="49" t="s">
        <v>1638</v>
      </c>
      <c r="K47" s="72"/>
      <c r="L47" s="73"/>
      <c r="M47" s="73"/>
      <c r="N47" s="73"/>
      <c r="O47" s="73"/>
      <c r="P47" s="75" t="s">
        <v>860</v>
      </c>
      <c r="Q47" s="56"/>
      <c r="R47" s="56"/>
      <c r="S47" s="55" t="s">
        <v>861</v>
      </c>
      <c r="T47" s="56"/>
      <c r="U47" s="77"/>
      <c r="V47" s="77"/>
      <c r="W47" s="77"/>
      <c r="X47" s="77"/>
      <c r="Y47" s="57"/>
      <c r="Z47" s="60"/>
      <c r="AA47" s="61"/>
      <c r="AB47" s="61"/>
      <c r="AC47" s="61"/>
      <c r="AD47" s="61"/>
      <c r="AE47" s="63"/>
      <c r="AF47" s="64"/>
      <c r="AG47" s="64"/>
      <c r="AH47" s="64"/>
      <c r="AI47" s="64"/>
      <c r="AJ47" s="72"/>
      <c r="AK47" s="73"/>
      <c r="AL47" s="73"/>
      <c r="AM47" s="73"/>
      <c r="AN47" s="73"/>
      <c r="AO47" s="66"/>
      <c r="AP47" s="56"/>
      <c r="AQ47" s="56"/>
      <c r="AR47" s="56"/>
      <c r="AS47" s="56"/>
      <c r="AT47" s="77"/>
      <c r="AU47" s="77"/>
      <c r="AV47" s="77"/>
      <c r="AW47" s="77"/>
      <c r="AX47" s="57"/>
      <c r="AY47" s="60"/>
      <c r="AZ47" s="61"/>
      <c r="BA47" s="61"/>
      <c r="BB47" s="61"/>
      <c r="BC47" s="61"/>
      <c r="BD47" s="63"/>
      <c r="BE47" s="64"/>
      <c r="BF47" s="64"/>
      <c r="BG47" s="64"/>
      <c r="BH47" s="64"/>
      <c r="BI47" s="72"/>
      <c r="BJ47" s="73"/>
      <c r="BK47" s="73"/>
      <c r="BL47" s="73"/>
      <c r="BM47" s="73"/>
      <c r="BN47" s="66"/>
      <c r="BO47" s="56"/>
      <c r="BP47" s="56"/>
      <c r="BQ47" s="56"/>
      <c r="BR47" s="56"/>
      <c r="BS47" s="77"/>
      <c r="BT47" s="77"/>
      <c r="BU47" s="77"/>
      <c r="BV47" s="77"/>
      <c r="BW47" s="57"/>
      <c r="BX47" s="60"/>
      <c r="BY47" s="61"/>
      <c r="BZ47" s="61"/>
      <c r="CA47" s="61"/>
      <c r="CB47" s="61"/>
      <c r="CC47" s="74"/>
    </row>
    <row r="48" spans="2:81" ht="30">
      <c r="B48" s="47" t="s">
        <v>899</v>
      </c>
      <c r="C48" s="48" t="s">
        <v>1639</v>
      </c>
      <c r="D48" s="49" t="s">
        <v>1664</v>
      </c>
      <c r="E48" s="70" t="s">
        <v>1665</v>
      </c>
      <c r="F48" s="71" t="s">
        <v>1606</v>
      </c>
      <c r="G48" s="52" t="s">
        <v>1636</v>
      </c>
      <c r="H48" s="49" t="s">
        <v>0</v>
      </c>
      <c r="I48" s="49" t="s">
        <v>1637</v>
      </c>
      <c r="J48" s="49" t="s">
        <v>1638</v>
      </c>
      <c r="K48" s="72"/>
      <c r="L48" s="73"/>
      <c r="M48" s="73"/>
      <c r="N48" s="73"/>
      <c r="O48" s="73"/>
      <c r="P48" s="75" t="s">
        <v>860</v>
      </c>
      <c r="Q48" s="56"/>
      <c r="R48" s="56"/>
      <c r="S48" s="55" t="s">
        <v>861</v>
      </c>
      <c r="T48" s="56"/>
      <c r="U48" s="77"/>
      <c r="V48" s="77"/>
      <c r="W48" s="77"/>
      <c r="X48" s="77"/>
      <c r="Y48" s="57"/>
      <c r="Z48" s="60"/>
      <c r="AA48" s="61"/>
      <c r="AB48" s="61"/>
      <c r="AC48" s="61"/>
      <c r="AD48" s="61"/>
      <c r="AE48" s="63"/>
      <c r="AF48" s="64"/>
      <c r="AG48" s="64"/>
      <c r="AH48" s="64"/>
      <c r="AI48" s="64"/>
      <c r="AJ48" s="72"/>
      <c r="AK48" s="73"/>
      <c r="AL48" s="73"/>
      <c r="AM48" s="73"/>
      <c r="AN48" s="73"/>
      <c r="AO48" s="66"/>
      <c r="AP48" s="56"/>
      <c r="AQ48" s="56"/>
      <c r="AR48" s="56"/>
      <c r="AS48" s="56"/>
      <c r="AT48" s="77"/>
      <c r="AU48" s="77"/>
      <c r="AV48" s="77"/>
      <c r="AW48" s="77"/>
      <c r="AX48" s="57"/>
      <c r="AY48" s="60"/>
      <c r="AZ48" s="61"/>
      <c r="BA48" s="61"/>
      <c r="BB48" s="61"/>
      <c r="BC48" s="61"/>
      <c r="BD48" s="63"/>
      <c r="BE48" s="64"/>
      <c r="BF48" s="64"/>
      <c r="BG48" s="64"/>
      <c r="BH48" s="64"/>
      <c r="BI48" s="72"/>
      <c r="BJ48" s="73"/>
      <c r="BK48" s="73"/>
      <c r="BL48" s="73"/>
      <c r="BM48" s="73"/>
      <c r="BN48" s="66"/>
      <c r="BO48" s="56"/>
      <c r="BP48" s="56"/>
      <c r="BQ48" s="56"/>
      <c r="BR48" s="56"/>
      <c r="BS48" s="77"/>
      <c r="BT48" s="77"/>
      <c r="BU48" s="77"/>
      <c r="BV48" s="77"/>
      <c r="BW48" s="57"/>
      <c r="BX48" s="60"/>
      <c r="BY48" s="61"/>
      <c r="BZ48" s="61"/>
      <c r="CA48" s="61"/>
      <c r="CB48" s="61"/>
      <c r="CC48" s="74"/>
    </row>
    <row r="49" spans="2:81" ht="30">
      <c r="B49" s="47" t="s">
        <v>899</v>
      </c>
      <c r="C49" s="48" t="s">
        <v>1639</v>
      </c>
      <c r="D49" s="49" t="s">
        <v>1666</v>
      </c>
      <c r="E49" s="70" t="s">
        <v>1667</v>
      </c>
      <c r="F49" s="71" t="s">
        <v>1606</v>
      </c>
      <c r="G49" s="52" t="s">
        <v>1636</v>
      </c>
      <c r="H49" s="49" t="s">
        <v>0</v>
      </c>
      <c r="I49" s="49" t="s">
        <v>1637</v>
      </c>
      <c r="J49" s="49" t="s">
        <v>1638</v>
      </c>
      <c r="K49" s="72"/>
      <c r="L49" s="73"/>
      <c r="M49" s="73"/>
      <c r="N49" s="73"/>
      <c r="O49" s="73"/>
      <c r="P49" s="75" t="s">
        <v>860</v>
      </c>
      <c r="Q49" s="56"/>
      <c r="R49" s="56"/>
      <c r="S49" s="55" t="s">
        <v>861</v>
      </c>
      <c r="T49" s="56"/>
      <c r="U49" s="54"/>
      <c r="V49" s="77"/>
      <c r="W49" s="80"/>
      <c r="X49" s="77"/>
      <c r="Y49" s="57"/>
      <c r="Z49" s="60"/>
      <c r="AA49" s="61"/>
      <c r="AB49" s="61"/>
      <c r="AC49" s="61"/>
      <c r="AD49" s="61"/>
      <c r="AE49" s="63"/>
      <c r="AF49" s="64"/>
      <c r="AG49" s="64"/>
      <c r="AH49" s="64"/>
      <c r="AI49" s="64"/>
      <c r="AJ49" s="72"/>
      <c r="AK49" s="73"/>
      <c r="AL49" s="73"/>
      <c r="AM49" s="73"/>
      <c r="AN49" s="73"/>
      <c r="AO49" s="66"/>
      <c r="AP49" s="56"/>
      <c r="AQ49" s="56"/>
      <c r="AR49" s="56"/>
      <c r="AS49" s="56"/>
      <c r="AT49" s="77"/>
      <c r="AU49" s="77"/>
      <c r="AV49" s="77"/>
      <c r="AW49" s="77"/>
      <c r="AX49" s="57"/>
      <c r="AY49" s="60"/>
      <c r="AZ49" s="61"/>
      <c r="BA49" s="61"/>
      <c r="BB49" s="61"/>
      <c r="BC49" s="61"/>
      <c r="BD49" s="63"/>
      <c r="BE49" s="64"/>
      <c r="BF49" s="64"/>
      <c r="BG49" s="64"/>
      <c r="BH49" s="64"/>
      <c r="BI49" s="72"/>
      <c r="BJ49" s="73"/>
      <c r="BK49" s="73"/>
      <c r="BL49" s="73"/>
      <c r="BM49" s="73"/>
      <c r="BN49" s="66"/>
      <c r="BO49" s="56"/>
      <c r="BP49" s="56"/>
      <c r="BQ49" s="56"/>
      <c r="BR49" s="56"/>
      <c r="BS49" s="77"/>
      <c r="BT49" s="77"/>
      <c r="BU49" s="77"/>
      <c r="BV49" s="77"/>
      <c r="BW49" s="57"/>
      <c r="BX49" s="60"/>
      <c r="BY49" s="61"/>
      <c r="BZ49" s="61"/>
      <c r="CA49" s="61"/>
      <c r="CB49" s="61"/>
      <c r="CC49" s="74"/>
    </row>
    <row r="50" spans="2:81" ht="30">
      <c r="B50" s="47" t="s">
        <v>864</v>
      </c>
      <c r="C50" s="48" t="s">
        <v>1668</v>
      </c>
      <c r="D50" s="49" t="s">
        <v>1553</v>
      </c>
      <c r="E50" s="70" t="s">
        <v>1669</v>
      </c>
      <c r="F50" s="71" t="s">
        <v>1670</v>
      </c>
      <c r="G50" s="147" t="s">
        <v>1671</v>
      </c>
      <c r="H50" s="49" t="s">
        <v>0</v>
      </c>
      <c r="I50" s="49" t="s">
        <v>1637</v>
      </c>
      <c r="J50" s="49" t="s">
        <v>1638</v>
      </c>
      <c r="K50" s="72"/>
      <c r="L50" s="73"/>
      <c r="M50" s="73"/>
      <c r="N50" s="73"/>
      <c r="O50" s="73"/>
      <c r="P50" s="66"/>
      <c r="Q50" s="56"/>
      <c r="R50" s="79" t="s">
        <v>861</v>
      </c>
      <c r="S50" s="56"/>
      <c r="T50" s="56"/>
      <c r="U50" s="75" t="s">
        <v>860</v>
      </c>
      <c r="V50" s="77"/>
      <c r="W50" s="77"/>
      <c r="X50" s="77"/>
      <c r="Y50" s="55" t="s">
        <v>861</v>
      </c>
      <c r="Z50" s="60"/>
      <c r="AA50" s="61"/>
      <c r="AB50" s="61"/>
      <c r="AC50" s="61"/>
      <c r="AD50" s="61"/>
      <c r="AE50" s="63"/>
      <c r="AF50" s="64"/>
      <c r="AG50" s="64"/>
      <c r="AH50" s="64"/>
      <c r="AI50" s="64"/>
      <c r="AJ50" s="72"/>
      <c r="AK50" s="73"/>
      <c r="AL50" s="73"/>
      <c r="AM50" s="73"/>
      <c r="AN50" s="73"/>
      <c r="AO50" s="66"/>
      <c r="AP50" s="56"/>
      <c r="AQ50" s="56"/>
      <c r="AR50" s="56"/>
      <c r="AS50" s="56"/>
      <c r="AT50" s="77"/>
      <c r="AU50" s="77"/>
      <c r="AV50" s="77"/>
      <c r="AW50" s="77"/>
      <c r="AX50" s="57"/>
      <c r="AY50" s="60"/>
      <c r="AZ50" s="61"/>
      <c r="BA50" s="61"/>
      <c r="BB50" s="61"/>
      <c r="BC50" s="61"/>
      <c r="BD50" s="63"/>
      <c r="BE50" s="64"/>
      <c r="BF50" s="64"/>
      <c r="BG50" s="64"/>
      <c r="BH50" s="64"/>
      <c r="BI50" s="72"/>
      <c r="BJ50" s="73"/>
      <c r="BK50" s="73"/>
      <c r="BL50" s="73"/>
      <c r="BM50" s="73"/>
      <c r="BN50" s="66"/>
      <c r="BO50" s="56"/>
      <c r="BP50" s="56"/>
      <c r="BQ50" s="56"/>
      <c r="BR50" s="56"/>
      <c r="BS50" s="77"/>
      <c r="BT50" s="77"/>
      <c r="BU50" s="77"/>
      <c r="BV50" s="77"/>
      <c r="BW50" s="57"/>
      <c r="BX50" s="60"/>
      <c r="BY50" s="61"/>
      <c r="BZ50" s="61"/>
      <c r="CA50" s="61"/>
      <c r="CB50" s="61"/>
      <c r="CC50" s="74"/>
    </row>
    <row r="51" spans="2:81" ht="30">
      <c r="B51" s="47" t="s">
        <v>864</v>
      </c>
      <c r="C51" s="48" t="s">
        <v>1672</v>
      </c>
      <c r="D51" s="49" t="s">
        <v>1565</v>
      </c>
      <c r="E51" s="70" t="s">
        <v>1566</v>
      </c>
      <c r="F51" s="71" t="s">
        <v>1670</v>
      </c>
      <c r="G51" s="147" t="s">
        <v>1619</v>
      </c>
      <c r="H51" s="49" t="s">
        <v>0</v>
      </c>
      <c r="I51" s="49" t="s">
        <v>1637</v>
      </c>
      <c r="J51" s="49" t="s">
        <v>1638</v>
      </c>
      <c r="K51" s="72"/>
      <c r="L51" s="73"/>
      <c r="M51" s="73"/>
      <c r="N51" s="73"/>
      <c r="O51" s="73"/>
      <c r="P51" s="66"/>
      <c r="Q51" s="56"/>
      <c r="R51" s="56"/>
      <c r="S51" s="56"/>
      <c r="T51" s="56"/>
      <c r="U51" s="75" t="s">
        <v>860</v>
      </c>
      <c r="V51" s="77"/>
      <c r="W51" s="77"/>
      <c r="X51" s="77"/>
      <c r="Y51" s="55" t="s">
        <v>861</v>
      </c>
      <c r="Z51" s="60"/>
      <c r="AA51" s="61"/>
      <c r="AB51" s="61"/>
      <c r="AC51" s="61"/>
      <c r="AD51" s="61"/>
      <c r="AE51" s="63"/>
      <c r="AF51" s="64"/>
      <c r="AG51" s="64"/>
      <c r="AH51" s="64"/>
      <c r="AI51" s="64"/>
      <c r="AJ51" s="72"/>
      <c r="AK51" s="73"/>
      <c r="AL51" s="73"/>
      <c r="AM51" s="73"/>
      <c r="AN51" s="73"/>
      <c r="AO51" s="66"/>
      <c r="AP51" s="56"/>
      <c r="AQ51" s="56"/>
      <c r="AR51" s="56"/>
      <c r="AS51" s="56"/>
      <c r="AT51" s="77"/>
      <c r="AU51" s="77"/>
      <c r="AV51" s="77"/>
      <c r="AW51" s="77"/>
      <c r="AX51" s="57"/>
      <c r="AY51" s="60"/>
      <c r="AZ51" s="61"/>
      <c r="BA51" s="61"/>
      <c r="BB51" s="61"/>
      <c r="BC51" s="61"/>
      <c r="BD51" s="63"/>
      <c r="BE51" s="64"/>
      <c r="BF51" s="64"/>
      <c r="BG51" s="64"/>
      <c r="BH51" s="64"/>
      <c r="BI51" s="72"/>
      <c r="BJ51" s="73"/>
      <c r="BK51" s="73"/>
      <c r="BL51" s="73"/>
      <c r="BM51" s="73"/>
      <c r="BN51" s="66"/>
      <c r="BO51" s="56"/>
      <c r="BP51" s="56"/>
      <c r="BQ51" s="56"/>
      <c r="BR51" s="56"/>
      <c r="BS51" s="77"/>
      <c r="BT51" s="77"/>
      <c r="BU51" s="77"/>
      <c r="BV51" s="77"/>
      <c r="BW51" s="57"/>
      <c r="BX51" s="60"/>
      <c r="BY51" s="61"/>
      <c r="BZ51" s="61"/>
      <c r="CA51" s="61"/>
      <c r="CB51" s="61"/>
      <c r="CC51" s="74"/>
    </row>
    <row r="52" spans="2:81" ht="30">
      <c r="B52" s="47" t="s">
        <v>864</v>
      </c>
      <c r="C52" s="48" t="s">
        <v>1673</v>
      </c>
      <c r="D52" s="49" t="s">
        <v>1674</v>
      </c>
      <c r="E52" s="70" t="s">
        <v>1675</v>
      </c>
      <c r="F52" s="71" t="s">
        <v>1670</v>
      </c>
      <c r="G52" s="147" t="s">
        <v>1671</v>
      </c>
      <c r="H52" s="49" t="s">
        <v>0</v>
      </c>
      <c r="I52" s="49" t="s">
        <v>1637</v>
      </c>
      <c r="J52" s="49" t="s">
        <v>1638</v>
      </c>
      <c r="K52" s="72"/>
      <c r="L52" s="73"/>
      <c r="M52" s="73"/>
      <c r="N52" s="73"/>
      <c r="O52" s="73"/>
      <c r="P52" s="66"/>
      <c r="Q52" s="56"/>
      <c r="R52" s="56"/>
      <c r="S52" s="56"/>
      <c r="T52" s="56"/>
      <c r="U52" s="75" t="s">
        <v>860</v>
      </c>
      <c r="V52" s="77"/>
      <c r="W52" s="77"/>
      <c r="X52" s="77"/>
      <c r="Y52" s="55" t="s">
        <v>861</v>
      </c>
      <c r="Z52" s="60"/>
      <c r="AA52" s="61"/>
      <c r="AB52" s="61"/>
      <c r="AC52" s="61"/>
      <c r="AD52" s="61"/>
      <c r="AE52" s="63"/>
      <c r="AF52" s="64"/>
      <c r="AG52" s="64"/>
      <c r="AH52" s="64"/>
      <c r="AI52" s="64"/>
      <c r="AJ52" s="72"/>
      <c r="AK52" s="73"/>
      <c r="AL52" s="73"/>
      <c r="AM52" s="73"/>
      <c r="AN52" s="73"/>
      <c r="AO52" s="66"/>
      <c r="AP52" s="56"/>
      <c r="AQ52" s="56"/>
      <c r="AR52" s="56"/>
      <c r="AS52" s="56"/>
      <c r="AT52" s="77"/>
      <c r="AU52" s="77"/>
      <c r="AV52" s="77"/>
      <c r="AW52" s="77"/>
      <c r="AX52" s="57"/>
      <c r="AY52" s="60"/>
      <c r="AZ52" s="61"/>
      <c r="BA52" s="61"/>
      <c r="BB52" s="61"/>
      <c r="BC52" s="61"/>
      <c r="BD52" s="63"/>
      <c r="BE52" s="64"/>
      <c r="BF52" s="64"/>
      <c r="BG52" s="64"/>
      <c r="BH52" s="64"/>
      <c r="BI52" s="72"/>
      <c r="BJ52" s="73"/>
      <c r="BK52" s="73"/>
      <c r="BL52" s="73"/>
      <c r="BM52" s="73"/>
      <c r="BN52" s="66"/>
      <c r="BO52" s="56"/>
      <c r="BP52" s="56"/>
      <c r="BQ52" s="56"/>
      <c r="BR52" s="56"/>
      <c r="BS52" s="77"/>
      <c r="BT52" s="77"/>
      <c r="BU52" s="77"/>
      <c r="BV52" s="77"/>
      <c r="BW52" s="57"/>
      <c r="BX52" s="60"/>
      <c r="BY52" s="61"/>
      <c r="BZ52" s="61"/>
      <c r="CA52" s="61"/>
      <c r="CB52" s="61"/>
      <c r="CC52" s="74"/>
    </row>
    <row r="53" spans="2:81" ht="30">
      <c r="B53" s="47" t="s">
        <v>864</v>
      </c>
      <c r="C53" s="48" t="s">
        <v>1673</v>
      </c>
      <c r="D53" s="49" t="s">
        <v>1676</v>
      </c>
      <c r="E53" s="81" t="s">
        <v>1677</v>
      </c>
      <c r="F53" s="82" t="s">
        <v>1670</v>
      </c>
      <c r="G53" s="147" t="s">
        <v>1671</v>
      </c>
      <c r="H53" s="49" t="s">
        <v>0</v>
      </c>
      <c r="I53" s="49" t="s">
        <v>1637</v>
      </c>
      <c r="J53" s="49" t="s">
        <v>1638</v>
      </c>
      <c r="K53" s="84"/>
      <c r="L53" s="85"/>
      <c r="M53" s="85"/>
      <c r="N53" s="85"/>
      <c r="O53" s="85"/>
      <c r="P53" s="92"/>
      <c r="Q53" s="86"/>
      <c r="R53" s="86"/>
      <c r="S53" s="86"/>
      <c r="T53" s="86"/>
      <c r="U53" s="75" t="s">
        <v>860</v>
      </c>
      <c r="V53" s="77"/>
      <c r="W53" s="77"/>
      <c r="X53" s="87"/>
      <c r="Y53" s="55" t="s">
        <v>861</v>
      </c>
      <c r="Z53" s="60"/>
      <c r="AA53" s="61"/>
      <c r="AB53" s="61"/>
      <c r="AC53" s="61"/>
      <c r="AD53" s="61"/>
      <c r="AE53" s="63"/>
      <c r="AF53" s="64"/>
      <c r="AG53" s="64"/>
      <c r="AH53" s="64"/>
      <c r="AI53" s="64"/>
      <c r="AJ53" s="84"/>
      <c r="AK53" s="85"/>
      <c r="AL53" s="85"/>
      <c r="AM53" s="85"/>
      <c r="AN53" s="85"/>
      <c r="AO53" s="92"/>
      <c r="AP53" s="86"/>
      <c r="AQ53" s="86"/>
      <c r="AR53" s="86"/>
      <c r="AS53" s="86"/>
      <c r="AT53" s="87"/>
      <c r="AU53" s="87"/>
      <c r="AV53" s="87"/>
      <c r="AW53" s="87"/>
      <c r="AX53" s="93"/>
      <c r="AY53" s="88"/>
      <c r="AZ53" s="89"/>
      <c r="BA53" s="89"/>
      <c r="BB53" s="89"/>
      <c r="BC53" s="89"/>
      <c r="BD53" s="90"/>
      <c r="BE53" s="91"/>
      <c r="BF53" s="91"/>
      <c r="BG53" s="91"/>
      <c r="BH53" s="91"/>
      <c r="BI53" s="84"/>
      <c r="BJ53" s="85"/>
      <c r="BK53" s="85"/>
      <c r="BL53" s="85"/>
      <c r="BM53" s="85"/>
      <c r="BN53" s="92"/>
      <c r="BO53" s="86"/>
      <c r="BP53" s="86"/>
      <c r="BQ53" s="86"/>
      <c r="BR53" s="86"/>
      <c r="BS53" s="87"/>
      <c r="BT53" s="87"/>
      <c r="BU53" s="87"/>
      <c r="BV53" s="87"/>
      <c r="BW53" s="93"/>
      <c r="BX53" s="88"/>
      <c r="BY53" s="89"/>
      <c r="BZ53" s="89"/>
      <c r="CA53" s="89"/>
      <c r="CB53" s="89"/>
      <c r="CC53" s="94"/>
    </row>
    <row r="54" spans="2:81" ht="30">
      <c r="B54" s="47" t="s">
        <v>864</v>
      </c>
      <c r="C54" s="48" t="s">
        <v>1673</v>
      </c>
      <c r="D54" s="49" t="s">
        <v>1678</v>
      </c>
      <c r="E54" s="70" t="s">
        <v>1679</v>
      </c>
      <c r="F54" s="71" t="s">
        <v>1670</v>
      </c>
      <c r="G54" s="147" t="s">
        <v>1671</v>
      </c>
      <c r="H54" s="49" t="s">
        <v>0</v>
      </c>
      <c r="I54" s="49" t="s">
        <v>1637</v>
      </c>
      <c r="J54" s="49" t="s">
        <v>1638</v>
      </c>
      <c r="K54" s="72"/>
      <c r="L54" s="73"/>
      <c r="M54" s="73"/>
      <c r="N54" s="73"/>
      <c r="O54" s="73"/>
      <c r="P54" s="66"/>
      <c r="Q54" s="56"/>
      <c r="R54" s="56"/>
      <c r="S54" s="56"/>
      <c r="T54" s="56"/>
      <c r="U54" s="75" t="s">
        <v>860</v>
      </c>
      <c r="V54" s="77"/>
      <c r="W54" s="77"/>
      <c r="X54" s="77"/>
      <c r="Y54" s="55" t="s">
        <v>861</v>
      </c>
      <c r="Z54" s="60"/>
      <c r="AA54" s="61"/>
      <c r="AB54" s="61"/>
      <c r="AC54" s="61"/>
      <c r="AD54" s="61"/>
      <c r="AE54" s="63"/>
      <c r="AF54" s="64"/>
      <c r="AG54" s="64"/>
      <c r="AH54" s="64"/>
      <c r="AI54" s="64"/>
      <c r="AJ54" s="72"/>
      <c r="AK54" s="73"/>
      <c r="AL54" s="73"/>
      <c r="AM54" s="73"/>
      <c r="AN54" s="73"/>
      <c r="AO54" s="66"/>
      <c r="AP54" s="56"/>
      <c r="AQ54" s="56"/>
      <c r="AR54" s="56"/>
      <c r="AS54" s="56"/>
      <c r="AT54" s="77"/>
      <c r="AU54" s="77"/>
      <c r="AV54" s="77"/>
      <c r="AW54" s="77"/>
      <c r="AX54" s="57"/>
      <c r="AY54" s="60"/>
      <c r="AZ54" s="61"/>
      <c r="BA54" s="61"/>
      <c r="BB54" s="61"/>
      <c r="BC54" s="61"/>
      <c r="BD54" s="63"/>
      <c r="BE54" s="64"/>
      <c r="BF54" s="64"/>
      <c r="BG54" s="64"/>
      <c r="BH54" s="64"/>
      <c r="BI54" s="72"/>
      <c r="BJ54" s="73"/>
      <c r="BK54" s="73"/>
      <c r="BL54" s="73"/>
      <c r="BM54" s="73"/>
      <c r="BN54" s="66"/>
      <c r="BO54" s="56"/>
      <c r="BP54" s="56"/>
      <c r="BQ54" s="56"/>
      <c r="BR54" s="56"/>
      <c r="BS54" s="77"/>
      <c r="BT54" s="77"/>
      <c r="BU54" s="77"/>
      <c r="BV54" s="77"/>
      <c r="BW54" s="57"/>
      <c r="BX54" s="60"/>
      <c r="BY54" s="61"/>
      <c r="BZ54" s="61"/>
      <c r="CA54" s="61"/>
      <c r="CB54" s="61"/>
      <c r="CC54" s="74"/>
    </row>
    <row r="55" spans="2:81" ht="30">
      <c r="B55" s="47" t="s">
        <v>864</v>
      </c>
      <c r="C55" s="48" t="s">
        <v>1673</v>
      </c>
      <c r="D55" s="49" t="s">
        <v>1680</v>
      </c>
      <c r="E55" s="70" t="s">
        <v>1681</v>
      </c>
      <c r="F55" s="71" t="s">
        <v>1670</v>
      </c>
      <c r="G55" s="147" t="s">
        <v>1671</v>
      </c>
      <c r="H55" s="49" t="s">
        <v>0</v>
      </c>
      <c r="I55" s="49" t="s">
        <v>1637</v>
      </c>
      <c r="J55" s="49" t="s">
        <v>1638</v>
      </c>
      <c r="K55" s="72"/>
      <c r="L55" s="73"/>
      <c r="M55" s="73"/>
      <c r="N55" s="73"/>
      <c r="O55" s="73"/>
      <c r="P55" s="66"/>
      <c r="Q55" s="56"/>
      <c r="R55" s="56"/>
      <c r="S55" s="56"/>
      <c r="T55" s="56"/>
      <c r="U55" s="75" t="s">
        <v>860</v>
      </c>
      <c r="V55" s="77"/>
      <c r="W55" s="77"/>
      <c r="X55" s="77"/>
      <c r="Y55" s="55" t="s">
        <v>861</v>
      </c>
      <c r="Z55" s="60"/>
      <c r="AA55" s="61"/>
      <c r="AB55" s="61"/>
      <c r="AC55" s="61"/>
      <c r="AD55" s="61"/>
      <c r="AE55" s="63"/>
      <c r="AF55" s="64"/>
      <c r="AG55" s="64"/>
      <c r="AH55" s="64"/>
      <c r="AI55" s="64"/>
      <c r="AJ55" s="72"/>
      <c r="AK55" s="73"/>
      <c r="AL55" s="73"/>
      <c r="AM55" s="73"/>
      <c r="AN55" s="73"/>
      <c r="AO55" s="66"/>
      <c r="AP55" s="56"/>
      <c r="AQ55" s="56"/>
      <c r="AR55" s="56"/>
      <c r="AS55" s="56"/>
      <c r="AT55" s="77"/>
      <c r="AU55" s="77"/>
      <c r="AV55" s="77"/>
      <c r="AW55" s="77"/>
      <c r="AX55" s="57"/>
      <c r="AY55" s="60"/>
      <c r="AZ55" s="61"/>
      <c r="BA55" s="61"/>
      <c r="BB55" s="61"/>
      <c r="BC55" s="61"/>
      <c r="BD55" s="63"/>
      <c r="BE55" s="64"/>
      <c r="BF55" s="64"/>
      <c r="BG55" s="64"/>
      <c r="BH55" s="64"/>
      <c r="BI55" s="72"/>
      <c r="BJ55" s="73"/>
      <c r="BK55" s="73"/>
      <c r="BL55" s="73"/>
      <c r="BM55" s="73"/>
      <c r="BN55" s="66"/>
      <c r="BO55" s="56"/>
      <c r="BP55" s="56"/>
      <c r="BQ55" s="56"/>
      <c r="BR55" s="56"/>
      <c r="BS55" s="77"/>
      <c r="BT55" s="77"/>
      <c r="BU55" s="77"/>
      <c r="BV55" s="77"/>
      <c r="BW55" s="57"/>
      <c r="BX55" s="60"/>
      <c r="BY55" s="61"/>
      <c r="BZ55" s="61"/>
      <c r="CA55" s="61"/>
      <c r="CB55" s="61"/>
      <c r="CC55" s="74"/>
    </row>
    <row r="56" spans="2:81" ht="30">
      <c r="B56" s="47" t="s">
        <v>864</v>
      </c>
      <c r="C56" s="48" t="s">
        <v>1673</v>
      </c>
      <c r="D56" s="49" t="s">
        <v>1682</v>
      </c>
      <c r="E56" s="70" t="s">
        <v>1683</v>
      </c>
      <c r="F56" s="71" t="s">
        <v>1670</v>
      </c>
      <c r="G56" s="147" t="s">
        <v>1671</v>
      </c>
      <c r="H56" s="49" t="s">
        <v>0</v>
      </c>
      <c r="I56" s="49" t="s">
        <v>1637</v>
      </c>
      <c r="J56" s="49" t="s">
        <v>1638</v>
      </c>
      <c r="K56" s="72"/>
      <c r="L56" s="73"/>
      <c r="M56" s="73"/>
      <c r="N56" s="73"/>
      <c r="O56" s="73"/>
      <c r="P56" s="66"/>
      <c r="Q56" s="56"/>
      <c r="R56" s="56"/>
      <c r="S56" s="56"/>
      <c r="T56" s="56"/>
      <c r="U56" s="75" t="s">
        <v>860</v>
      </c>
      <c r="V56" s="77"/>
      <c r="W56" s="77"/>
      <c r="X56" s="77"/>
      <c r="Y56" s="55" t="s">
        <v>861</v>
      </c>
      <c r="Z56" s="60"/>
      <c r="AA56" s="61"/>
      <c r="AB56" s="61"/>
      <c r="AC56" s="61"/>
      <c r="AD56" s="61"/>
      <c r="AE56" s="63"/>
      <c r="AF56" s="64"/>
      <c r="AG56" s="64"/>
      <c r="AH56" s="64"/>
      <c r="AI56" s="64"/>
      <c r="AJ56" s="72"/>
      <c r="AK56" s="73"/>
      <c r="AL56" s="73"/>
      <c r="AM56" s="73"/>
      <c r="AN56" s="73"/>
      <c r="AO56" s="66"/>
      <c r="AP56" s="56"/>
      <c r="AQ56" s="56"/>
      <c r="AR56" s="56"/>
      <c r="AS56" s="56"/>
      <c r="AT56" s="77"/>
      <c r="AU56" s="77"/>
      <c r="AV56" s="77"/>
      <c r="AW56" s="77"/>
      <c r="AX56" s="57"/>
      <c r="AY56" s="60"/>
      <c r="AZ56" s="61"/>
      <c r="BA56" s="61"/>
      <c r="BB56" s="61"/>
      <c r="BC56" s="61"/>
      <c r="BD56" s="63"/>
      <c r="BE56" s="64"/>
      <c r="BF56" s="64"/>
      <c r="BG56" s="64"/>
      <c r="BH56" s="64"/>
      <c r="BI56" s="72"/>
      <c r="BJ56" s="73"/>
      <c r="BK56" s="73"/>
      <c r="BL56" s="73"/>
      <c r="BM56" s="73"/>
      <c r="BN56" s="66"/>
      <c r="BO56" s="56"/>
      <c r="BP56" s="56"/>
      <c r="BQ56" s="56"/>
      <c r="BR56" s="56"/>
      <c r="BS56" s="77"/>
      <c r="BT56" s="77"/>
      <c r="BU56" s="77"/>
      <c r="BV56" s="77"/>
      <c r="BW56" s="57"/>
      <c r="BX56" s="60"/>
      <c r="BY56" s="61"/>
      <c r="BZ56" s="61"/>
      <c r="CA56" s="61"/>
      <c r="CB56" s="61"/>
      <c r="CC56" s="74"/>
    </row>
    <row r="57" spans="2:81" ht="30">
      <c r="B57" s="47" t="s">
        <v>864</v>
      </c>
      <c r="C57" s="48" t="s">
        <v>1668</v>
      </c>
      <c r="D57" s="49" t="s">
        <v>1684</v>
      </c>
      <c r="E57" s="81" t="s">
        <v>1685</v>
      </c>
      <c r="F57" s="97" t="s">
        <v>1670</v>
      </c>
      <c r="G57" s="147" t="s">
        <v>1671</v>
      </c>
      <c r="H57" s="49" t="s">
        <v>0</v>
      </c>
      <c r="I57" s="49" t="s">
        <v>1637</v>
      </c>
      <c r="J57" s="49" t="s">
        <v>1638</v>
      </c>
      <c r="K57" s="99"/>
      <c r="L57" s="100"/>
      <c r="M57" s="100"/>
      <c r="N57" s="100"/>
      <c r="O57" s="100"/>
      <c r="P57" s="101"/>
      <c r="Q57" s="102"/>
      <c r="R57" s="102"/>
      <c r="S57" s="102"/>
      <c r="T57" s="102"/>
      <c r="U57" s="75" t="s">
        <v>860</v>
      </c>
      <c r="V57" s="77"/>
      <c r="W57" s="77"/>
      <c r="X57" s="105"/>
      <c r="Y57" s="55" t="s">
        <v>861</v>
      </c>
      <c r="Z57" s="60"/>
      <c r="AA57" s="61"/>
      <c r="AB57" s="61"/>
      <c r="AC57" s="61"/>
      <c r="AD57" s="61"/>
      <c r="AE57" s="63"/>
      <c r="AF57" s="64"/>
      <c r="AG57" s="64"/>
      <c r="AH57" s="64"/>
      <c r="AI57" s="64"/>
      <c r="AJ57" s="99"/>
      <c r="AK57" s="100"/>
      <c r="AL57" s="100"/>
      <c r="AM57" s="100"/>
      <c r="AN57" s="100"/>
      <c r="AO57" s="101"/>
      <c r="AP57" s="102"/>
      <c r="AQ57" s="102"/>
      <c r="AR57" s="102"/>
      <c r="AS57" s="102"/>
      <c r="AT57" s="103"/>
      <c r="AU57" s="104"/>
      <c r="AV57" s="105"/>
      <c r="AW57" s="105"/>
      <c r="AX57" s="103"/>
      <c r="AY57" s="106"/>
      <c r="AZ57" s="107"/>
      <c r="BA57" s="107"/>
      <c r="BB57" s="107"/>
      <c r="BC57" s="107"/>
      <c r="BD57" s="109"/>
      <c r="BE57" s="108"/>
      <c r="BF57" s="108"/>
      <c r="BG57" s="108"/>
      <c r="BH57" s="108"/>
      <c r="BI57" s="99"/>
      <c r="BJ57" s="100"/>
      <c r="BK57" s="100"/>
      <c r="BL57" s="100"/>
      <c r="BM57" s="100"/>
      <c r="BN57" s="101"/>
      <c r="BO57" s="102"/>
      <c r="BP57" s="102"/>
      <c r="BQ57" s="102"/>
      <c r="BR57" s="102"/>
      <c r="BS57" s="103"/>
      <c r="BT57" s="104"/>
      <c r="BU57" s="105"/>
      <c r="BV57" s="105"/>
      <c r="BW57" s="103"/>
      <c r="BX57" s="106"/>
      <c r="BY57" s="107"/>
      <c r="BZ57" s="107"/>
      <c r="CA57" s="107"/>
      <c r="CB57" s="107"/>
      <c r="CC57" s="74"/>
    </row>
    <row r="58" spans="2:81" ht="30">
      <c r="B58" s="47" t="s">
        <v>864</v>
      </c>
      <c r="C58" s="48" t="s">
        <v>1668</v>
      </c>
      <c r="D58" s="49" t="s">
        <v>1686</v>
      </c>
      <c r="E58" s="81" t="s">
        <v>1687</v>
      </c>
      <c r="F58" s="97" t="s">
        <v>1670</v>
      </c>
      <c r="G58" s="147" t="s">
        <v>1671</v>
      </c>
      <c r="H58" s="49" t="s">
        <v>0</v>
      </c>
      <c r="I58" s="49" t="s">
        <v>1637</v>
      </c>
      <c r="J58" s="49" t="s">
        <v>1638</v>
      </c>
      <c r="K58" s="99"/>
      <c r="L58" s="100"/>
      <c r="M58" s="100"/>
      <c r="N58" s="100"/>
      <c r="O58" s="100"/>
      <c r="P58" s="101"/>
      <c r="Q58" s="102"/>
      <c r="R58" s="102"/>
      <c r="S58" s="102"/>
      <c r="T58" s="102"/>
      <c r="U58" s="75" t="s">
        <v>860</v>
      </c>
      <c r="V58" s="77"/>
      <c r="W58" s="77"/>
      <c r="X58" s="105"/>
      <c r="Y58" s="55" t="s">
        <v>861</v>
      </c>
      <c r="Z58" s="60"/>
      <c r="AA58" s="61"/>
      <c r="AB58" s="61"/>
      <c r="AC58" s="61"/>
      <c r="AD58" s="61"/>
      <c r="AE58" s="63"/>
      <c r="AF58" s="64"/>
      <c r="AG58" s="64"/>
      <c r="AH58" s="64"/>
      <c r="AI58" s="64"/>
      <c r="AJ58" s="99"/>
      <c r="AK58" s="100"/>
      <c r="AL58" s="100"/>
      <c r="AM58" s="100"/>
      <c r="AN58" s="100"/>
      <c r="AO58" s="101"/>
      <c r="AP58" s="102"/>
      <c r="AQ58" s="102"/>
      <c r="AR58" s="102"/>
      <c r="AS58" s="102"/>
      <c r="AT58" s="103"/>
      <c r="AU58" s="104"/>
      <c r="AV58" s="105"/>
      <c r="AW58" s="105"/>
      <c r="AX58" s="103"/>
      <c r="AY58" s="106"/>
      <c r="AZ58" s="107"/>
      <c r="BA58" s="107"/>
      <c r="BB58" s="107"/>
      <c r="BC58" s="107"/>
      <c r="BD58" s="109"/>
      <c r="BE58" s="108"/>
      <c r="BF58" s="108"/>
      <c r="BG58" s="108"/>
      <c r="BH58" s="108"/>
      <c r="BI58" s="99"/>
      <c r="BJ58" s="100"/>
      <c r="BK58" s="100"/>
      <c r="BL58" s="100"/>
      <c r="BM58" s="100"/>
      <c r="BN58" s="101"/>
      <c r="BO58" s="102"/>
      <c r="BP58" s="102"/>
      <c r="BQ58" s="102"/>
      <c r="BR58" s="102"/>
      <c r="BS58" s="103"/>
      <c r="BT58" s="104"/>
      <c r="BU58" s="105"/>
      <c r="BV58" s="105"/>
      <c r="BW58" s="103"/>
      <c r="BX58" s="106"/>
      <c r="BY58" s="107"/>
      <c r="BZ58" s="107"/>
      <c r="CA58" s="107"/>
      <c r="CB58" s="107"/>
      <c r="CC58" s="74"/>
    </row>
    <row r="59" spans="2:81" ht="30">
      <c r="B59" s="47" t="s">
        <v>864</v>
      </c>
      <c r="C59" s="48" t="s">
        <v>1668</v>
      </c>
      <c r="D59" s="49" t="s">
        <v>1688</v>
      </c>
      <c r="E59" s="81" t="s">
        <v>1689</v>
      </c>
      <c r="F59" s="97" t="s">
        <v>1670</v>
      </c>
      <c r="G59" s="147" t="s">
        <v>1619</v>
      </c>
      <c r="H59" s="49" t="s">
        <v>0</v>
      </c>
      <c r="I59" s="49" t="s">
        <v>1637</v>
      </c>
      <c r="J59" s="49" t="s">
        <v>1638</v>
      </c>
      <c r="K59" s="99"/>
      <c r="L59" s="100"/>
      <c r="M59" s="100"/>
      <c r="N59" s="100"/>
      <c r="O59" s="100"/>
      <c r="P59" s="101"/>
      <c r="Q59" s="102"/>
      <c r="R59" s="102"/>
      <c r="S59" s="102"/>
      <c r="T59" s="102"/>
      <c r="U59" s="75" t="s">
        <v>860</v>
      </c>
      <c r="V59" s="77"/>
      <c r="W59" s="77"/>
      <c r="X59" s="105"/>
      <c r="Y59" s="103"/>
      <c r="Z59" s="60"/>
      <c r="AA59" s="61"/>
      <c r="AB59" s="55" t="s">
        <v>861</v>
      </c>
      <c r="AC59" s="61"/>
      <c r="AD59" s="61"/>
      <c r="AE59" s="63"/>
      <c r="AF59" s="64"/>
      <c r="AG59" s="64"/>
      <c r="AH59" s="64"/>
      <c r="AI59" s="64"/>
      <c r="AJ59" s="99"/>
      <c r="AK59" s="100"/>
      <c r="AL59" s="100"/>
      <c r="AM59" s="100"/>
      <c r="AN59" s="100"/>
      <c r="AO59" s="101"/>
      <c r="AP59" s="102"/>
      <c r="AQ59" s="102"/>
      <c r="AR59" s="102"/>
      <c r="AS59" s="102"/>
      <c r="AT59" s="103"/>
      <c r="AU59" s="104"/>
      <c r="AV59" s="105"/>
      <c r="AW59" s="105"/>
      <c r="AX59" s="103"/>
      <c r="AY59" s="106"/>
      <c r="AZ59" s="107"/>
      <c r="BA59" s="107"/>
      <c r="BB59" s="107"/>
      <c r="BC59" s="107"/>
      <c r="BD59" s="109"/>
      <c r="BE59" s="108"/>
      <c r="BF59" s="108"/>
      <c r="BG59" s="108"/>
      <c r="BH59" s="108"/>
      <c r="BI59" s="99"/>
      <c r="BJ59" s="100"/>
      <c r="BK59" s="100"/>
      <c r="BL59" s="100"/>
      <c r="BM59" s="100"/>
      <c r="BN59" s="101"/>
      <c r="BO59" s="102"/>
      <c r="BP59" s="102"/>
      <c r="BQ59" s="102"/>
      <c r="BR59" s="102"/>
      <c r="BS59" s="103"/>
      <c r="BT59" s="104"/>
      <c r="BU59" s="105"/>
      <c r="BV59" s="105"/>
      <c r="BW59" s="103"/>
      <c r="BX59" s="106"/>
      <c r="BY59" s="107"/>
      <c r="BZ59" s="107"/>
      <c r="CA59" s="107"/>
      <c r="CB59" s="107"/>
      <c r="CC59" s="74"/>
    </row>
    <row r="60" spans="2:81" ht="30">
      <c r="B60" s="47" t="s">
        <v>864</v>
      </c>
      <c r="C60" s="48" t="s">
        <v>1690</v>
      </c>
      <c r="D60" s="49" t="s">
        <v>1691</v>
      </c>
      <c r="E60" s="81" t="s">
        <v>1692</v>
      </c>
      <c r="F60" s="97" t="s">
        <v>1670</v>
      </c>
      <c r="G60" s="147" t="s">
        <v>1671</v>
      </c>
      <c r="H60" s="49" t="s">
        <v>0</v>
      </c>
      <c r="I60" s="49" t="s">
        <v>1637</v>
      </c>
      <c r="J60" s="49" t="s">
        <v>1638</v>
      </c>
      <c r="K60" s="99"/>
      <c r="L60" s="100"/>
      <c r="M60" s="100"/>
      <c r="N60" s="100"/>
      <c r="O60" s="100"/>
      <c r="P60" s="101"/>
      <c r="Q60" s="102"/>
      <c r="R60" s="102"/>
      <c r="S60" s="102"/>
      <c r="T60" s="102"/>
      <c r="U60" s="75" t="s">
        <v>860</v>
      </c>
      <c r="V60" s="77"/>
      <c r="W60" s="77"/>
      <c r="X60" s="105"/>
      <c r="Y60" s="55" t="s">
        <v>861</v>
      </c>
      <c r="Z60" s="60"/>
      <c r="AA60" s="61"/>
      <c r="AB60" s="61"/>
      <c r="AC60" s="61"/>
      <c r="AD60" s="61"/>
      <c r="AE60" s="63"/>
      <c r="AF60" s="64"/>
      <c r="AG60" s="64"/>
      <c r="AH60" s="64"/>
      <c r="AI60" s="64"/>
      <c r="AJ60" s="99"/>
      <c r="AK60" s="100"/>
      <c r="AL60" s="100"/>
      <c r="AM60" s="100"/>
      <c r="AN60" s="100"/>
      <c r="AO60" s="101"/>
      <c r="AP60" s="102"/>
      <c r="AQ60" s="102"/>
      <c r="AR60" s="102"/>
      <c r="AS60" s="102"/>
      <c r="AT60" s="103"/>
      <c r="AU60" s="104"/>
      <c r="AV60" s="105"/>
      <c r="AW60" s="105"/>
      <c r="AX60" s="103"/>
      <c r="AY60" s="106"/>
      <c r="AZ60" s="107"/>
      <c r="BA60" s="107"/>
      <c r="BB60" s="107"/>
      <c r="BC60" s="107"/>
      <c r="BD60" s="109"/>
      <c r="BE60" s="108"/>
      <c r="BF60" s="108"/>
      <c r="BG60" s="108"/>
      <c r="BH60" s="108"/>
      <c r="BI60" s="99"/>
      <c r="BJ60" s="100"/>
      <c r="BK60" s="100"/>
      <c r="BL60" s="100"/>
      <c r="BM60" s="100"/>
      <c r="BN60" s="101"/>
      <c r="BO60" s="102"/>
      <c r="BP60" s="102"/>
      <c r="BQ60" s="102"/>
      <c r="BR60" s="102"/>
      <c r="BS60" s="103"/>
      <c r="BT60" s="104"/>
      <c r="BU60" s="105"/>
      <c r="BV60" s="105"/>
      <c r="BW60" s="103"/>
      <c r="BX60" s="106"/>
      <c r="BY60" s="107"/>
      <c r="BZ60" s="107"/>
      <c r="CA60" s="107"/>
      <c r="CB60" s="107"/>
      <c r="CC60" s="74"/>
    </row>
    <row r="61" spans="2:81" ht="30">
      <c r="B61" s="130" t="s">
        <v>864</v>
      </c>
      <c r="C61" s="131" t="s">
        <v>1690</v>
      </c>
      <c r="D61" s="132" t="s">
        <v>1693</v>
      </c>
      <c r="E61" s="113" t="s">
        <v>1694</v>
      </c>
      <c r="F61" s="114" t="s">
        <v>1670</v>
      </c>
      <c r="G61" s="147" t="s">
        <v>1671</v>
      </c>
      <c r="H61" s="49" t="s">
        <v>0</v>
      </c>
      <c r="I61" s="49" t="s">
        <v>1637</v>
      </c>
      <c r="J61" s="49" t="s">
        <v>1638</v>
      </c>
      <c r="K61" s="99"/>
      <c r="L61" s="100"/>
      <c r="M61" s="100"/>
      <c r="N61" s="100"/>
      <c r="O61" s="100"/>
      <c r="P61" s="101"/>
      <c r="Q61" s="102"/>
      <c r="R61" s="102"/>
      <c r="S61" s="102"/>
      <c r="T61" s="102"/>
      <c r="U61" s="75" t="s">
        <v>860</v>
      </c>
      <c r="V61" s="77"/>
      <c r="W61" s="77"/>
      <c r="X61" s="105"/>
      <c r="Y61" s="55" t="s">
        <v>861</v>
      </c>
      <c r="Z61" s="60"/>
      <c r="AA61" s="61"/>
      <c r="AB61" s="61"/>
      <c r="AC61" s="61"/>
      <c r="AD61" s="61"/>
      <c r="AE61" s="63"/>
      <c r="AF61" s="64"/>
      <c r="AG61" s="64"/>
      <c r="AH61" s="64"/>
      <c r="AI61" s="64"/>
      <c r="AJ61" s="99"/>
      <c r="AK61" s="100"/>
      <c r="AL61" s="100"/>
      <c r="AM61" s="100"/>
      <c r="AN61" s="100"/>
      <c r="AO61" s="101"/>
      <c r="AP61" s="102"/>
      <c r="AQ61" s="102"/>
      <c r="AR61" s="102"/>
      <c r="AS61" s="102"/>
      <c r="AT61" s="103"/>
      <c r="AU61" s="104"/>
      <c r="AV61" s="105"/>
      <c r="AW61" s="105"/>
      <c r="AX61" s="103"/>
      <c r="AY61" s="106"/>
      <c r="AZ61" s="107"/>
      <c r="BA61" s="107"/>
      <c r="BB61" s="107"/>
      <c r="BC61" s="107"/>
      <c r="BD61" s="109"/>
      <c r="BE61" s="108"/>
      <c r="BF61" s="108"/>
      <c r="BG61" s="108"/>
      <c r="BH61" s="108"/>
      <c r="BI61" s="99"/>
      <c r="BJ61" s="100"/>
      <c r="BK61" s="100"/>
      <c r="BL61" s="100"/>
      <c r="BM61" s="100"/>
      <c r="BN61" s="101"/>
      <c r="BO61" s="102"/>
      <c r="BP61" s="102"/>
      <c r="BQ61" s="102"/>
      <c r="BR61" s="102"/>
      <c r="BS61" s="103"/>
      <c r="BT61" s="104"/>
      <c r="BU61" s="105"/>
      <c r="BV61" s="105"/>
      <c r="BW61" s="103"/>
      <c r="BX61" s="106"/>
      <c r="BY61" s="107"/>
      <c r="BZ61" s="107"/>
      <c r="CA61" s="107"/>
      <c r="CB61" s="107"/>
      <c r="CC61" s="74"/>
    </row>
    <row r="62" spans="2:81" ht="30">
      <c r="B62" s="47" t="s">
        <v>864</v>
      </c>
      <c r="C62" s="48" t="s">
        <v>1690</v>
      </c>
      <c r="D62" s="49" t="s">
        <v>1695</v>
      </c>
      <c r="E62" s="81" t="s">
        <v>1696</v>
      </c>
      <c r="F62" s="97" t="s">
        <v>1670</v>
      </c>
      <c r="G62" s="147" t="s">
        <v>1671</v>
      </c>
      <c r="H62" s="49" t="s">
        <v>0</v>
      </c>
      <c r="I62" s="49" t="s">
        <v>1637</v>
      </c>
      <c r="J62" s="49" t="s">
        <v>1638</v>
      </c>
      <c r="K62" s="99"/>
      <c r="L62" s="100"/>
      <c r="M62" s="100"/>
      <c r="N62" s="100"/>
      <c r="O62" s="100"/>
      <c r="P62" s="101"/>
      <c r="Q62" s="102"/>
      <c r="R62" s="102"/>
      <c r="S62" s="102"/>
      <c r="T62" s="102"/>
      <c r="U62" s="75" t="s">
        <v>860</v>
      </c>
      <c r="V62" s="77"/>
      <c r="W62" s="77"/>
      <c r="X62" s="105"/>
      <c r="Y62" s="55" t="s">
        <v>861</v>
      </c>
      <c r="Z62" s="60"/>
      <c r="AA62" s="61"/>
      <c r="AB62" s="61"/>
      <c r="AC62" s="61"/>
      <c r="AD62" s="61"/>
      <c r="AE62" s="63"/>
      <c r="AF62" s="64"/>
      <c r="AG62" s="64"/>
      <c r="AH62" s="64"/>
      <c r="AI62" s="64"/>
      <c r="AJ62" s="99"/>
      <c r="AK62" s="100"/>
      <c r="AL62" s="100"/>
      <c r="AM62" s="100"/>
      <c r="AN62" s="100"/>
      <c r="AO62" s="101"/>
      <c r="AP62" s="102"/>
      <c r="AQ62" s="102"/>
      <c r="AR62" s="102"/>
      <c r="AS62" s="102"/>
      <c r="AT62" s="103"/>
      <c r="AU62" s="104"/>
      <c r="AV62" s="105"/>
      <c r="AW62" s="105"/>
      <c r="AX62" s="103"/>
      <c r="AY62" s="106"/>
      <c r="AZ62" s="107"/>
      <c r="BA62" s="107"/>
      <c r="BB62" s="107"/>
      <c r="BC62" s="107"/>
      <c r="BD62" s="109"/>
      <c r="BE62" s="108"/>
      <c r="BF62" s="108"/>
      <c r="BG62" s="108"/>
      <c r="BH62" s="108"/>
      <c r="BI62" s="99"/>
      <c r="BJ62" s="100"/>
      <c r="BK62" s="100"/>
      <c r="BL62" s="100"/>
      <c r="BM62" s="100"/>
      <c r="BN62" s="101"/>
      <c r="BO62" s="102"/>
      <c r="BP62" s="102"/>
      <c r="BQ62" s="102"/>
      <c r="BR62" s="102"/>
      <c r="BS62" s="103"/>
      <c r="BT62" s="104"/>
      <c r="BU62" s="105"/>
      <c r="BV62" s="105"/>
      <c r="BW62" s="103"/>
      <c r="BX62" s="106"/>
      <c r="BY62" s="107"/>
      <c r="BZ62" s="107"/>
      <c r="CA62" s="107"/>
      <c r="CB62" s="107"/>
      <c r="CC62" s="74"/>
    </row>
    <row r="63" spans="2:81" ht="30">
      <c r="B63" s="47" t="s">
        <v>864</v>
      </c>
      <c r="C63" s="48" t="s">
        <v>1690</v>
      </c>
      <c r="D63" s="49" t="s">
        <v>1697</v>
      </c>
      <c r="E63" s="81" t="s">
        <v>1698</v>
      </c>
      <c r="F63" s="97" t="s">
        <v>1670</v>
      </c>
      <c r="G63" s="147" t="s">
        <v>1671</v>
      </c>
      <c r="H63" s="49" t="s">
        <v>0</v>
      </c>
      <c r="I63" s="49" t="s">
        <v>1637</v>
      </c>
      <c r="J63" s="49" t="s">
        <v>1638</v>
      </c>
      <c r="K63" s="99"/>
      <c r="L63" s="100"/>
      <c r="M63" s="100"/>
      <c r="N63" s="100"/>
      <c r="O63" s="100"/>
      <c r="P63" s="101"/>
      <c r="Q63" s="102"/>
      <c r="R63" s="102"/>
      <c r="S63" s="102"/>
      <c r="T63" s="102"/>
      <c r="U63" s="75" t="s">
        <v>860</v>
      </c>
      <c r="V63" s="77"/>
      <c r="W63" s="77"/>
      <c r="X63" s="105"/>
      <c r="Y63" s="55" t="s">
        <v>861</v>
      </c>
      <c r="Z63" s="106"/>
      <c r="AA63" s="107"/>
      <c r="AB63" s="107"/>
      <c r="AC63" s="107"/>
      <c r="AD63" s="107"/>
      <c r="AE63" s="54"/>
      <c r="AF63" s="108"/>
      <c r="AG63" s="108"/>
      <c r="AH63" s="108"/>
      <c r="AI63" s="80"/>
      <c r="AJ63" s="99"/>
      <c r="AK63" s="100"/>
      <c r="AL63" s="100"/>
      <c r="AM63" s="100"/>
      <c r="AN63" s="100"/>
      <c r="AO63" s="101"/>
      <c r="AP63" s="102"/>
      <c r="AQ63" s="102"/>
      <c r="AR63" s="102"/>
      <c r="AS63" s="102"/>
      <c r="AT63" s="103"/>
      <c r="AU63" s="104"/>
      <c r="AV63" s="105"/>
      <c r="AW63" s="105"/>
      <c r="AX63" s="103"/>
      <c r="AY63" s="106"/>
      <c r="AZ63" s="107"/>
      <c r="BA63" s="107"/>
      <c r="BB63" s="107"/>
      <c r="BC63" s="107"/>
      <c r="BD63" s="109"/>
      <c r="BE63" s="108"/>
      <c r="BF63" s="108"/>
      <c r="BG63" s="108"/>
      <c r="BH63" s="108"/>
      <c r="BI63" s="99"/>
      <c r="BJ63" s="100"/>
      <c r="BK63" s="100"/>
      <c r="BL63" s="100"/>
      <c r="BM63" s="100"/>
      <c r="BN63" s="101"/>
      <c r="BO63" s="102"/>
      <c r="BP63" s="102"/>
      <c r="BQ63" s="102"/>
      <c r="BR63" s="102"/>
      <c r="BS63" s="103"/>
      <c r="BT63" s="104"/>
      <c r="BU63" s="105"/>
      <c r="BV63" s="105"/>
      <c r="BW63" s="103"/>
      <c r="BX63" s="106"/>
      <c r="BY63" s="107"/>
      <c r="BZ63" s="107"/>
      <c r="CA63" s="107"/>
      <c r="CB63" s="107"/>
      <c r="CC63" s="74"/>
    </row>
    <row r="64" spans="2:81" ht="30">
      <c r="B64" s="47" t="s">
        <v>864</v>
      </c>
      <c r="C64" s="48" t="s">
        <v>1330</v>
      </c>
      <c r="D64" s="116" t="s">
        <v>1430</v>
      </c>
      <c r="E64" s="117" t="s">
        <v>1431</v>
      </c>
      <c r="F64" s="118" t="s">
        <v>1670</v>
      </c>
      <c r="G64" s="147" t="s">
        <v>1671</v>
      </c>
      <c r="H64" s="49" t="s">
        <v>0</v>
      </c>
      <c r="I64" s="49" t="s">
        <v>1637</v>
      </c>
      <c r="J64" s="49" t="s">
        <v>1638</v>
      </c>
      <c r="K64" s="99"/>
      <c r="L64" s="100"/>
      <c r="M64" s="100"/>
      <c r="N64" s="100"/>
      <c r="O64" s="100"/>
      <c r="P64" s="101"/>
      <c r="Q64" s="102"/>
      <c r="R64" s="102"/>
      <c r="S64" s="102"/>
      <c r="T64" s="102"/>
      <c r="U64" s="75" t="s">
        <v>860</v>
      </c>
      <c r="V64" s="77"/>
      <c r="W64" s="77"/>
      <c r="X64" s="115"/>
      <c r="Y64" s="55" t="s">
        <v>861</v>
      </c>
      <c r="Z64" s="106"/>
      <c r="AA64" s="107"/>
      <c r="AB64" s="107"/>
      <c r="AC64" s="107"/>
      <c r="AD64" s="107"/>
      <c r="AE64" s="109"/>
      <c r="AF64" s="108"/>
      <c r="AG64" s="108"/>
      <c r="AH64" s="108"/>
      <c r="AI64" s="108"/>
      <c r="AJ64" s="99"/>
      <c r="AK64" s="100"/>
      <c r="AL64" s="100"/>
      <c r="AM64" s="100"/>
      <c r="AN64" s="100"/>
      <c r="AO64" s="101"/>
      <c r="AP64" s="102"/>
      <c r="AQ64" s="102"/>
      <c r="AR64" s="102"/>
      <c r="AS64" s="102"/>
      <c r="AT64" s="103"/>
      <c r="AU64" s="104"/>
      <c r="AV64" s="105"/>
      <c r="AW64" s="105"/>
      <c r="AX64" s="103"/>
      <c r="AY64" s="106"/>
      <c r="AZ64" s="107"/>
      <c r="BA64" s="107"/>
      <c r="BB64" s="107"/>
      <c r="BC64" s="107"/>
      <c r="BD64" s="109"/>
      <c r="BE64" s="108"/>
      <c r="BF64" s="108"/>
      <c r="BG64" s="108"/>
      <c r="BH64" s="108"/>
      <c r="BI64" s="99"/>
      <c r="BJ64" s="100"/>
      <c r="BK64" s="100"/>
      <c r="BL64" s="100"/>
      <c r="BM64" s="100"/>
      <c r="BN64" s="101"/>
      <c r="BO64" s="102"/>
      <c r="BP64" s="102"/>
      <c r="BQ64" s="102"/>
      <c r="BR64" s="102"/>
      <c r="BS64" s="103"/>
      <c r="BT64" s="104"/>
      <c r="BU64" s="105"/>
      <c r="BV64" s="105"/>
      <c r="BW64" s="103"/>
      <c r="BX64" s="106"/>
      <c r="BY64" s="107"/>
      <c r="BZ64" s="107"/>
      <c r="CA64" s="107"/>
      <c r="CB64" s="107"/>
      <c r="CC64" s="74"/>
    </row>
    <row r="65" spans="2:80" ht="30">
      <c r="B65" s="116" t="s">
        <v>864</v>
      </c>
      <c r="C65" s="116" t="s">
        <v>1310</v>
      </c>
      <c r="D65" s="116" t="s">
        <v>1422</v>
      </c>
      <c r="E65" s="98" t="s">
        <v>1423</v>
      </c>
      <c r="F65" s="98" t="s">
        <v>1670</v>
      </c>
      <c r="G65" s="147" t="s">
        <v>1619</v>
      </c>
      <c r="H65" s="49" t="s">
        <v>0</v>
      </c>
      <c r="I65" s="49" t="s">
        <v>1637</v>
      </c>
      <c r="J65" s="49" t="s">
        <v>1638</v>
      </c>
      <c r="K65" s="99"/>
      <c r="L65" s="100"/>
      <c r="M65" s="100"/>
      <c r="N65" s="100"/>
      <c r="O65" s="100"/>
      <c r="P65" s="101"/>
      <c r="Q65" s="102"/>
      <c r="R65" s="102"/>
      <c r="S65" s="102"/>
      <c r="T65" s="102"/>
      <c r="U65" s="75" t="s">
        <v>860</v>
      </c>
      <c r="V65" s="77"/>
      <c r="W65" s="77"/>
      <c r="X65" s="115"/>
      <c r="Y65" s="103"/>
      <c r="Z65" s="106"/>
      <c r="AA65" s="107"/>
      <c r="AB65" s="55" t="s">
        <v>861</v>
      </c>
      <c r="AC65" s="107"/>
      <c r="AD65" s="107"/>
      <c r="AE65" s="109"/>
      <c r="AF65" s="108"/>
      <c r="AG65" s="108"/>
      <c r="AH65" s="108"/>
      <c r="AI65" s="108"/>
      <c r="AJ65" s="99"/>
      <c r="AK65" s="100"/>
      <c r="AL65" s="100"/>
      <c r="AM65" s="100"/>
      <c r="AN65" s="100"/>
      <c r="AO65" s="101"/>
      <c r="AP65" s="102"/>
      <c r="AQ65" s="102"/>
      <c r="AR65" s="102"/>
      <c r="AS65" s="102"/>
      <c r="AT65" s="103"/>
      <c r="AU65" s="104"/>
      <c r="AV65" s="105"/>
      <c r="AW65" s="105"/>
      <c r="AX65" s="103"/>
      <c r="AY65" s="106"/>
      <c r="AZ65" s="107"/>
      <c r="BA65" s="107"/>
      <c r="BB65" s="107"/>
      <c r="BC65" s="107"/>
      <c r="BD65" s="109"/>
      <c r="BE65" s="108"/>
      <c r="BF65" s="108"/>
      <c r="BG65" s="108"/>
      <c r="BH65" s="108"/>
      <c r="BI65" s="99"/>
      <c r="BJ65" s="100"/>
      <c r="BK65" s="100"/>
      <c r="BL65" s="100"/>
      <c r="BM65" s="100"/>
      <c r="BN65" s="101"/>
      <c r="BO65" s="102"/>
      <c r="BP65" s="102"/>
      <c r="BQ65" s="102"/>
      <c r="BR65" s="102"/>
      <c r="BS65" s="103"/>
      <c r="BT65" s="104"/>
      <c r="BU65" s="105"/>
      <c r="BV65" s="105"/>
      <c r="BW65" s="103"/>
      <c r="BX65" s="106"/>
      <c r="BY65" s="107"/>
      <c r="BZ65" s="107"/>
      <c r="CA65" s="107"/>
      <c r="CB65" s="107"/>
    </row>
    <row r="66" spans="2:80" ht="30">
      <c r="B66" s="8" t="s">
        <v>864</v>
      </c>
      <c r="C66" s="8" t="s">
        <v>1310</v>
      </c>
      <c r="D66" s="8" t="s">
        <v>1424</v>
      </c>
      <c r="E66" s="8" t="s">
        <v>1425</v>
      </c>
      <c r="F66" s="8" t="s">
        <v>1670</v>
      </c>
      <c r="G66" s="147" t="s">
        <v>1619</v>
      </c>
      <c r="H66" s="49" t="s">
        <v>0</v>
      </c>
      <c r="I66" s="49" t="s">
        <v>1637</v>
      </c>
      <c r="J66" s="49" t="s">
        <v>1638</v>
      </c>
      <c r="K66" s="99"/>
      <c r="L66" s="100"/>
      <c r="M66" s="100"/>
      <c r="N66" s="100"/>
      <c r="O66" s="100"/>
      <c r="P66" s="101"/>
      <c r="Q66" s="102"/>
      <c r="R66" s="102"/>
      <c r="S66" s="102"/>
      <c r="T66" s="102"/>
      <c r="U66" s="75" t="s">
        <v>860</v>
      </c>
      <c r="V66" s="77"/>
      <c r="W66" s="77"/>
      <c r="X66" s="115"/>
      <c r="Y66" s="103"/>
      <c r="Z66" s="106"/>
      <c r="AA66" s="107"/>
      <c r="AB66" s="55" t="s">
        <v>861</v>
      </c>
      <c r="AC66" s="107"/>
      <c r="AD66" s="107"/>
      <c r="AE66" s="109"/>
      <c r="AF66" s="108"/>
      <c r="AG66" s="108"/>
      <c r="AH66" s="108"/>
      <c r="AI66" s="108"/>
      <c r="AJ66" s="99"/>
      <c r="AK66" s="100"/>
      <c r="AL66" s="100"/>
      <c r="AM66" s="100"/>
      <c r="AN66" s="100"/>
      <c r="AO66" s="101"/>
      <c r="AP66" s="102"/>
      <c r="AQ66" s="102"/>
      <c r="AR66" s="102"/>
      <c r="AS66" s="102"/>
      <c r="AT66" s="103"/>
      <c r="AU66" s="104"/>
      <c r="AV66" s="105"/>
      <c r="AW66" s="105"/>
      <c r="AX66" s="103"/>
      <c r="AY66" s="106"/>
      <c r="AZ66" s="107"/>
      <c r="BA66" s="107"/>
      <c r="BB66" s="107"/>
      <c r="BC66" s="107"/>
      <c r="BD66" s="109"/>
      <c r="BE66" s="108"/>
      <c r="BF66" s="108"/>
      <c r="BG66" s="108"/>
      <c r="BH66" s="108"/>
      <c r="BI66" s="99"/>
      <c r="BJ66" s="100"/>
      <c r="BK66" s="100"/>
      <c r="BL66" s="100"/>
      <c r="BM66" s="100"/>
      <c r="BN66" s="101"/>
      <c r="BO66" s="102"/>
      <c r="BP66" s="102"/>
      <c r="BQ66" s="102"/>
      <c r="BR66" s="102"/>
      <c r="BS66" s="103"/>
      <c r="BT66" s="104"/>
      <c r="BU66" s="105"/>
      <c r="BV66" s="105"/>
      <c r="BW66" s="103"/>
      <c r="BX66" s="106"/>
      <c r="BY66" s="107"/>
      <c r="BZ66" s="107"/>
      <c r="CA66" s="107"/>
      <c r="CB66" s="107"/>
    </row>
    <row r="67" spans="2:80" ht="30">
      <c r="B67" s="8" t="s">
        <v>864</v>
      </c>
      <c r="C67" s="8" t="s">
        <v>1310</v>
      </c>
      <c r="D67" s="8" t="s">
        <v>1311</v>
      </c>
      <c r="E67" s="8" t="s">
        <v>1312</v>
      </c>
      <c r="F67" s="8" t="s">
        <v>1670</v>
      </c>
      <c r="G67" s="147" t="s">
        <v>1619</v>
      </c>
      <c r="H67" s="49" t="s">
        <v>0</v>
      </c>
      <c r="I67" s="49" t="s">
        <v>1637</v>
      </c>
      <c r="J67" s="49" t="s">
        <v>1638</v>
      </c>
      <c r="K67" s="99"/>
      <c r="L67" s="100"/>
      <c r="M67" s="100"/>
      <c r="N67" s="100"/>
      <c r="O67" s="100"/>
      <c r="P67" s="101"/>
      <c r="Q67" s="102"/>
      <c r="R67" s="102"/>
      <c r="S67" s="102"/>
      <c r="T67" s="102"/>
      <c r="U67" s="75" t="s">
        <v>860</v>
      </c>
      <c r="V67" s="77"/>
      <c r="W67" s="77"/>
      <c r="X67" s="115"/>
      <c r="Y67" s="103"/>
      <c r="Z67" s="106"/>
      <c r="AA67" s="107"/>
      <c r="AB67" s="55" t="s">
        <v>861</v>
      </c>
      <c r="AC67" s="107"/>
      <c r="AD67" s="107"/>
      <c r="AE67" s="109"/>
      <c r="AF67" s="108"/>
      <c r="AG67" s="108"/>
      <c r="AH67" s="108"/>
      <c r="AI67" s="108"/>
      <c r="AJ67" s="99"/>
      <c r="AK67" s="100"/>
      <c r="AL67" s="100"/>
      <c r="AM67" s="100"/>
      <c r="AN67" s="100"/>
      <c r="AO67" s="101"/>
      <c r="AP67" s="102"/>
      <c r="AQ67" s="102"/>
      <c r="AR67" s="102"/>
      <c r="AS67" s="102"/>
      <c r="AT67" s="103"/>
      <c r="AU67" s="104"/>
      <c r="AV67" s="105"/>
      <c r="AW67" s="105"/>
      <c r="AX67" s="103"/>
      <c r="AY67" s="106"/>
      <c r="AZ67" s="107"/>
      <c r="BA67" s="107"/>
      <c r="BB67" s="107"/>
      <c r="BC67" s="107"/>
      <c r="BD67" s="109"/>
      <c r="BE67" s="108"/>
      <c r="BF67" s="108"/>
      <c r="BG67" s="108"/>
      <c r="BH67" s="108"/>
      <c r="BI67" s="99"/>
      <c r="BJ67" s="100"/>
      <c r="BK67" s="100"/>
      <c r="BL67" s="100"/>
      <c r="BM67" s="100"/>
      <c r="BN67" s="101"/>
      <c r="BO67" s="102"/>
      <c r="BP67" s="102"/>
      <c r="BQ67" s="102"/>
      <c r="BR67" s="102"/>
      <c r="BS67" s="103"/>
      <c r="BT67" s="104"/>
      <c r="BU67" s="105"/>
      <c r="BV67" s="105"/>
      <c r="BW67" s="103"/>
      <c r="BX67" s="106"/>
      <c r="BY67" s="107"/>
      <c r="BZ67" s="107"/>
      <c r="CA67" s="107"/>
      <c r="CB67" s="107"/>
    </row>
    <row r="68" spans="2:80" ht="30">
      <c r="B68" s="8" t="s">
        <v>864</v>
      </c>
      <c r="C68" s="8" t="s">
        <v>1310</v>
      </c>
      <c r="D68" s="8" t="s">
        <v>1426</v>
      </c>
      <c r="E68" s="8" t="s">
        <v>1427</v>
      </c>
      <c r="F68" s="8" t="s">
        <v>1670</v>
      </c>
      <c r="G68" s="147" t="s">
        <v>1619</v>
      </c>
      <c r="H68" s="49" t="s">
        <v>0</v>
      </c>
      <c r="I68" s="49" t="s">
        <v>1637</v>
      </c>
      <c r="J68" s="49" t="s">
        <v>1638</v>
      </c>
      <c r="K68" s="99"/>
      <c r="L68" s="100"/>
      <c r="M68" s="100"/>
      <c r="N68" s="100"/>
      <c r="O68" s="100"/>
      <c r="P68" s="101"/>
      <c r="Q68" s="102"/>
      <c r="R68" s="102"/>
      <c r="S68" s="102"/>
      <c r="T68" s="102"/>
      <c r="U68" s="75" t="s">
        <v>860</v>
      </c>
      <c r="V68" s="77"/>
      <c r="W68" s="77"/>
      <c r="X68" s="115"/>
      <c r="Y68" s="103"/>
      <c r="Z68" s="106"/>
      <c r="AA68" s="107"/>
      <c r="AB68" s="55" t="s">
        <v>861</v>
      </c>
      <c r="AC68" s="107"/>
      <c r="AD68" s="107"/>
      <c r="AE68" s="109"/>
      <c r="AF68" s="108"/>
      <c r="AG68" s="108"/>
      <c r="AH68" s="108"/>
      <c r="AI68" s="108"/>
      <c r="AJ68" s="99"/>
      <c r="AK68" s="100"/>
      <c r="AL68" s="100"/>
      <c r="AM68" s="100"/>
      <c r="AN68" s="100"/>
      <c r="AO68" s="101"/>
      <c r="AP68" s="102"/>
      <c r="AQ68" s="102"/>
      <c r="AR68" s="102"/>
      <c r="AS68" s="102"/>
      <c r="AT68" s="103"/>
      <c r="AU68" s="104"/>
      <c r="AV68" s="105"/>
      <c r="AW68" s="105"/>
      <c r="AX68" s="103"/>
      <c r="AY68" s="106"/>
      <c r="AZ68" s="107"/>
      <c r="BA68" s="107"/>
      <c r="BB68" s="107"/>
      <c r="BC68" s="107"/>
      <c r="BD68" s="109"/>
      <c r="BE68" s="108"/>
      <c r="BF68" s="108"/>
      <c r="BG68" s="108"/>
      <c r="BH68" s="108"/>
      <c r="BI68" s="99"/>
      <c r="BJ68" s="100"/>
      <c r="BK68" s="100"/>
      <c r="BL68" s="100"/>
      <c r="BM68" s="100"/>
      <c r="BN68" s="101"/>
      <c r="BO68" s="102"/>
      <c r="BP68" s="102"/>
      <c r="BQ68" s="102"/>
      <c r="BR68" s="102"/>
      <c r="BS68" s="103"/>
      <c r="BT68" s="104"/>
      <c r="BU68" s="105"/>
      <c r="BV68" s="105"/>
      <c r="BW68" s="103"/>
      <c r="BX68" s="106"/>
      <c r="BY68" s="107"/>
      <c r="BZ68" s="107"/>
      <c r="CA68" s="107"/>
      <c r="CB68" s="107"/>
    </row>
    <row r="69" spans="2:80" ht="30">
      <c r="B69" s="8" t="s">
        <v>864</v>
      </c>
      <c r="C69" s="8" t="s">
        <v>1320</v>
      </c>
      <c r="D69" s="8" t="s">
        <v>1699</v>
      </c>
      <c r="E69" s="8" t="s">
        <v>1700</v>
      </c>
      <c r="F69" s="8" t="s">
        <v>1670</v>
      </c>
      <c r="G69" s="147" t="s">
        <v>1619</v>
      </c>
      <c r="H69" s="49" t="s">
        <v>0</v>
      </c>
      <c r="I69" s="49" t="s">
        <v>1637</v>
      </c>
      <c r="J69" s="49" t="s">
        <v>1638</v>
      </c>
      <c r="K69" s="99"/>
      <c r="L69" s="100"/>
      <c r="M69" s="100"/>
      <c r="N69" s="100"/>
      <c r="O69" s="100"/>
      <c r="P69" s="101"/>
      <c r="Q69" s="102"/>
      <c r="R69" s="102"/>
      <c r="S69" s="102"/>
      <c r="T69" s="102"/>
      <c r="U69" s="75" t="s">
        <v>860</v>
      </c>
      <c r="V69" s="77"/>
      <c r="W69" s="77"/>
      <c r="X69" s="115"/>
      <c r="Y69" s="103"/>
      <c r="Z69" s="106"/>
      <c r="AA69" s="107"/>
      <c r="AB69" s="55" t="s">
        <v>861</v>
      </c>
      <c r="AC69" s="107"/>
      <c r="AD69" s="107"/>
      <c r="AE69" s="109"/>
      <c r="AF69" s="108"/>
      <c r="AG69" s="108"/>
      <c r="AH69" s="108"/>
      <c r="AI69" s="108"/>
      <c r="AJ69" s="99"/>
      <c r="AK69" s="100"/>
      <c r="AL69" s="100"/>
      <c r="AM69" s="100"/>
      <c r="AN69" s="100"/>
      <c r="AO69" s="101"/>
      <c r="AP69" s="102"/>
      <c r="AQ69" s="102"/>
      <c r="AR69" s="102"/>
      <c r="AS69" s="102"/>
      <c r="AT69" s="103"/>
      <c r="AU69" s="104"/>
      <c r="AV69" s="105"/>
      <c r="AW69" s="105"/>
      <c r="AX69" s="103"/>
      <c r="AY69" s="106"/>
      <c r="AZ69" s="107"/>
      <c r="BA69" s="107"/>
      <c r="BB69" s="107"/>
      <c r="BC69" s="107"/>
      <c r="BD69" s="109"/>
      <c r="BE69" s="108"/>
      <c r="BF69" s="108"/>
      <c r="BG69" s="108"/>
      <c r="BH69" s="108"/>
      <c r="BI69" s="99"/>
      <c r="BJ69" s="100"/>
      <c r="BK69" s="100"/>
      <c r="BL69" s="100"/>
      <c r="BM69" s="100"/>
      <c r="BN69" s="101"/>
      <c r="BO69" s="102"/>
      <c r="BP69" s="102"/>
      <c r="BQ69" s="102"/>
      <c r="BR69" s="102"/>
      <c r="BS69" s="103"/>
      <c r="BT69" s="104"/>
      <c r="BU69" s="105"/>
      <c r="BV69" s="105"/>
      <c r="BW69" s="103"/>
      <c r="BX69" s="106"/>
      <c r="BY69" s="107"/>
      <c r="BZ69" s="107"/>
      <c r="CA69" s="107"/>
      <c r="CB69" s="107"/>
    </row>
    <row r="70" spans="2:80" ht="30">
      <c r="B70" s="8" t="s">
        <v>864</v>
      </c>
      <c r="C70" s="8" t="s">
        <v>1320</v>
      </c>
      <c r="D70" s="8" t="s">
        <v>1488</v>
      </c>
      <c r="E70" s="8" t="s">
        <v>1489</v>
      </c>
      <c r="F70" s="8" t="s">
        <v>1670</v>
      </c>
      <c r="G70" s="147" t="s">
        <v>1619</v>
      </c>
      <c r="H70" s="49" t="s">
        <v>0</v>
      </c>
      <c r="I70" s="49" t="s">
        <v>1637</v>
      </c>
      <c r="J70" s="49" t="s">
        <v>1638</v>
      </c>
      <c r="K70" s="99"/>
      <c r="L70" s="100"/>
      <c r="M70" s="100"/>
      <c r="N70" s="100"/>
      <c r="O70" s="100"/>
      <c r="P70" s="101"/>
      <c r="Q70" s="102"/>
      <c r="R70" s="102"/>
      <c r="S70" s="102"/>
      <c r="T70" s="102"/>
      <c r="U70" s="75" t="s">
        <v>860</v>
      </c>
      <c r="V70" s="77"/>
      <c r="W70" s="77"/>
      <c r="X70" s="115"/>
      <c r="Y70" s="103"/>
      <c r="Z70" s="106"/>
      <c r="AA70" s="107"/>
      <c r="AB70" s="55" t="s">
        <v>861</v>
      </c>
      <c r="AC70" s="107"/>
      <c r="AD70" s="107"/>
      <c r="AE70" s="109"/>
      <c r="AF70" s="108"/>
      <c r="AG70" s="108"/>
      <c r="AH70" s="108"/>
      <c r="AI70" s="108"/>
      <c r="AJ70" s="99"/>
      <c r="AK70" s="100"/>
      <c r="AL70" s="100"/>
      <c r="AM70" s="100"/>
      <c r="AN70" s="100"/>
      <c r="AO70" s="101"/>
      <c r="AP70" s="102"/>
      <c r="AQ70" s="102"/>
      <c r="AR70" s="102"/>
      <c r="AS70" s="102"/>
      <c r="AT70" s="103"/>
      <c r="AU70" s="104"/>
      <c r="AV70" s="105"/>
      <c r="AW70" s="105"/>
      <c r="AX70" s="103"/>
      <c r="AY70" s="106"/>
      <c r="AZ70" s="107"/>
      <c r="BA70" s="107"/>
      <c r="BB70" s="107"/>
      <c r="BC70" s="107"/>
      <c r="BD70" s="109"/>
      <c r="BE70" s="108"/>
      <c r="BF70" s="108"/>
      <c r="BG70" s="108"/>
      <c r="BH70" s="108"/>
      <c r="BI70" s="99"/>
      <c r="BJ70" s="100"/>
      <c r="BK70" s="100"/>
      <c r="BL70" s="100"/>
      <c r="BM70" s="100"/>
      <c r="BN70" s="101"/>
      <c r="BO70" s="102"/>
      <c r="BP70" s="102"/>
      <c r="BQ70" s="102"/>
      <c r="BR70" s="102"/>
      <c r="BS70" s="103"/>
      <c r="BT70" s="104"/>
      <c r="BU70" s="105"/>
      <c r="BV70" s="105"/>
      <c r="BW70" s="103"/>
      <c r="BX70" s="106"/>
      <c r="BY70" s="107"/>
      <c r="BZ70" s="107"/>
      <c r="CA70" s="107"/>
      <c r="CB70" s="107"/>
    </row>
    <row r="71" spans="2:80" ht="30">
      <c r="B71" s="8" t="s">
        <v>864</v>
      </c>
      <c r="C71" s="8" t="s">
        <v>1320</v>
      </c>
      <c r="D71" s="8" t="s">
        <v>1490</v>
      </c>
      <c r="E71" s="8" t="s">
        <v>1491</v>
      </c>
      <c r="F71" s="8" t="s">
        <v>1670</v>
      </c>
      <c r="G71" s="147" t="s">
        <v>1619</v>
      </c>
      <c r="H71" s="49" t="s">
        <v>0</v>
      </c>
      <c r="I71" s="49" t="s">
        <v>1637</v>
      </c>
      <c r="J71" s="49" t="s">
        <v>1638</v>
      </c>
      <c r="K71" s="99"/>
      <c r="L71" s="100"/>
      <c r="M71" s="100"/>
      <c r="N71" s="100"/>
      <c r="O71" s="100"/>
      <c r="P71" s="101"/>
      <c r="Q71" s="102"/>
      <c r="R71" s="102"/>
      <c r="S71" s="102"/>
      <c r="T71" s="102"/>
      <c r="U71" s="75" t="s">
        <v>860</v>
      </c>
      <c r="V71" s="77"/>
      <c r="W71" s="77"/>
      <c r="X71" s="115"/>
      <c r="Y71" s="103"/>
      <c r="Z71" s="106"/>
      <c r="AA71" s="107"/>
      <c r="AB71" s="55" t="s">
        <v>861</v>
      </c>
      <c r="AC71" s="107"/>
      <c r="AD71" s="107"/>
      <c r="AE71" s="109"/>
      <c r="AF71" s="108"/>
      <c r="AG71" s="108"/>
      <c r="AH71" s="108"/>
      <c r="AI71" s="108"/>
      <c r="AJ71" s="99"/>
      <c r="AK71" s="100"/>
      <c r="AL71" s="100"/>
      <c r="AM71" s="100"/>
      <c r="AN71" s="100"/>
      <c r="AO71" s="101"/>
      <c r="AP71" s="102"/>
      <c r="AQ71" s="102"/>
      <c r="AR71" s="102"/>
      <c r="AS71" s="102"/>
      <c r="AT71" s="103"/>
      <c r="AU71" s="104"/>
      <c r="AV71" s="105"/>
      <c r="AW71" s="105"/>
      <c r="AX71" s="103"/>
      <c r="AY71" s="106"/>
      <c r="AZ71" s="107"/>
      <c r="BA71" s="107"/>
      <c r="BB71" s="107"/>
      <c r="BC71" s="107"/>
      <c r="BD71" s="109"/>
      <c r="BE71" s="108"/>
      <c r="BF71" s="108"/>
      <c r="BG71" s="108"/>
      <c r="BH71" s="108"/>
      <c r="BI71" s="99"/>
      <c r="BJ71" s="100"/>
      <c r="BK71" s="100"/>
      <c r="BL71" s="100"/>
      <c r="BM71" s="100"/>
      <c r="BN71" s="101"/>
      <c r="BO71" s="102"/>
      <c r="BP71" s="102"/>
      <c r="BQ71" s="102"/>
      <c r="BR71" s="102"/>
      <c r="BS71" s="103"/>
      <c r="BT71" s="104"/>
      <c r="BU71" s="105"/>
      <c r="BV71" s="105"/>
      <c r="BW71" s="103"/>
      <c r="BX71" s="106"/>
      <c r="BY71" s="107"/>
      <c r="BZ71" s="107"/>
      <c r="CA71" s="107"/>
      <c r="CB71" s="107"/>
    </row>
    <row r="72" spans="2:80" ht="30">
      <c r="B72" s="8" t="s">
        <v>864</v>
      </c>
      <c r="C72" s="8" t="s">
        <v>1320</v>
      </c>
      <c r="D72" s="8" t="s">
        <v>1600</v>
      </c>
      <c r="E72" s="8" t="s">
        <v>1701</v>
      </c>
      <c r="F72" s="8" t="s">
        <v>1670</v>
      </c>
      <c r="G72" s="147" t="s">
        <v>1619</v>
      </c>
      <c r="H72" s="49" t="s">
        <v>0</v>
      </c>
      <c r="I72" s="49" t="s">
        <v>1637</v>
      </c>
      <c r="J72" s="49" t="s">
        <v>1638</v>
      </c>
      <c r="K72" s="99"/>
      <c r="L72" s="100"/>
      <c r="M72" s="100"/>
      <c r="N72" s="100"/>
      <c r="O72" s="100"/>
      <c r="P72" s="101"/>
      <c r="Q72" s="102"/>
      <c r="R72" s="102"/>
      <c r="S72" s="102"/>
      <c r="T72" s="102"/>
      <c r="U72" s="75" t="s">
        <v>860</v>
      </c>
      <c r="V72" s="77"/>
      <c r="W72" s="77"/>
      <c r="X72" s="115"/>
      <c r="Y72" s="103"/>
      <c r="Z72" s="106"/>
      <c r="AA72" s="107"/>
      <c r="AB72" s="55" t="s">
        <v>861</v>
      </c>
      <c r="AC72" s="107"/>
      <c r="AD72" s="107"/>
      <c r="AE72" s="109"/>
      <c r="AF72" s="108"/>
      <c r="AG72" s="108"/>
      <c r="AH72" s="108"/>
      <c r="AI72" s="108"/>
      <c r="AJ72" s="99"/>
      <c r="AK72" s="100"/>
      <c r="AL72" s="100"/>
      <c r="AM72" s="100"/>
      <c r="AN72" s="100"/>
      <c r="AO72" s="101"/>
      <c r="AP72" s="102"/>
      <c r="AQ72" s="102"/>
      <c r="AR72" s="102"/>
      <c r="AS72" s="102"/>
      <c r="AT72" s="103"/>
      <c r="AU72" s="104"/>
      <c r="AV72" s="105"/>
      <c r="AW72" s="105"/>
      <c r="AX72" s="103"/>
      <c r="AY72" s="106"/>
      <c r="AZ72" s="107"/>
      <c r="BA72" s="107"/>
      <c r="BB72" s="107"/>
      <c r="BC72" s="107"/>
      <c r="BD72" s="109"/>
      <c r="BE72" s="108"/>
      <c r="BF72" s="108"/>
      <c r="BG72" s="108"/>
      <c r="BH72" s="108"/>
      <c r="BI72" s="99"/>
      <c r="BJ72" s="100"/>
      <c r="BK72" s="100"/>
      <c r="BL72" s="100"/>
      <c r="BM72" s="100"/>
      <c r="BN72" s="101"/>
      <c r="BO72" s="102"/>
      <c r="BP72" s="102"/>
      <c r="BQ72" s="102"/>
      <c r="BR72" s="102"/>
      <c r="BS72" s="103"/>
      <c r="BT72" s="104"/>
      <c r="BU72" s="105"/>
      <c r="BV72" s="105"/>
      <c r="BW72" s="103"/>
      <c r="BX72" s="106"/>
      <c r="BY72" s="107"/>
      <c r="BZ72" s="107"/>
      <c r="CA72" s="107"/>
      <c r="CB72" s="107"/>
    </row>
    <row r="73" spans="2:80" ht="30">
      <c r="B73" s="8" t="s">
        <v>864</v>
      </c>
      <c r="C73" s="8" t="s">
        <v>1320</v>
      </c>
      <c r="D73" s="8" t="s">
        <v>1702</v>
      </c>
      <c r="E73" s="8" t="s">
        <v>1703</v>
      </c>
      <c r="F73" s="8" t="s">
        <v>1670</v>
      </c>
      <c r="G73" s="147" t="s">
        <v>1671</v>
      </c>
      <c r="H73" s="49" t="s">
        <v>0</v>
      </c>
      <c r="I73" s="49" t="s">
        <v>1637</v>
      </c>
      <c r="J73" s="49" t="s">
        <v>1638</v>
      </c>
      <c r="K73" s="99"/>
      <c r="L73" s="100"/>
      <c r="M73" s="100"/>
      <c r="N73" s="100"/>
      <c r="O73" s="100"/>
      <c r="P73" s="101"/>
      <c r="Q73" s="102"/>
      <c r="R73" s="102"/>
      <c r="S73" s="102"/>
      <c r="T73" s="102"/>
      <c r="U73" s="75" t="s">
        <v>860</v>
      </c>
      <c r="V73" s="77"/>
      <c r="W73" s="77"/>
      <c r="X73" s="115"/>
      <c r="Y73" s="55" t="s">
        <v>861</v>
      </c>
      <c r="Z73" s="106"/>
      <c r="AA73" s="107"/>
      <c r="AB73" s="107"/>
      <c r="AC73" s="107"/>
      <c r="AD73" s="107"/>
      <c r="AE73" s="109"/>
      <c r="AF73" s="108"/>
      <c r="AG73" s="108"/>
      <c r="AH73" s="108"/>
      <c r="AI73" s="108"/>
      <c r="AJ73" s="99"/>
      <c r="AK73" s="100"/>
      <c r="AL73" s="100"/>
      <c r="AM73" s="100"/>
      <c r="AN73" s="100"/>
      <c r="AO73" s="101"/>
      <c r="AP73" s="102"/>
      <c r="AQ73" s="102"/>
      <c r="AR73" s="102"/>
      <c r="AS73" s="102"/>
      <c r="AT73" s="103"/>
      <c r="AU73" s="104"/>
      <c r="AV73" s="105"/>
      <c r="AW73" s="105"/>
      <c r="AX73" s="103"/>
      <c r="AY73" s="106"/>
      <c r="AZ73" s="107"/>
      <c r="BA73" s="107"/>
      <c r="BB73" s="107"/>
      <c r="BC73" s="107"/>
      <c r="BD73" s="109"/>
      <c r="BE73" s="108"/>
      <c r="BF73" s="108"/>
      <c r="BG73" s="108"/>
      <c r="BH73" s="108"/>
      <c r="BI73" s="99"/>
      <c r="BJ73" s="100"/>
      <c r="BK73" s="100"/>
      <c r="BL73" s="100"/>
      <c r="BM73" s="100"/>
      <c r="BN73" s="101"/>
      <c r="BO73" s="102"/>
      <c r="BP73" s="102"/>
      <c r="BQ73" s="102"/>
      <c r="BR73" s="102"/>
      <c r="BS73" s="103"/>
      <c r="BT73" s="104"/>
      <c r="BU73" s="105"/>
      <c r="BV73" s="105"/>
      <c r="BW73" s="103"/>
      <c r="BX73" s="106"/>
      <c r="BY73" s="107"/>
      <c r="BZ73" s="107"/>
      <c r="CA73" s="107"/>
      <c r="CB73" s="107"/>
    </row>
    <row r="74" spans="2:80" ht="30">
      <c r="B74" s="8" t="s">
        <v>864</v>
      </c>
      <c r="C74" s="8" t="s">
        <v>1320</v>
      </c>
      <c r="D74" s="8" t="s">
        <v>1704</v>
      </c>
      <c r="E74" s="8" t="s">
        <v>1705</v>
      </c>
      <c r="F74" s="8" t="s">
        <v>1670</v>
      </c>
      <c r="G74" s="147" t="s">
        <v>1619</v>
      </c>
      <c r="H74" s="49" t="s">
        <v>0</v>
      </c>
      <c r="I74" s="49" t="s">
        <v>1637</v>
      </c>
      <c r="J74" s="49" t="s">
        <v>1638</v>
      </c>
      <c r="K74" s="99"/>
      <c r="L74" s="100"/>
      <c r="M74" s="100"/>
      <c r="N74" s="100"/>
      <c r="O74" s="100"/>
      <c r="P74" s="101"/>
      <c r="Q74" s="102"/>
      <c r="R74" s="102"/>
      <c r="S74" s="102"/>
      <c r="T74" s="102"/>
      <c r="U74" s="75" t="s">
        <v>860</v>
      </c>
      <c r="V74" s="77"/>
      <c r="W74" s="77"/>
      <c r="X74" s="115"/>
      <c r="Y74" s="103"/>
      <c r="Z74" s="106"/>
      <c r="AA74" s="107"/>
      <c r="AB74" s="55" t="s">
        <v>861</v>
      </c>
      <c r="AC74" s="107"/>
      <c r="AD74" s="107"/>
      <c r="AE74" s="109"/>
      <c r="AF74" s="108"/>
      <c r="AG74" s="108"/>
      <c r="AH74" s="108"/>
      <c r="AI74" s="108"/>
      <c r="AJ74" s="99"/>
      <c r="AK74" s="100"/>
      <c r="AL74" s="100"/>
      <c r="AM74" s="100"/>
      <c r="AN74" s="100"/>
      <c r="AO74" s="101"/>
      <c r="AP74" s="102"/>
      <c r="AQ74" s="102"/>
      <c r="AR74" s="102"/>
      <c r="AS74" s="102"/>
      <c r="AT74" s="103"/>
      <c r="AU74" s="104"/>
      <c r="AV74" s="105"/>
      <c r="AW74" s="105"/>
      <c r="AX74" s="103"/>
      <c r="AY74" s="106"/>
      <c r="AZ74" s="107"/>
      <c r="BA74" s="107"/>
      <c r="BB74" s="107"/>
      <c r="BC74" s="107"/>
      <c r="BD74" s="109"/>
      <c r="BE74" s="108"/>
      <c r="BF74" s="108"/>
      <c r="BG74" s="108"/>
      <c r="BH74" s="108"/>
      <c r="BI74" s="99"/>
      <c r="BJ74" s="100"/>
      <c r="BK74" s="100"/>
      <c r="BL74" s="100"/>
      <c r="BM74" s="100"/>
      <c r="BN74" s="101"/>
      <c r="BO74" s="102"/>
      <c r="BP74" s="102"/>
      <c r="BQ74" s="102"/>
      <c r="BR74" s="102"/>
      <c r="BS74" s="103"/>
      <c r="BT74" s="104"/>
      <c r="BU74" s="105"/>
      <c r="BV74" s="105"/>
      <c r="BW74" s="103"/>
      <c r="BX74" s="106"/>
      <c r="BY74" s="107"/>
      <c r="BZ74" s="107"/>
      <c r="CA74" s="107"/>
      <c r="CB74" s="107"/>
    </row>
    <row r="75" spans="2:80" ht="30">
      <c r="B75" s="8" t="s">
        <v>864</v>
      </c>
      <c r="C75" s="8" t="s">
        <v>1320</v>
      </c>
      <c r="D75" s="8" t="s">
        <v>1706</v>
      </c>
      <c r="E75" s="8" t="s">
        <v>1707</v>
      </c>
      <c r="F75" s="8" t="s">
        <v>1670</v>
      </c>
      <c r="G75" s="147" t="s">
        <v>1619</v>
      </c>
      <c r="H75" s="49" t="s">
        <v>0</v>
      </c>
      <c r="I75" s="49" t="s">
        <v>1637</v>
      </c>
      <c r="J75" s="49" t="s">
        <v>1638</v>
      </c>
      <c r="K75" s="99"/>
      <c r="L75" s="100"/>
      <c r="M75" s="100"/>
      <c r="N75" s="100"/>
      <c r="O75" s="100"/>
      <c r="P75" s="101"/>
      <c r="Q75" s="102"/>
      <c r="R75" s="102"/>
      <c r="S75" s="102"/>
      <c r="T75" s="102"/>
      <c r="U75" s="75" t="s">
        <v>860</v>
      </c>
      <c r="V75" s="77"/>
      <c r="W75" s="77"/>
      <c r="X75" s="115"/>
      <c r="Y75" s="103"/>
      <c r="Z75" s="106"/>
      <c r="AA75" s="107"/>
      <c r="AB75" s="55" t="s">
        <v>861</v>
      </c>
      <c r="AC75" s="107"/>
      <c r="AD75" s="107"/>
      <c r="AE75" s="109"/>
      <c r="AF75" s="108"/>
      <c r="AG75" s="108"/>
      <c r="AH75" s="108"/>
      <c r="AI75" s="108"/>
      <c r="AJ75" s="99"/>
      <c r="AK75" s="100"/>
      <c r="AL75" s="100"/>
      <c r="AM75" s="100"/>
      <c r="AN75" s="100"/>
      <c r="AO75" s="101"/>
      <c r="AP75" s="102"/>
      <c r="AQ75" s="102"/>
      <c r="AR75" s="102"/>
      <c r="AS75" s="102"/>
      <c r="AT75" s="103"/>
      <c r="AU75" s="104"/>
      <c r="AV75" s="105"/>
      <c r="AW75" s="105"/>
      <c r="AX75" s="103"/>
      <c r="AY75" s="106"/>
      <c r="AZ75" s="107"/>
      <c r="BA75" s="107"/>
      <c r="BB75" s="107"/>
      <c r="BC75" s="107"/>
      <c r="BD75" s="109"/>
      <c r="BE75" s="108"/>
      <c r="BF75" s="108"/>
      <c r="BG75" s="108"/>
      <c r="BH75" s="108"/>
      <c r="BI75" s="99"/>
      <c r="BJ75" s="100"/>
      <c r="BK75" s="100"/>
      <c r="BL75" s="100"/>
      <c r="BM75" s="100"/>
      <c r="BN75" s="101"/>
      <c r="BO75" s="102"/>
      <c r="BP75" s="102"/>
      <c r="BQ75" s="102"/>
      <c r="BR75" s="102"/>
      <c r="BS75" s="103"/>
      <c r="BT75" s="104"/>
      <c r="BU75" s="105"/>
      <c r="BV75" s="105"/>
      <c r="BW75" s="103"/>
      <c r="BX75" s="106"/>
      <c r="BY75" s="107"/>
      <c r="BZ75" s="107"/>
      <c r="CA75" s="107"/>
      <c r="CB75" s="107"/>
    </row>
    <row r="76" spans="2:80" ht="30">
      <c r="B76" s="8" t="s">
        <v>864</v>
      </c>
      <c r="C76" s="8" t="s">
        <v>1320</v>
      </c>
      <c r="D76" s="8" t="s">
        <v>1708</v>
      </c>
      <c r="E76" s="8" t="s">
        <v>1709</v>
      </c>
      <c r="F76" s="8" t="s">
        <v>1670</v>
      </c>
      <c r="G76" s="147" t="s">
        <v>1619</v>
      </c>
      <c r="H76" s="49" t="s">
        <v>0</v>
      </c>
      <c r="I76" s="49" t="s">
        <v>1637</v>
      </c>
      <c r="J76" s="49" t="s">
        <v>1638</v>
      </c>
      <c r="K76" s="99"/>
      <c r="L76" s="100"/>
      <c r="M76" s="100"/>
      <c r="N76" s="100"/>
      <c r="O76" s="100"/>
      <c r="P76" s="101"/>
      <c r="Q76" s="102"/>
      <c r="R76" s="102"/>
      <c r="S76" s="102"/>
      <c r="T76" s="102"/>
      <c r="U76" s="75" t="s">
        <v>860</v>
      </c>
      <c r="V76" s="77"/>
      <c r="W76" s="77"/>
      <c r="X76" s="115"/>
      <c r="Y76" s="103"/>
      <c r="Z76" s="106"/>
      <c r="AA76" s="107"/>
      <c r="AB76" s="55" t="s">
        <v>861</v>
      </c>
      <c r="AC76" s="107"/>
      <c r="AD76" s="107"/>
      <c r="AE76" s="109"/>
      <c r="AF76" s="108"/>
      <c r="AG76" s="108"/>
      <c r="AH76" s="108"/>
      <c r="AI76" s="108"/>
      <c r="AJ76" s="99"/>
      <c r="AK76" s="100"/>
      <c r="AL76" s="100"/>
      <c r="AM76" s="100"/>
      <c r="AN76" s="100"/>
      <c r="AO76" s="101"/>
      <c r="AP76" s="102"/>
      <c r="AQ76" s="102"/>
      <c r="AR76" s="102"/>
      <c r="AS76" s="102"/>
      <c r="AT76" s="103"/>
      <c r="AU76" s="104"/>
      <c r="AV76" s="105"/>
      <c r="AW76" s="105"/>
      <c r="AX76" s="103"/>
      <c r="AY76" s="106"/>
      <c r="AZ76" s="107"/>
      <c r="BA76" s="107"/>
      <c r="BB76" s="107"/>
      <c r="BC76" s="107"/>
      <c r="BD76" s="109"/>
      <c r="BE76" s="108"/>
      <c r="BF76" s="108"/>
      <c r="BG76" s="108"/>
      <c r="BH76" s="108"/>
      <c r="BI76" s="99"/>
      <c r="BJ76" s="100"/>
      <c r="BK76" s="100"/>
      <c r="BL76" s="100"/>
      <c r="BM76" s="100"/>
      <c r="BN76" s="101"/>
      <c r="BO76" s="102"/>
      <c r="BP76" s="102"/>
      <c r="BQ76" s="102"/>
      <c r="BR76" s="102"/>
      <c r="BS76" s="103"/>
      <c r="BT76" s="104"/>
      <c r="BU76" s="105"/>
      <c r="BV76" s="105"/>
      <c r="BW76" s="103"/>
      <c r="BX76" s="106"/>
      <c r="BY76" s="107"/>
      <c r="BZ76" s="107"/>
      <c r="CA76" s="107"/>
      <c r="CB76" s="107"/>
    </row>
    <row r="77" spans="2:80" ht="30">
      <c r="B77" s="8" t="s">
        <v>864</v>
      </c>
      <c r="C77" s="8" t="s">
        <v>1414</v>
      </c>
      <c r="D77" s="8" t="s">
        <v>1484</v>
      </c>
      <c r="E77" s="8" t="s">
        <v>1485</v>
      </c>
      <c r="F77" s="8" t="s">
        <v>1670</v>
      </c>
      <c r="G77" s="147" t="s">
        <v>1619</v>
      </c>
      <c r="H77" s="49" t="s">
        <v>0</v>
      </c>
      <c r="I77" s="49" t="s">
        <v>1637</v>
      </c>
      <c r="J77" s="49" t="s">
        <v>1638</v>
      </c>
      <c r="K77" s="99"/>
      <c r="L77" s="100"/>
      <c r="M77" s="100"/>
      <c r="N77" s="100"/>
      <c r="O77" s="100"/>
      <c r="P77" s="101"/>
      <c r="Q77" s="102"/>
      <c r="R77" s="102"/>
      <c r="S77" s="102"/>
      <c r="T77" s="102"/>
      <c r="U77" s="75" t="s">
        <v>860</v>
      </c>
      <c r="V77" s="77"/>
      <c r="W77" s="77"/>
      <c r="X77" s="115"/>
      <c r="Y77" s="103"/>
      <c r="Z77" s="106"/>
      <c r="AA77" s="107"/>
      <c r="AB77" s="55" t="s">
        <v>861</v>
      </c>
      <c r="AC77" s="107"/>
      <c r="AD77" s="107"/>
      <c r="AE77" s="109"/>
      <c r="AF77" s="108"/>
      <c r="AG77" s="108"/>
      <c r="AH77" s="108"/>
      <c r="AI77" s="108"/>
      <c r="AJ77" s="99"/>
      <c r="AK77" s="100"/>
      <c r="AL77" s="100"/>
      <c r="AM77" s="100"/>
      <c r="AN77" s="100"/>
      <c r="AO77" s="101"/>
      <c r="AP77" s="102"/>
      <c r="AQ77" s="102"/>
      <c r="AR77" s="102"/>
      <c r="AS77" s="102"/>
      <c r="AT77" s="103"/>
      <c r="AU77" s="104"/>
      <c r="AV77" s="105"/>
      <c r="AW77" s="105"/>
      <c r="AX77" s="103"/>
      <c r="AY77" s="106"/>
      <c r="AZ77" s="107"/>
      <c r="BA77" s="107"/>
      <c r="BB77" s="107"/>
      <c r="BC77" s="107"/>
      <c r="BD77" s="109"/>
      <c r="BE77" s="108"/>
      <c r="BF77" s="108"/>
      <c r="BG77" s="108"/>
      <c r="BH77" s="108"/>
      <c r="BI77" s="99"/>
      <c r="BJ77" s="100"/>
      <c r="BK77" s="100"/>
      <c r="BL77" s="100"/>
      <c r="BM77" s="100"/>
      <c r="BN77" s="101"/>
      <c r="BO77" s="102"/>
      <c r="BP77" s="102"/>
      <c r="BQ77" s="102"/>
      <c r="BR77" s="102"/>
      <c r="BS77" s="103"/>
      <c r="BT77" s="104"/>
      <c r="BU77" s="105"/>
      <c r="BV77" s="105"/>
      <c r="BW77" s="103"/>
      <c r="BX77" s="106"/>
      <c r="BY77" s="107"/>
      <c r="BZ77" s="107"/>
      <c r="CA77" s="107"/>
      <c r="CB77" s="107"/>
    </row>
    <row r="78" spans="2:80" ht="30">
      <c r="B78" s="8" t="s">
        <v>864</v>
      </c>
      <c r="C78" s="8" t="s">
        <v>1414</v>
      </c>
      <c r="D78" s="8" t="s">
        <v>1486</v>
      </c>
      <c r="E78" s="8" t="s">
        <v>1487</v>
      </c>
      <c r="F78" s="8" t="s">
        <v>1670</v>
      </c>
      <c r="G78" s="147" t="s">
        <v>1619</v>
      </c>
      <c r="H78" s="49" t="s">
        <v>0</v>
      </c>
      <c r="I78" s="49" t="s">
        <v>1637</v>
      </c>
      <c r="J78" s="49" t="s">
        <v>1638</v>
      </c>
      <c r="K78" s="99"/>
      <c r="L78" s="100"/>
      <c r="M78" s="100"/>
      <c r="N78" s="100"/>
      <c r="O78" s="100"/>
      <c r="P78" s="101"/>
      <c r="Q78" s="102"/>
      <c r="R78" s="102"/>
      <c r="S78" s="102"/>
      <c r="T78" s="102"/>
      <c r="U78" s="75" t="s">
        <v>860</v>
      </c>
      <c r="V78" s="77"/>
      <c r="W78" s="77"/>
      <c r="X78" s="115"/>
      <c r="Y78" s="103"/>
      <c r="Z78" s="106"/>
      <c r="AA78" s="107"/>
      <c r="AB78" s="55" t="s">
        <v>861</v>
      </c>
      <c r="AC78" s="107"/>
      <c r="AD78" s="107"/>
      <c r="AE78" s="109"/>
      <c r="AF78" s="108"/>
      <c r="AG78" s="108"/>
      <c r="AH78" s="108"/>
      <c r="AI78" s="108"/>
      <c r="AJ78" s="99"/>
      <c r="AK78" s="100"/>
      <c r="AL78" s="100"/>
      <c r="AM78" s="100"/>
      <c r="AN78" s="100"/>
      <c r="AO78" s="101"/>
      <c r="AP78" s="102"/>
      <c r="AQ78" s="102"/>
      <c r="AR78" s="102"/>
      <c r="AS78" s="102"/>
      <c r="AT78" s="103"/>
      <c r="AU78" s="104"/>
      <c r="AV78" s="105"/>
      <c r="AW78" s="105"/>
      <c r="AX78" s="103"/>
      <c r="AY78" s="106"/>
      <c r="AZ78" s="107"/>
      <c r="BA78" s="107"/>
      <c r="BB78" s="107"/>
      <c r="BC78" s="107"/>
      <c r="BD78" s="109"/>
      <c r="BE78" s="108"/>
      <c r="BF78" s="108"/>
      <c r="BG78" s="108"/>
      <c r="BH78" s="108"/>
      <c r="BI78" s="99"/>
      <c r="BJ78" s="100"/>
      <c r="BK78" s="100"/>
      <c r="BL78" s="100"/>
      <c r="BM78" s="100"/>
      <c r="BN78" s="101"/>
      <c r="BO78" s="102"/>
      <c r="BP78" s="102"/>
      <c r="BQ78" s="102"/>
      <c r="BR78" s="102"/>
      <c r="BS78" s="103"/>
      <c r="BT78" s="104"/>
      <c r="BU78" s="105"/>
      <c r="BV78" s="105"/>
      <c r="BW78" s="103"/>
      <c r="BX78" s="106"/>
      <c r="BY78" s="107"/>
      <c r="BZ78" s="107"/>
      <c r="CA78" s="107"/>
      <c r="CB78" s="107"/>
    </row>
    <row r="79" spans="2:80" ht="30">
      <c r="B79" s="8" t="s">
        <v>864</v>
      </c>
      <c r="C79" s="8" t="s">
        <v>1414</v>
      </c>
      <c r="D79" s="8" t="s">
        <v>1710</v>
      </c>
      <c r="E79" s="8" t="s">
        <v>1474</v>
      </c>
      <c r="F79" s="8" t="s">
        <v>1670</v>
      </c>
      <c r="G79" s="147" t="s">
        <v>1619</v>
      </c>
      <c r="H79" s="49" t="s">
        <v>0</v>
      </c>
      <c r="I79" s="49" t="s">
        <v>1637</v>
      </c>
      <c r="J79" s="49" t="s">
        <v>1638</v>
      </c>
      <c r="K79" s="99"/>
      <c r="L79" s="100"/>
      <c r="M79" s="100"/>
      <c r="N79" s="100"/>
      <c r="O79" s="100"/>
      <c r="P79" s="101"/>
      <c r="Q79" s="102"/>
      <c r="R79" s="102"/>
      <c r="S79" s="102"/>
      <c r="T79" s="102"/>
      <c r="U79" s="75" t="s">
        <v>860</v>
      </c>
      <c r="V79" s="77"/>
      <c r="W79" s="77"/>
      <c r="X79" s="115"/>
      <c r="Y79" s="103"/>
      <c r="Z79" s="106"/>
      <c r="AA79" s="107"/>
      <c r="AB79" s="55" t="s">
        <v>861</v>
      </c>
      <c r="AC79" s="107"/>
      <c r="AD79" s="107"/>
      <c r="AE79" s="109"/>
      <c r="AF79" s="108"/>
      <c r="AG79" s="108"/>
      <c r="AH79" s="108"/>
      <c r="AI79" s="108"/>
      <c r="AJ79" s="99"/>
      <c r="AK79" s="100"/>
      <c r="AL79" s="100"/>
      <c r="AM79" s="100"/>
      <c r="AN79" s="100"/>
      <c r="AO79" s="101"/>
      <c r="AP79" s="102"/>
      <c r="AQ79" s="102"/>
      <c r="AR79" s="102"/>
      <c r="AS79" s="102"/>
      <c r="AT79" s="103"/>
      <c r="AU79" s="104"/>
      <c r="AV79" s="105"/>
      <c r="AW79" s="105"/>
      <c r="AX79" s="103"/>
      <c r="AY79" s="106"/>
      <c r="AZ79" s="107"/>
      <c r="BA79" s="107"/>
      <c r="BB79" s="107"/>
      <c r="BC79" s="107"/>
      <c r="BD79" s="109"/>
      <c r="BE79" s="108"/>
      <c r="BF79" s="108"/>
      <c r="BG79" s="108"/>
      <c r="BH79" s="108"/>
      <c r="BI79" s="99"/>
      <c r="BJ79" s="100"/>
      <c r="BK79" s="100"/>
      <c r="BL79" s="100"/>
      <c r="BM79" s="100"/>
      <c r="BN79" s="101"/>
      <c r="BO79" s="102"/>
      <c r="BP79" s="102"/>
      <c r="BQ79" s="102"/>
      <c r="BR79" s="102"/>
      <c r="BS79" s="103"/>
      <c r="BT79" s="104"/>
      <c r="BU79" s="105"/>
      <c r="BV79" s="105"/>
      <c r="BW79" s="103"/>
      <c r="BX79" s="106"/>
      <c r="BY79" s="107"/>
      <c r="BZ79" s="107"/>
      <c r="CA79" s="107"/>
      <c r="CB79" s="107"/>
    </row>
    <row r="80" spans="2:80" ht="30">
      <c r="B80" s="8" t="s">
        <v>864</v>
      </c>
      <c r="C80" s="8" t="s">
        <v>1414</v>
      </c>
      <c r="D80" s="8" t="s">
        <v>1711</v>
      </c>
      <c r="E80" s="8" t="s">
        <v>1712</v>
      </c>
      <c r="F80" s="8" t="s">
        <v>1670</v>
      </c>
      <c r="G80" s="147" t="s">
        <v>1619</v>
      </c>
      <c r="H80" s="49" t="s">
        <v>0</v>
      </c>
      <c r="I80" s="49" t="s">
        <v>1637</v>
      </c>
      <c r="J80" s="49" t="s">
        <v>1638</v>
      </c>
      <c r="K80" s="99"/>
      <c r="L80" s="100"/>
      <c r="M80" s="100"/>
      <c r="N80" s="100"/>
      <c r="O80" s="100"/>
      <c r="P80" s="101"/>
      <c r="Q80" s="102"/>
      <c r="R80" s="102"/>
      <c r="S80" s="102"/>
      <c r="T80" s="102"/>
      <c r="U80" s="75" t="s">
        <v>860</v>
      </c>
      <c r="V80" s="77"/>
      <c r="W80" s="77"/>
      <c r="X80" s="115"/>
      <c r="Y80" s="103"/>
      <c r="Z80" s="106"/>
      <c r="AA80" s="107"/>
      <c r="AB80" s="55" t="s">
        <v>861</v>
      </c>
      <c r="AC80" s="107"/>
      <c r="AD80" s="107"/>
      <c r="AE80" s="109"/>
      <c r="AF80" s="108"/>
      <c r="AG80" s="108"/>
      <c r="AH80" s="108"/>
      <c r="AI80" s="108"/>
      <c r="AJ80" s="99"/>
      <c r="AK80" s="100"/>
      <c r="AL80" s="100"/>
      <c r="AM80" s="100"/>
      <c r="AN80" s="100"/>
      <c r="AO80" s="101"/>
      <c r="AP80" s="102"/>
      <c r="AQ80" s="102"/>
      <c r="AR80" s="102"/>
      <c r="AS80" s="102"/>
      <c r="AT80" s="103"/>
      <c r="AU80" s="104"/>
      <c r="AV80" s="105"/>
      <c r="AW80" s="105"/>
      <c r="AX80" s="103"/>
      <c r="AY80" s="106"/>
      <c r="AZ80" s="107"/>
      <c r="BA80" s="107"/>
      <c r="BB80" s="107"/>
      <c r="BC80" s="107"/>
      <c r="BD80" s="109"/>
      <c r="BE80" s="108"/>
      <c r="BF80" s="108"/>
      <c r="BG80" s="108"/>
      <c r="BH80" s="108"/>
      <c r="BI80" s="99"/>
      <c r="BJ80" s="100"/>
      <c r="BK80" s="100"/>
      <c r="BL80" s="100"/>
      <c r="BM80" s="100"/>
      <c r="BN80" s="101"/>
      <c r="BO80" s="102"/>
      <c r="BP80" s="102"/>
      <c r="BQ80" s="102"/>
      <c r="BR80" s="102"/>
      <c r="BS80" s="103"/>
      <c r="BT80" s="104"/>
      <c r="BU80" s="105"/>
      <c r="BV80" s="105"/>
      <c r="BW80" s="103"/>
      <c r="BX80" s="106"/>
      <c r="BY80" s="107"/>
      <c r="BZ80" s="107"/>
      <c r="CA80" s="107"/>
      <c r="CB80" s="107"/>
    </row>
    <row r="81" spans="2:80" ht="30">
      <c r="B81" s="8" t="s">
        <v>864</v>
      </c>
      <c r="C81" s="8" t="s">
        <v>1316</v>
      </c>
      <c r="D81" s="8" t="s">
        <v>1713</v>
      </c>
      <c r="E81" s="8" t="s">
        <v>1714</v>
      </c>
      <c r="F81" s="8" t="s">
        <v>1670</v>
      </c>
      <c r="G81" s="147" t="s">
        <v>1671</v>
      </c>
      <c r="H81" s="49" t="s">
        <v>0</v>
      </c>
      <c r="I81" s="49" t="s">
        <v>1637</v>
      </c>
      <c r="J81" s="49" t="s">
        <v>1638</v>
      </c>
      <c r="K81" s="99"/>
      <c r="L81" s="100"/>
      <c r="M81" s="100"/>
      <c r="N81" s="100"/>
      <c r="O81" s="100"/>
      <c r="P81" s="101"/>
      <c r="Q81" s="102"/>
      <c r="R81" s="102"/>
      <c r="S81" s="102"/>
      <c r="T81" s="102"/>
      <c r="U81" s="75" t="s">
        <v>860</v>
      </c>
      <c r="V81" s="77"/>
      <c r="W81" s="77"/>
      <c r="X81" s="115"/>
      <c r="Y81" s="55" t="s">
        <v>861</v>
      </c>
      <c r="Z81" s="106"/>
      <c r="AA81" s="107"/>
      <c r="AB81" s="107"/>
      <c r="AC81" s="107"/>
      <c r="AD81" s="107"/>
      <c r="AE81" s="109"/>
      <c r="AF81" s="108"/>
      <c r="AG81" s="108"/>
      <c r="AH81" s="108"/>
      <c r="AI81" s="108"/>
      <c r="AJ81" s="99"/>
      <c r="AK81" s="100"/>
      <c r="AL81" s="100"/>
      <c r="AM81" s="100"/>
      <c r="AN81" s="100"/>
      <c r="AO81" s="101"/>
      <c r="AP81" s="102"/>
      <c r="AQ81" s="102"/>
      <c r="AR81" s="102"/>
      <c r="AS81" s="102"/>
      <c r="AT81" s="103"/>
      <c r="AU81" s="104"/>
      <c r="AV81" s="105"/>
      <c r="AW81" s="105"/>
      <c r="AX81" s="103"/>
      <c r="AY81" s="106"/>
      <c r="AZ81" s="107"/>
      <c r="BA81" s="107"/>
      <c r="BB81" s="107"/>
      <c r="BC81" s="107"/>
      <c r="BD81" s="109"/>
      <c r="BE81" s="108"/>
      <c r="BF81" s="108"/>
      <c r="BG81" s="108"/>
      <c r="BH81" s="108"/>
      <c r="BI81" s="99"/>
      <c r="BJ81" s="100"/>
      <c r="BK81" s="100"/>
      <c r="BL81" s="100"/>
      <c r="BM81" s="100"/>
      <c r="BN81" s="101"/>
      <c r="BO81" s="102"/>
      <c r="BP81" s="102"/>
      <c r="BQ81" s="102"/>
      <c r="BR81" s="102"/>
      <c r="BS81" s="103"/>
      <c r="BT81" s="104"/>
      <c r="BU81" s="105"/>
      <c r="BV81" s="105"/>
      <c r="BW81" s="103"/>
      <c r="BX81" s="106"/>
      <c r="BY81" s="107"/>
      <c r="BZ81" s="107"/>
      <c r="CA81" s="107"/>
      <c r="CB81" s="107"/>
    </row>
    <row r="82" spans="2:80" ht="30">
      <c r="B82" s="8" t="s">
        <v>864</v>
      </c>
      <c r="C82" s="8" t="s">
        <v>1316</v>
      </c>
      <c r="D82" s="8" t="s">
        <v>1715</v>
      </c>
      <c r="E82" s="8" t="s">
        <v>1476</v>
      </c>
      <c r="F82" s="8" t="s">
        <v>1670</v>
      </c>
      <c r="G82" s="147" t="s">
        <v>1671</v>
      </c>
      <c r="H82" s="49" t="s">
        <v>0</v>
      </c>
      <c r="I82" s="49" t="s">
        <v>1637</v>
      </c>
      <c r="J82" s="49" t="s">
        <v>1638</v>
      </c>
      <c r="K82" s="99"/>
      <c r="L82" s="100"/>
      <c r="M82" s="100"/>
      <c r="N82" s="100"/>
      <c r="O82" s="100"/>
      <c r="P82" s="101"/>
      <c r="Q82" s="102"/>
      <c r="R82" s="102"/>
      <c r="S82" s="102"/>
      <c r="T82" s="102"/>
      <c r="U82" s="75" t="s">
        <v>860</v>
      </c>
      <c r="V82" s="77"/>
      <c r="W82" s="77"/>
      <c r="X82" s="115"/>
      <c r="Y82" s="55" t="s">
        <v>861</v>
      </c>
      <c r="Z82" s="106"/>
      <c r="AA82" s="107"/>
      <c r="AB82" s="107"/>
      <c r="AC82" s="107"/>
      <c r="AD82" s="107"/>
      <c r="AE82" s="109"/>
      <c r="AF82" s="108"/>
      <c r="AG82" s="108"/>
      <c r="AH82" s="108"/>
      <c r="AI82" s="108"/>
      <c r="AJ82" s="99"/>
      <c r="AK82" s="100"/>
      <c r="AL82" s="100"/>
      <c r="AM82" s="100"/>
      <c r="AN82" s="100"/>
      <c r="AO82" s="101"/>
      <c r="AP82" s="102"/>
      <c r="AQ82" s="102"/>
      <c r="AR82" s="102"/>
      <c r="AS82" s="102"/>
      <c r="AT82" s="103"/>
      <c r="AU82" s="104"/>
      <c r="AV82" s="105"/>
      <c r="AW82" s="105"/>
      <c r="AX82" s="103"/>
      <c r="AY82" s="106"/>
      <c r="AZ82" s="107"/>
      <c r="BA82" s="107"/>
      <c r="BB82" s="107"/>
      <c r="BC82" s="107"/>
      <c r="BD82" s="109"/>
      <c r="BE82" s="108"/>
      <c r="BF82" s="108"/>
      <c r="BG82" s="108"/>
      <c r="BH82" s="108"/>
      <c r="BI82" s="99"/>
      <c r="BJ82" s="100"/>
      <c r="BK82" s="100"/>
      <c r="BL82" s="100"/>
      <c r="BM82" s="100"/>
      <c r="BN82" s="101"/>
      <c r="BO82" s="102"/>
      <c r="BP82" s="102"/>
      <c r="BQ82" s="102"/>
      <c r="BR82" s="102"/>
      <c r="BS82" s="103"/>
      <c r="BT82" s="104"/>
      <c r="BU82" s="105"/>
      <c r="BV82" s="105"/>
      <c r="BW82" s="103"/>
      <c r="BX82" s="106"/>
      <c r="BY82" s="107"/>
      <c r="BZ82" s="107"/>
      <c r="CA82" s="107"/>
      <c r="CB82" s="107"/>
    </row>
    <row r="83" spans="2:80" ht="30">
      <c r="B83" s="8" t="s">
        <v>864</v>
      </c>
      <c r="C83" s="8" t="s">
        <v>1316</v>
      </c>
      <c r="D83" s="8" t="s">
        <v>1716</v>
      </c>
      <c r="E83" s="8" t="s">
        <v>1717</v>
      </c>
      <c r="F83" s="8" t="s">
        <v>1670</v>
      </c>
      <c r="G83" s="147" t="s">
        <v>1671</v>
      </c>
      <c r="H83" s="49" t="s">
        <v>0</v>
      </c>
      <c r="I83" s="49" t="s">
        <v>1637</v>
      </c>
      <c r="J83" s="49" t="s">
        <v>1638</v>
      </c>
      <c r="K83" s="99"/>
      <c r="L83" s="100"/>
      <c r="M83" s="100"/>
      <c r="N83" s="100"/>
      <c r="O83" s="100"/>
      <c r="P83" s="101"/>
      <c r="Q83" s="102"/>
      <c r="R83" s="102"/>
      <c r="S83" s="102"/>
      <c r="T83" s="102"/>
      <c r="U83" s="75" t="s">
        <v>860</v>
      </c>
      <c r="V83" s="77"/>
      <c r="W83" s="77"/>
      <c r="X83" s="115"/>
      <c r="Y83" s="55" t="s">
        <v>861</v>
      </c>
      <c r="Z83" s="106"/>
      <c r="AA83" s="107"/>
      <c r="AB83" s="107"/>
      <c r="AC83" s="107"/>
      <c r="AD83" s="107"/>
      <c r="AE83" s="109"/>
      <c r="AF83" s="108"/>
      <c r="AG83" s="108"/>
      <c r="AH83" s="108"/>
      <c r="AI83" s="108"/>
      <c r="AJ83" s="99"/>
      <c r="AK83" s="100"/>
      <c r="AL83" s="100"/>
      <c r="AM83" s="100"/>
      <c r="AN83" s="100"/>
      <c r="AO83" s="101"/>
      <c r="AP83" s="102"/>
      <c r="AQ83" s="102"/>
      <c r="AR83" s="102"/>
      <c r="AS83" s="102"/>
      <c r="AT83" s="103"/>
      <c r="AU83" s="104"/>
      <c r="AV83" s="105"/>
      <c r="AW83" s="105"/>
      <c r="AX83" s="103"/>
      <c r="AY83" s="106"/>
      <c r="AZ83" s="107"/>
      <c r="BA83" s="107"/>
      <c r="BB83" s="107"/>
      <c r="BC83" s="107"/>
      <c r="BD83" s="109"/>
      <c r="BE83" s="108"/>
      <c r="BF83" s="108"/>
      <c r="BG83" s="108"/>
      <c r="BH83" s="108"/>
      <c r="BI83" s="99"/>
      <c r="BJ83" s="100"/>
      <c r="BK83" s="100"/>
      <c r="BL83" s="100"/>
      <c r="BM83" s="100"/>
      <c r="BN83" s="101"/>
      <c r="BO83" s="102"/>
      <c r="BP83" s="102"/>
      <c r="BQ83" s="102"/>
      <c r="BR83" s="102"/>
      <c r="BS83" s="103"/>
      <c r="BT83" s="104"/>
      <c r="BU83" s="105"/>
      <c r="BV83" s="105"/>
      <c r="BW83" s="103"/>
      <c r="BX83" s="106"/>
      <c r="BY83" s="107"/>
      <c r="BZ83" s="107"/>
      <c r="CA83" s="107"/>
      <c r="CB83" s="107"/>
    </row>
    <row r="84" spans="2:80" ht="30">
      <c r="B84" s="8" t="s">
        <v>864</v>
      </c>
      <c r="C84" s="8" t="s">
        <v>1316</v>
      </c>
      <c r="D84" s="8" t="s">
        <v>1555</v>
      </c>
      <c r="E84" s="8" t="s">
        <v>1479</v>
      </c>
      <c r="F84" s="8" t="s">
        <v>1670</v>
      </c>
      <c r="G84" s="148" t="s">
        <v>1718</v>
      </c>
      <c r="H84" s="49" t="s">
        <v>0</v>
      </c>
      <c r="I84" s="49" t="s">
        <v>1637</v>
      </c>
      <c r="J84" s="49" t="s">
        <v>1638</v>
      </c>
      <c r="K84" s="99"/>
      <c r="L84" s="100"/>
      <c r="M84" s="100"/>
      <c r="N84" s="100"/>
      <c r="O84" s="100"/>
      <c r="P84" s="101"/>
      <c r="Q84" s="102"/>
      <c r="R84" s="102"/>
      <c r="S84" s="102"/>
      <c r="T84" s="102"/>
      <c r="U84" s="75" t="s">
        <v>860</v>
      </c>
      <c r="V84" s="77"/>
      <c r="W84" s="55" t="s">
        <v>861</v>
      </c>
      <c r="X84" s="115"/>
      <c r="Y84" s="103"/>
      <c r="Z84" s="106"/>
      <c r="AA84" s="107"/>
      <c r="AB84" s="107"/>
      <c r="AC84" s="107"/>
      <c r="AD84" s="107"/>
      <c r="AE84" s="109"/>
      <c r="AF84" s="108"/>
      <c r="AG84" s="108"/>
      <c r="AH84" s="108"/>
      <c r="AI84" s="108"/>
      <c r="AJ84" s="99"/>
      <c r="AK84" s="100"/>
      <c r="AL84" s="100"/>
      <c r="AM84" s="100"/>
      <c r="AN84" s="100"/>
      <c r="AO84" s="101"/>
      <c r="AP84" s="102"/>
      <c r="AQ84" s="102"/>
      <c r="AR84" s="102"/>
      <c r="AS84" s="102"/>
      <c r="AT84" s="103"/>
      <c r="AU84" s="104"/>
      <c r="AV84" s="105"/>
      <c r="AW84" s="105"/>
      <c r="AX84" s="103"/>
      <c r="AY84" s="106"/>
      <c r="AZ84" s="107"/>
      <c r="BA84" s="107"/>
      <c r="BB84" s="107"/>
      <c r="BC84" s="107"/>
      <c r="BD84" s="109"/>
      <c r="BE84" s="108"/>
      <c r="BF84" s="108"/>
      <c r="BG84" s="108"/>
      <c r="BH84" s="108"/>
      <c r="BI84" s="99"/>
      <c r="BJ84" s="100"/>
      <c r="BK84" s="100"/>
      <c r="BL84" s="100"/>
      <c r="BM84" s="100"/>
      <c r="BN84" s="101"/>
      <c r="BO84" s="102"/>
      <c r="BP84" s="102"/>
      <c r="BQ84" s="102"/>
      <c r="BR84" s="102"/>
      <c r="BS84" s="103"/>
      <c r="BT84" s="104"/>
      <c r="BU84" s="105"/>
      <c r="BV84" s="105"/>
      <c r="BW84" s="103"/>
      <c r="BX84" s="106"/>
      <c r="BY84" s="107"/>
      <c r="BZ84" s="107"/>
      <c r="CA84" s="107"/>
      <c r="CB84" s="107"/>
    </row>
    <row r="85" spans="2:80" ht="30">
      <c r="B85" s="8" t="s">
        <v>864</v>
      </c>
      <c r="C85" s="8" t="s">
        <v>1316</v>
      </c>
      <c r="D85" s="8" t="s">
        <v>1556</v>
      </c>
      <c r="E85" s="8" t="s">
        <v>1481</v>
      </c>
      <c r="F85" s="8" t="s">
        <v>1670</v>
      </c>
      <c r="G85" s="148" t="s">
        <v>1718</v>
      </c>
      <c r="H85" s="49" t="s">
        <v>0</v>
      </c>
      <c r="I85" s="49" t="s">
        <v>1637</v>
      </c>
      <c r="J85" s="49" t="s">
        <v>1638</v>
      </c>
      <c r="K85" s="99"/>
      <c r="L85" s="100"/>
      <c r="M85" s="100"/>
      <c r="N85" s="100"/>
      <c r="O85" s="100"/>
      <c r="P85" s="101"/>
      <c r="Q85" s="102"/>
      <c r="R85" s="102"/>
      <c r="S85" s="102"/>
      <c r="T85" s="102"/>
      <c r="U85" s="75" t="s">
        <v>860</v>
      </c>
      <c r="V85" s="77"/>
      <c r="W85" s="55" t="s">
        <v>861</v>
      </c>
      <c r="X85" s="115"/>
      <c r="Y85" s="103"/>
      <c r="Z85" s="106"/>
      <c r="AA85" s="107"/>
      <c r="AB85" s="107"/>
      <c r="AC85" s="107"/>
      <c r="AD85" s="107"/>
      <c r="AE85" s="109"/>
      <c r="AF85" s="108"/>
      <c r="AG85" s="108"/>
      <c r="AH85" s="108"/>
      <c r="AI85" s="108"/>
      <c r="AJ85" s="99"/>
      <c r="AK85" s="100"/>
      <c r="AL85" s="100"/>
      <c r="AM85" s="100"/>
      <c r="AN85" s="100"/>
      <c r="AO85" s="101"/>
      <c r="AP85" s="102"/>
      <c r="AQ85" s="102"/>
      <c r="AR85" s="102"/>
      <c r="AS85" s="102"/>
      <c r="AT85" s="103"/>
      <c r="AU85" s="104"/>
      <c r="AV85" s="105"/>
      <c r="AW85" s="105"/>
      <c r="AX85" s="103"/>
      <c r="AY85" s="106"/>
      <c r="AZ85" s="107"/>
      <c r="BA85" s="107"/>
      <c r="BB85" s="107"/>
      <c r="BC85" s="107"/>
      <c r="BD85" s="109"/>
      <c r="BE85" s="108"/>
      <c r="BF85" s="108"/>
      <c r="BG85" s="108"/>
      <c r="BH85" s="108"/>
      <c r="BI85" s="99"/>
      <c r="BJ85" s="100"/>
      <c r="BK85" s="100"/>
      <c r="BL85" s="100"/>
      <c r="BM85" s="100"/>
      <c r="BN85" s="101"/>
      <c r="BO85" s="102"/>
      <c r="BP85" s="102"/>
      <c r="BQ85" s="102"/>
      <c r="BR85" s="102"/>
      <c r="BS85" s="103"/>
      <c r="BT85" s="104"/>
      <c r="BU85" s="105"/>
      <c r="BV85" s="105"/>
      <c r="BW85" s="103"/>
      <c r="BX85" s="106"/>
      <c r="BY85" s="107"/>
      <c r="BZ85" s="107"/>
      <c r="CA85" s="107"/>
      <c r="CB85" s="107"/>
    </row>
    <row r="86" spans="2:80" ht="30">
      <c r="B86" s="8" t="s">
        <v>864</v>
      </c>
      <c r="C86" s="8" t="s">
        <v>1316</v>
      </c>
      <c r="D86" s="8" t="s">
        <v>1569</v>
      </c>
      <c r="E86" s="8" t="s">
        <v>1570</v>
      </c>
      <c r="F86" s="8" t="s">
        <v>1670</v>
      </c>
      <c r="G86" s="148" t="s">
        <v>1718</v>
      </c>
      <c r="H86" s="49" t="s">
        <v>0</v>
      </c>
      <c r="I86" s="49" t="s">
        <v>1637</v>
      </c>
      <c r="J86" s="49" t="s">
        <v>1638</v>
      </c>
      <c r="K86" s="99"/>
      <c r="L86" s="100"/>
      <c r="M86" s="100"/>
      <c r="N86" s="100"/>
      <c r="O86" s="100"/>
      <c r="P86" s="101"/>
      <c r="Q86" s="102"/>
      <c r="R86" s="102"/>
      <c r="S86" s="102"/>
      <c r="T86" s="102"/>
      <c r="U86" s="75" t="s">
        <v>860</v>
      </c>
      <c r="V86" s="77"/>
      <c r="W86" s="55" t="s">
        <v>861</v>
      </c>
      <c r="X86" s="115"/>
      <c r="Y86" s="103"/>
      <c r="Z86" s="106"/>
      <c r="AA86" s="107"/>
      <c r="AB86" s="107"/>
      <c r="AC86" s="107"/>
      <c r="AD86" s="107"/>
      <c r="AE86" s="109"/>
      <c r="AF86" s="108"/>
      <c r="AG86" s="108"/>
      <c r="AH86" s="108"/>
      <c r="AI86" s="108"/>
      <c r="AJ86" s="99"/>
      <c r="AK86" s="100"/>
      <c r="AL86" s="100"/>
      <c r="AM86" s="100"/>
      <c r="AN86" s="100"/>
      <c r="AO86" s="101"/>
      <c r="AP86" s="102"/>
      <c r="AQ86" s="102"/>
      <c r="AR86" s="102"/>
      <c r="AS86" s="102"/>
      <c r="AT86" s="103"/>
      <c r="AU86" s="104"/>
      <c r="AV86" s="105"/>
      <c r="AW86" s="105"/>
      <c r="AX86" s="103"/>
      <c r="AY86" s="106"/>
      <c r="AZ86" s="107"/>
      <c r="BA86" s="107"/>
      <c r="BB86" s="107"/>
      <c r="BC86" s="107"/>
      <c r="BD86" s="109"/>
      <c r="BE86" s="108"/>
      <c r="BF86" s="108"/>
      <c r="BG86" s="108"/>
      <c r="BH86" s="108"/>
      <c r="BI86" s="99"/>
      <c r="BJ86" s="100"/>
      <c r="BK86" s="100"/>
      <c r="BL86" s="100"/>
      <c r="BM86" s="100"/>
      <c r="BN86" s="101"/>
      <c r="BO86" s="102"/>
      <c r="BP86" s="102"/>
      <c r="BQ86" s="102"/>
      <c r="BR86" s="102"/>
      <c r="BS86" s="103"/>
      <c r="BT86" s="104"/>
      <c r="BU86" s="105"/>
      <c r="BV86" s="105"/>
      <c r="BW86" s="103"/>
      <c r="BX86" s="106"/>
      <c r="BY86" s="107"/>
      <c r="BZ86" s="107"/>
      <c r="CA86" s="107"/>
      <c r="CB86" s="107"/>
    </row>
    <row r="87" spans="2:80" ht="30">
      <c r="B87" s="8" t="s">
        <v>864</v>
      </c>
      <c r="C87" s="8" t="s">
        <v>1316</v>
      </c>
      <c r="D87" s="8" t="s">
        <v>1571</v>
      </c>
      <c r="E87" s="8" t="s">
        <v>1572</v>
      </c>
      <c r="F87" s="8" t="s">
        <v>1670</v>
      </c>
      <c r="G87" s="148" t="s">
        <v>1718</v>
      </c>
      <c r="H87" s="49" t="s">
        <v>0</v>
      </c>
      <c r="I87" s="49" t="s">
        <v>1637</v>
      </c>
      <c r="J87" s="49" t="s">
        <v>1638</v>
      </c>
      <c r="K87" s="99"/>
      <c r="L87" s="100"/>
      <c r="M87" s="100"/>
      <c r="N87" s="100"/>
      <c r="O87" s="100"/>
      <c r="P87" s="101"/>
      <c r="Q87" s="102"/>
      <c r="R87" s="102"/>
      <c r="S87" s="102"/>
      <c r="T87" s="102"/>
      <c r="U87" s="75" t="s">
        <v>860</v>
      </c>
      <c r="V87" s="77"/>
      <c r="W87" s="55" t="s">
        <v>861</v>
      </c>
      <c r="X87" s="115"/>
      <c r="Y87" s="103"/>
      <c r="Z87" s="106"/>
      <c r="AA87" s="107"/>
      <c r="AB87" s="107"/>
      <c r="AC87" s="107"/>
      <c r="AD87" s="107"/>
      <c r="AE87" s="109"/>
      <c r="AF87" s="108"/>
      <c r="AG87" s="108"/>
      <c r="AH87" s="108"/>
      <c r="AI87" s="108"/>
      <c r="AJ87" s="99"/>
      <c r="AK87" s="100"/>
      <c r="AL87" s="100"/>
      <c r="AM87" s="100"/>
      <c r="AN87" s="100"/>
      <c r="AO87" s="101"/>
      <c r="AP87" s="102"/>
      <c r="AQ87" s="102"/>
      <c r="AR87" s="102"/>
      <c r="AS87" s="102"/>
      <c r="AT87" s="103"/>
      <c r="AU87" s="104"/>
      <c r="AV87" s="105"/>
      <c r="AW87" s="105"/>
      <c r="AX87" s="103"/>
      <c r="AY87" s="106"/>
      <c r="AZ87" s="107"/>
      <c r="BA87" s="107"/>
      <c r="BB87" s="107"/>
      <c r="BC87" s="107"/>
      <c r="BD87" s="109"/>
      <c r="BE87" s="108"/>
      <c r="BF87" s="108"/>
      <c r="BG87" s="108"/>
      <c r="BH87" s="108"/>
      <c r="BI87" s="99"/>
      <c r="BJ87" s="100"/>
      <c r="BK87" s="100"/>
      <c r="BL87" s="100"/>
      <c r="BM87" s="100"/>
      <c r="BN87" s="101"/>
      <c r="BO87" s="102"/>
      <c r="BP87" s="102"/>
      <c r="BQ87" s="102"/>
      <c r="BR87" s="102"/>
      <c r="BS87" s="103"/>
      <c r="BT87" s="104"/>
      <c r="BU87" s="105"/>
      <c r="BV87" s="105"/>
      <c r="BW87" s="103"/>
      <c r="BX87" s="106"/>
      <c r="BY87" s="107"/>
      <c r="BZ87" s="107"/>
      <c r="CA87" s="107"/>
      <c r="CB87" s="107"/>
    </row>
    <row r="88" spans="2:80" ht="30">
      <c r="B88" s="8" t="s">
        <v>864</v>
      </c>
      <c r="C88" s="8" t="s">
        <v>1316</v>
      </c>
      <c r="D88" s="8" t="s">
        <v>1573</v>
      </c>
      <c r="E88" s="8" t="s">
        <v>1574</v>
      </c>
      <c r="F88" s="8" t="s">
        <v>1670</v>
      </c>
      <c r="G88" s="148" t="s">
        <v>1718</v>
      </c>
      <c r="H88" s="49" t="s">
        <v>0</v>
      </c>
      <c r="I88" s="49" t="s">
        <v>1637</v>
      </c>
      <c r="J88" s="49" t="s">
        <v>1638</v>
      </c>
      <c r="K88" s="99"/>
      <c r="L88" s="100"/>
      <c r="M88" s="100"/>
      <c r="N88" s="100"/>
      <c r="O88" s="100"/>
      <c r="P88" s="101"/>
      <c r="Q88" s="102"/>
      <c r="R88" s="102"/>
      <c r="S88" s="102"/>
      <c r="T88" s="102"/>
      <c r="U88" s="75" t="s">
        <v>860</v>
      </c>
      <c r="V88" s="77"/>
      <c r="W88" s="55" t="s">
        <v>861</v>
      </c>
      <c r="X88" s="115"/>
      <c r="Y88" s="103"/>
      <c r="Z88" s="106"/>
      <c r="AA88" s="107"/>
      <c r="AB88" s="107"/>
      <c r="AC88" s="107"/>
      <c r="AD88" s="107"/>
      <c r="AE88" s="109"/>
      <c r="AF88" s="108"/>
      <c r="AG88" s="108"/>
      <c r="AH88" s="108"/>
      <c r="AI88" s="108"/>
      <c r="AJ88" s="99"/>
      <c r="AK88" s="100"/>
      <c r="AL88" s="100"/>
      <c r="AM88" s="100"/>
      <c r="AN88" s="100"/>
      <c r="AO88" s="101"/>
      <c r="AP88" s="102"/>
      <c r="AQ88" s="102"/>
      <c r="AR88" s="102"/>
      <c r="AS88" s="102"/>
      <c r="AT88" s="103"/>
      <c r="AU88" s="104"/>
      <c r="AV88" s="105"/>
      <c r="AW88" s="105"/>
      <c r="AX88" s="103"/>
      <c r="AY88" s="106"/>
      <c r="AZ88" s="107"/>
      <c r="BA88" s="107"/>
      <c r="BB88" s="107"/>
      <c r="BC88" s="107"/>
      <c r="BD88" s="109"/>
      <c r="BE88" s="108"/>
      <c r="BF88" s="108"/>
      <c r="BG88" s="108"/>
      <c r="BH88" s="108"/>
      <c r="BI88" s="99"/>
      <c r="BJ88" s="100"/>
      <c r="BK88" s="100"/>
      <c r="BL88" s="100"/>
      <c r="BM88" s="100"/>
      <c r="BN88" s="101"/>
      <c r="BO88" s="102"/>
      <c r="BP88" s="102"/>
      <c r="BQ88" s="102"/>
      <c r="BR88" s="102"/>
      <c r="BS88" s="103"/>
      <c r="BT88" s="104"/>
      <c r="BU88" s="105"/>
      <c r="BV88" s="105"/>
      <c r="BW88" s="103"/>
      <c r="BX88" s="106"/>
      <c r="BY88" s="107"/>
      <c r="BZ88" s="107"/>
      <c r="CA88" s="107"/>
      <c r="CB88" s="107"/>
    </row>
    <row r="89" spans="2:80" ht="30">
      <c r="B89" s="8" t="s">
        <v>864</v>
      </c>
      <c r="C89" s="8" t="s">
        <v>1316</v>
      </c>
      <c r="D89" s="8" t="s">
        <v>1575</v>
      </c>
      <c r="E89" s="8" t="s">
        <v>1576</v>
      </c>
      <c r="F89" s="8" t="s">
        <v>1670</v>
      </c>
      <c r="G89" s="148" t="s">
        <v>1718</v>
      </c>
      <c r="H89" s="49" t="s">
        <v>0</v>
      </c>
      <c r="I89" s="49" t="s">
        <v>1637</v>
      </c>
      <c r="J89" s="49" t="s">
        <v>1638</v>
      </c>
      <c r="K89" s="99"/>
      <c r="L89" s="100"/>
      <c r="M89" s="100"/>
      <c r="N89" s="100"/>
      <c r="O89" s="100"/>
      <c r="P89" s="101"/>
      <c r="Q89" s="102"/>
      <c r="R89" s="102"/>
      <c r="S89" s="102"/>
      <c r="T89" s="102"/>
      <c r="U89" s="75" t="s">
        <v>860</v>
      </c>
      <c r="V89" s="77"/>
      <c r="W89" s="55" t="s">
        <v>861</v>
      </c>
      <c r="X89" s="115"/>
      <c r="Y89" s="103"/>
      <c r="Z89" s="106"/>
      <c r="AA89" s="107"/>
      <c r="AB89" s="107"/>
      <c r="AC89" s="107"/>
      <c r="AD89" s="107"/>
      <c r="AE89" s="109"/>
      <c r="AF89" s="108"/>
      <c r="AG89" s="108"/>
      <c r="AH89" s="108"/>
      <c r="AI89" s="108"/>
      <c r="AJ89" s="99"/>
      <c r="AK89" s="100"/>
      <c r="AL89" s="100"/>
      <c r="AM89" s="100"/>
      <c r="AN89" s="100"/>
      <c r="AO89" s="101"/>
      <c r="AP89" s="102"/>
      <c r="AQ89" s="102"/>
      <c r="AR89" s="102"/>
      <c r="AS89" s="102"/>
      <c r="AT89" s="103"/>
      <c r="AU89" s="104"/>
      <c r="AV89" s="105"/>
      <c r="AW89" s="105"/>
      <c r="AX89" s="103"/>
      <c r="AY89" s="106"/>
      <c r="AZ89" s="107"/>
      <c r="BA89" s="107"/>
      <c r="BB89" s="107"/>
      <c r="BC89" s="107"/>
      <c r="BD89" s="109"/>
      <c r="BE89" s="108"/>
      <c r="BF89" s="108"/>
      <c r="BG89" s="108"/>
      <c r="BH89" s="108"/>
      <c r="BI89" s="99"/>
      <c r="BJ89" s="100"/>
      <c r="BK89" s="100"/>
      <c r="BL89" s="100"/>
      <c r="BM89" s="100"/>
      <c r="BN89" s="101"/>
      <c r="BO89" s="102"/>
      <c r="BP89" s="102"/>
      <c r="BQ89" s="102"/>
      <c r="BR89" s="102"/>
      <c r="BS89" s="103"/>
      <c r="BT89" s="104"/>
      <c r="BU89" s="105"/>
      <c r="BV89" s="105"/>
      <c r="BW89" s="103"/>
      <c r="BX89" s="106"/>
      <c r="BY89" s="107"/>
      <c r="BZ89" s="107"/>
      <c r="CA89" s="107"/>
      <c r="CB89" s="107"/>
    </row>
    <row r="90" spans="2:80" ht="30">
      <c r="B90" s="8" t="s">
        <v>864</v>
      </c>
      <c r="C90" s="8" t="s">
        <v>1577</v>
      </c>
      <c r="D90" s="8" t="s">
        <v>1719</v>
      </c>
      <c r="E90" s="8" t="s">
        <v>1720</v>
      </c>
      <c r="F90" s="8" t="s">
        <v>1670</v>
      </c>
      <c r="G90" s="148" t="s">
        <v>1619</v>
      </c>
      <c r="H90" s="49" t="s">
        <v>0</v>
      </c>
      <c r="I90" s="49" t="s">
        <v>1637</v>
      </c>
      <c r="J90" s="49" t="s">
        <v>1638</v>
      </c>
      <c r="K90" s="99"/>
      <c r="L90" s="100"/>
      <c r="M90" s="100"/>
      <c r="N90" s="100"/>
      <c r="O90" s="100"/>
      <c r="P90" s="101"/>
      <c r="Q90" s="102"/>
      <c r="R90" s="102"/>
      <c r="S90" s="102"/>
      <c r="T90" s="102"/>
      <c r="U90" s="75" t="s">
        <v>860</v>
      </c>
      <c r="V90" s="77"/>
      <c r="W90" s="77"/>
      <c r="X90" s="115"/>
      <c r="Y90" s="103"/>
      <c r="Z90" s="106"/>
      <c r="AA90" s="107"/>
      <c r="AB90" s="55" t="s">
        <v>861</v>
      </c>
      <c r="AC90" s="107"/>
      <c r="AD90" s="107"/>
      <c r="AE90" s="109"/>
      <c r="AF90" s="108"/>
      <c r="AG90" s="108"/>
      <c r="AH90" s="108"/>
      <c r="AI90" s="108"/>
      <c r="AJ90" s="99"/>
      <c r="AK90" s="100"/>
      <c r="AL90" s="100"/>
      <c r="AM90" s="100"/>
      <c r="AN90" s="100"/>
      <c r="AO90" s="101"/>
      <c r="AP90" s="102"/>
      <c r="AQ90" s="102"/>
      <c r="AR90" s="102"/>
      <c r="AS90" s="102"/>
      <c r="AT90" s="103"/>
      <c r="AU90" s="104"/>
      <c r="AV90" s="105"/>
      <c r="AW90" s="105"/>
      <c r="AX90" s="103"/>
      <c r="AY90" s="106"/>
      <c r="AZ90" s="107"/>
      <c r="BA90" s="107"/>
      <c r="BB90" s="107"/>
      <c r="BC90" s="107"/>
      <c r="BD90" s="109"/>
      <c r="BE90" s="108"/>
      <c r="BF90" s="108"/>
      <c r="BG90" s="108"/>
      <c r="BH90" s="108"/>
      <c r="BI90" s="99"/>
      <c r="BJ90" s="100"/>
      <c r="BK90" s="100"/>
      <c r="BL90" s="100"/>
      <c r="BM90" s="100"/>
      <c r="BN90" s="101"/>
      <c r="BO90" s="102"/>
      <c r="BP90" s="102"/>
      <c r="BQ90" s="102"/>
      <c r="BR90" s="102"/>
      <c r="BS90" s="103"/>
      <c r="BT90" s="104"/>
      <c r="BU90" s="105"/>
      <c r="BV90" s="105"/>
      <c r="BW90" s="103"/>
      <c r="BX90" s="106"/>
      <c r="BY90" s="107"/>
      <c r="BZ90" s="107"/>
      <c r="CA90" s="107"/>
      <c r="CB90" s="107"/>
    </row>
    <row r="91" spans="2:80" ht="30">
      <c r="B91" s="8" t="s">
        <v>864</v>
      </c>
      <c r="C91" s="8" t="s">
        <v>1577</v>
      </c>
      <c r="D91" s="8" t="s">
        <v>1578</v>
      </c>
      <c r="E91" s="8" t="s">
        <v>1579</v>
      </c>
      <c r="F91" s="8" t="s">
        <v>1670</v>
      </c>
      <c r="G91" s="148" t="s">
        <v>1619</v>
      </c>
      <c r="H91" s="49" t="s">
        <v>0</v>
      </c>
      <c r="I91" s="49" t="s">
        <v>1637</v>
      </c>
      <c r="J91" s="49" t="s">
        <v>1638</v>
      </c>
      <c r="K91" s="99"/>
      <c r="L91" s="100"/>
      <c r="M91" s="100"/>
      <c r="N91" s="100"/>
      <c r="O91" s="100"/>
      <c r="P91" s="101"/>
      <c r="Q91" s="102"/>
      <c r="R91" s="102"/>
      <c r="S91" s="102"/>
      <c r="T91" s="102"/>
      <c r="U91" s="75" t="s">
        <v>860</v>
      </c>
      <c r="V91" s="77"/>
      <c r="W91" s="77"/>
      <c r="X91" s="115"/>
      <c r="Y91" s="103"/>
      <c r="Z91" s="106"/>
      <c r="AA91" s="107"/>
      <c r="AB91" s="55" t="s">
        <v>861</v>
      </c>
      <c r="AC91" s="107"/>
      <c r="AD91" s="107"/>
      <c r="AE91" s="109"/>
      <c r="AF91" s="108"/>
      <c r="AG91" s="108"/>
      <c r="AH91" s="108"/>
      <c r="AI91" s="108"/>
      <c r="AJ91" s="99"/>
      <c r="AK91" s="100"/>
      <c r="AL91" s="100"/>
      <c r="AM91" s="100"/>
      <c r="AN91" s="100"/>
      <c r="AO91" s="101"/>
      <c r="AP91" s="102"/>
      <c r="AQ91" s="102"/>
      <c r="AR91" s="102"/>
      <c r="AS91" s="102"/>
      <c r="AT91" s="103"/>
      <c r="AU91" s="104"/>
      <c r="AV91" s="105"/>
      <c r="AW91" s="105"/>
      <c r="AX91" s="103"/>
      <c r="AY91" s="106"/>
      <c r="AZ91" s="107"/>
      <c r="BA91" s="107"/>
      <c r="BB91" s="107"/>
      <c r="BC91" s="107"/>
      <c r="BD91" s="109"/>
      <c r="BE91" s="108"/>
      <c r="BF91" s="108"/>
      <c r="BG91" s="108"/>
      <c r="BH91" s="108"/>
      <c r="BI91" s="99"/>
      <c r="BJ91" s="100"/>
      <c r="BK91" s="100"/>
      <c r="BL91" s="100"/>
      <c r="BM91" s="100"/>
      <c r="BN91" s="101"/>
      <c r="BO91" s="102"/>
      <c r="BP91" s="102"/>
      <c r="BQ91" s="102"/>
      <c r="BR91" s="102"/>
      <c r="BS91" s="103"/>
      <c r="BT91" s="104"/>
      <c r="BU91" s="105"/>
      <c r="BV91" s="105"/>
      <c r="BW91" s="103"/>
      <c r="BX91" s="106"/>
      <c r="BY91" s="107"/>
      <c r="BZ91" s="107"/>
      <c r="CA91" s="107"/>
      <c r="CB91" s="107"/>
    </row>
    <row r="92" spans="2:80" ht="30">
      <c r="B92" s="8" t="s">
        <v>864</v>
      </c>
      <c r="C92" s="8" t="s">
        <v>1580</v>
      </c>
      <c r="D92" s="8" t="s">
        <v>1581</v>
      </c>
      <c r="E92" s="8" t="s">
        <v>1582</v>
      </c>
      <c r="F92" s="8" t="s">
        <v>1670</v>
      </c>
      <c r="G92" s="148" t="s">
        <v>1718</v>
      </c>
      <c r="H92" s="49" t="s">
        <v>0</v>
      </c>
      <c r="I92" s="49" t="s">
        <v>1637</v>
      </c>
      <c r="J92" s="49" t="s">
        <v>1638</v>
      </c>
      <c r="K92" s="99"/>
      <c r="L92" s="100"/>
      <c r="M92" s="100"/>
      <c r="N92" s="100"/>
      <c r="O92" s="100"/>
      <c r="P92" s="101"/>
      <c r="Q92" s="102"/>
      <c r="R92" s="102"/>
      <c r="S92" s="102"/>
      <c r="T92" s="102"/>
      <c r="U92" s="75" t="s">
        <v>860</v>
      </c>
      <c r="V92" s="77"/>
      <c r="W92" s="55" t="s">
        <v>861</v>
      </c>
      <c r="X92" s="115"/>
      <c r="Y92" s="103"/>
      <c r="Z92" s="106"/>
      <c r="AA92" s="107"/>
      <c r="AB92" s="107"/>
      <c r="AC92" s="107"/>
      <c r="AD92" s="107"/>
      <c r="AE92" s="109"/>
      <c r="AF92" s="108"/>
      <c r="AG92" s="108"/>
      <c r="AH92" s="108"/>
      <c r="AI92" s="108"/>
      <c r="AJ92" s="99"/>
      <c r="AK92" s="100"/>
      <c r="AL92" s="100"/>
      <c r="AM92" s="100"/>
      <c r="AN92" s="100"/>
      <c r="AO92" s="101"/>
      <c r="AP92" s="102"/>
      <c r="AQ92" s="102"/>
      <c r="AR92" s="102"/>
      <c r="AS92" s="102"/>
      <c r="AT92" s="103"/>
      <c r="AU92" s="104"/>
      <c r="AV92" s="105"/>
      <c r="AW92" s="105"/>
      <c r="AX92" s="103"/>
      <c r="AY92" s="106"/>
      <c r="AZ92" s="107"/>
      <c r="BA92" s="107"/>
      <c r="BB92" s="107"/>
      <c r="BC92" s="107"/>
      <c r="BD92" s="109"/>
      <c r="BE92" s="108"/>
      <c r="BF92" s="108"/>
      <c r="BG92" s="108"/>
      <c r="BH92" s="108"/>
      <c r="BI92" s="99"/>
      <c r="BJ92" s="100"/>
      <c r="BK92" s="100"/>
      <c r="BL92" s="100"/>
      <c r="BM92" s="100"/>
      <c r="BN92" s="101"/>
      <c r="BO92" s="102"/>
      <c r="BP92" s="102"/>
      <c r="BQ92" s="102"/>
      <c r="BR92" s="102"/>
      <c r="BS92" s="103"/>
      <c r="BT92" s="104"/>
      <c r="BU92" s="105"/>
      <c r="BV92" s="105"/>
      <c r="BW92" s="103"/>
      <c r="BX92" s="106"/>
      <c r="BY92" s="107"/>
      <c r="BZ92" s="107"/>
      <c r="CA92" s="107"/>
      <c r="CB92" s="107"/>
    </row>
    <row r="93" spans="2:80" ht="30">
      <c r="B93" s="8" t="s">
        <v>864</v>
      </c>
      <c r="C93" s="8" t="s">
        <v>1580</v>
      </c>
      <c r="D93" s="8" t="s">
        <v>1583</v>
      </c>
      <c r="E93" s="8" t="s">
        <v>1584</v>
      </c>
      <c r="F93" s="8" t="s">
        <v>1670</v>
      </c>
      <c r="G93" s="148" t="s">
        <v>1718</v>
      </c>
      <c r="H93" s="49" t="s">
        <v>0</v>
      </c>
      <c r="I93" s="49" t="s">
        <v>1637</v>
      </c>
      <c r="J93" s="49" t="s">
        <v>1638</v>
      </c>
      <c r="K93" s="99"/>
      <c r="L93" s="100"/>
      <c r="M93" s="100"/>
      <c r="N93" s="100"/>
      <c r="O93" s="100"/>
      <c r="P93" s="101"/>
      <c r="Q93" s="102"/>
      <c r="R93" s="102"/>
      <c r="S93" s="102"/>
      <c r="T93" s="102"/>
      <c r="U93" s="75" t="s">
        <v>860</v>
      </c>
      <c r="V93" s="77"/>
      <c r="W93" s="55" t="s">
        <v>861</v>
      </c>
      <c r="X93" s="115"/>
      <c r="Y93" s="103"/>
      <c r="Z93" s="106"/>
      <c r="AA93" s="107"/>
      <c r="AB93" s="107"/>
      <c r="AC93" s="107"/>
      <c r="AD93" s="107"/>
      <c r="AE93" s="109"/>
      <c r="AF93" s="108"/>
      <c r="AG93" s="108"/>
      <c r="AH93" s="108"/>
      <c r="AI93" s="108"/>
      <c r="AJ93" s="99"/>
      <c r="AK93" s="100"/>
      <c r="AL93" s="100"/>
      <c r="AM93" s="100"/>
      <c r="AN93" s="100"/>
      <c r="AO93" s="101"/>
      <c r="AP93" s="102"/>
      <c r="AQ93" s="102"/>
      <c r="AR93" s="102"/>
      <c r="AS93" s="102"/>
      <c r="AT93" s="103"/>
      <c r="AU93" s="104"/>
      <c r="AV93" s="105"/>
      <c r="AW93" s="105"/>
      <c r="AX93" s="103"/>
      <c r="AY93" s="106"/>
      <c r="AZ93" s="107"/>
      <c r="BA93" s="107"/>
      <c r="BB93" s="107"/>
      <c r="BC93" s="107"/>
      <c r="BD93" s="109"/>
      <c r="BE93" s="108"/>
      <c r="BF93" s="108"/>
      <c r="BG93" s="108"/>
      <c r="BH93" s="108"/>
      <c r="BI93" s="99"/>
      <c r="BJ93" s="100"/>
      <c r="BK93" s="100"/>
      <c r="BL93" s="100"/>
      <c r="BM93" s="100"/>
      <c r="BN93" s="101"/>
      <c r="BO93" s="102"/>
      <c r="BP93" s="102"/>
      <c r="BQ93" s="102"/>
      <c r="BR93" s="102"/>
      <c r="BS93" s="103"/>
      <c r="BT93" s="104"/>
      <c r="BU93" s="105"/>
      <c r="BV93" s="105"/>
      <c r="BW93" s="103"/>
      <c r="BX93" s="106"/>
      <c r="BY93" s="107"/>
      <c r="BZ93" s="107"/>
      <c r="CA93" s="107"/>
      <c r="CB93" s="107"/>
    </row>
    <row r="94" spans="2:80" ht="30">
      <c r="B94" s="8" t="s">
        <v>864</v>
      </c>
      <c r="C94" s="8" t="s">
        <v>1580</v>
      </c>
      <c r="D94" s="8" t="s">
        <v>1721</v>
      </c>
      <c r="E94" s="8" t="s">
        <v>1722</v>
      </c>
      <c r="F94" s="8" t="s">
        <v>1670</v>
      </c>
      <c r="G94" s="148" t="s">
        <v>1619</v>
      </c>
      <c r="H94" s="49" t="s">
        <v>0</v>
      </c>
      <c r="I94" s="49" t="s">
        <v>1637</v>
      </c>
      <c r="J94" s="49" t="s">
        <v>1638</v>
      </c>
      <c r="K94" s="99"/>
      <c r="L94" s="100"/>
      <c r="M94" s="100"/>
      <c r="N94" s="100"/>
      <c r="O94" s="100"/>
      <c r="P94" s="101"/>
      <c r="Q94" s="102"/>
      <c r="R94" s="102"/>
      <c r="S94" s="102"/>
      <c r="T94" s="102"/>
      <c r="U94" s="75" t="s">
        <v>860</v>
      </c>
      <c r="V94" s="77"/>
      <c r="W94" s="77"/>
      <c r="X94" s="115"/>
      <c r="Y94" s="103"/>
      <c r="Z94" s="106"/>
      <c r="AA94" s="107"/>
      <c r="AB94" s="55" t="s">
        <v>861</v>
      </c>
      <c r="AC94" s="107"/>
      <c r="AD94" s="107"/>
      <c r="AE94" s="109"/>
      <c r="AF94" s="108"/>
      <c r="AG94" s="108"/>
      <c r="AH94" s="108"/>
      <c r="AI94" s="108"/>
      <c r="AJ94" s="99"/>
      <c r="AK94" s="100"/>
      <c r="AL94" s="100"/>
      <c r="AM94" s="100"/>
      <c r="AN94" s="100"/>
      <c r="AO94" s="101"/>
      <c r="AP94" s="102"/>
      <c r="AQ94" s="102"/>
      <c r="AR94" s="102"/>
      <c r="AS94" s="102"/>
      <c r="AT94" s="103"/>
      <c r="AU94" s="104"/>
      <c r="AV94" s="105"/>
      <c r="AW94" s="105"/>
      <c r="AX94" s="103"/>
      <c r="AY94" s="106"/>
      <c r="AZ94" s="107"/>
      <c r="BA94" s="107"/>
      <c r="BB94" s="107"/>
      <c r="BC94" s="107"/>
      <c r="BD94" s="109"/>
      <c r="BE94" s="108"/>
      <c r="BF94" s="108"/>
      <c r="BG94" s="108"/>
      <c r="BH94" s="108"/>
      <c r="BI94" s="99"/>
      <c r="BJ94" s="100"/>
      <c r="BK94" s="100"/>
      <c r="BL94" s="100"/>
      <c r="BM94" s="100"/>
      <c r="BN94" s="101"/>
      <c r="BO94" s="102"/>
      <c r="BP94" s="102"/>
      <c r="BQ94" s="102"/>
      <c r="BR94" s="102"/>
      <c r="BS94" s="103"/>
      <c r="BT94" s="104"/>
      <c r="BU94" s="105"/>
      <c r="BV94" s="105"/>
      <c r="BW94" s="103"/>
      <c r="BX94" s="106"/>
      <c r="BY94" s="107"/>
      <c r="BZ94" s="107"/>
      <c r="CA94" s="107"/>
      <c r="CB94" s="107"/>
    </row>
    <row r="95" spans="2:80" ht="30">
      <c r="B95" s="8" t="s">
        <v>864</v>
      </c>
      <c r="C95" s="8" t="s">
        <v>1580</v>
      </c>
      <c r="D95" s="8" t="s">
        <v>1585</v>
      </c>
      <c r="E95" s="8" t="s">
        <v>1586</v>
      </c>
      <c r="F95" s="8" t="s">
        <v>1670</v>
      </c>
      <c r="G95" s="148" t="s">
        <v>1619</v>
      </c>
      <c r="H95" s="49" t="s">
        <v>0</v>
      </c>
      <c r="I95" s="49" t="s">
        <v>1637</v>
      </c>
      <c r="J95" s="49" t="s">
        <v>1638</v>
      </c>
      <c r="K95" s="99"/>
      <c r="L95" s="100"/>
      <c r="M95" s="100"/>
      <c r="N95" s="100"/>
      <c r="O95" s="100"/>
      <c r="P95" s="101"/>
      <c r="Q95" s="102"/>
      <c r="R95" s="102"/>
      <c r="S95" s="102"/>
      <c r="T95" s="102"/>
      <c r="U95" s="75" t="s">
        <v>860</v>
      </c>
      <c r="V95" s="77"/>
      <c r="W95" s="77"/>
      <c r="X95" s="115"/>
      <c r="Y95" s="103"/>
      <c r="Z95" s="106"/>
      <c r="AA95" s="107"/>
      <c r="AB95" s="55" t="s">
        <v>861</v>
      </c>
      <c r="AC95" s="107"/>
      <c r="AD95" s="107"/>
      <c r="AE95" s="109"/>
      <c r="AF95" s="108"/>
      <c r="AG95" s="108"/>
      <c r="AH95" s="108"/>
      <c r="AI95" s="108"/>
      <c r="AJ95" s="99"/>
      <c r="AK95" s="100"/>
      <c r="AL95" s="100"/>
      <c r="AM95" s="100"/>
      <c r="AN95" s="100"/>
      <c r="AO95" s="101"/>
      <c r="AP95" s="102"/>
      <c r="AQ95" s="102"/>
      <c r="AR95" s="102"/>
      <c r="AS95" s="102"/>
      <c r="AT95" s="103"/>
      <c r="AU95" s="104"/>
      <c r="AV95" s="105"/>
      <c r="AW95" s="105"/>
      <c r="AX95" s="103"/>
      <c r="AY95" s="106"/>
      <c r="AZ95" s="107"/>
      <c r="BA95" s="107"/>
      <c r="BB95" s="107"/>
      <c r="BC95" s="107"/>
      <c r="BD95" s="109"/>
      <c r="BE95" s="108"/>
      <c r="BF95" s="108"/>
      <c r="BG95" s="108"/>
      <c r="BH95" s="108"/>
      <c r="BI95" s="99"/>
      <c r="BJ95" s="100"/>
      <c r="BK95" s="100"/>
      <c r="BL95" s="100"/>
      <c r="BM95" s="100"/>
      <c r="BN95" s="101"/>
      <c r="BO95" s="102"/>
      <c r="BP95" s="102"/>
      <c r="BQ95" s="102"/>
      <c r="BR95" s="102"/>
      <c r="BS95" s="103"/>
      <c r="BT95" s="104"/>
      <c r="BU95" s="105"/>
      <c r="BV95" s="105"/>
      <c r="BW95" s="103"/>
      <c r="BX95" s="106"/>
      <c r="BY95" s="107"/>
      <c r="BZ95" s="107"/>
      <c r="CA95" s="107"/>
      <c r="CB95" s="107"/>
    </row>
    <row r="96" spans="2:80" ht="30">
      <c r="B96" s="8" t="s">
        <v>864</v>
      </c>
      <c r="C96" s="8" t="s">
        <v>1580</v>
      </c>
      <c r="D96" s="8" t="s">
        <v>1723</v>
      </c>
      <c r="E96" s="8" t="s">
        <v>1724</v>
      </c>
      <c r="F96" s="8" t="s">
        <v>1670</v>
      </c>
      <c r="G96" s="148" t="s">
        <v>1619</v>
      </c>
      <c r="H96" s="49" t="s">
        <v>0</v>
      </c>
      <c r="I96" s="49" t="s">
        <v>1637</v>
      </c>
      <c r="J96" s="49" t="s">
        <v>1638</v>
      </c>
      <c r="K96" s="99"/>
      <c r="L96" s="100"/>
      <c r="M96" s="100"/>
      <c r="N96" s="100"/>
      <c r="O96" s="100"/>
      <c r="P96" s="101"/>
      <c r="Q96" s="102"/>
      <c r="R96" s="102"/>
      <c r="S96" s="102"/>
      <c r="T96" s="102"/>
      <c r="U96" s="75" t="s">
        <v>860</v>
      </c>
      <c r="V96" s="77"/>
      <c r="W96" s="77"/>
      <c r="X96" s="115"/>
      <c r="Y96" s="103"/>
      <c r="Z96" s="106"/>
      <c r="AA96" s="107"/>
      <c r="AB96" s="55" t="s">
        <v>861</v>
      </c>
      <c r="AC96" s="107"/>
      <c r="AD96" s="107"/>
      <c r="AE96" s="109"/>
      <c r="AF96" s="108"/>
      <c r="AG96" s="108"/>
      <c r="AH96" s="108"/>
      <c r="AI96" s="108"/>
      <c r="AJ96" s="99"/>
      <c r="AK96" s="100"/>
      <c r="AL96" s="100"/>
      <c r="AM96" s="100"/>
      <c r="AN96" s="100"/>
      <c r="AO96" s="101"/>
      <c r="AP96" s="102"/>
      <c r="AQ96" s="102"/>
      <c r="AR96" s="102"/>
      <c r="AS96" s="102"/>
      <c r="AT96" s="103"/>
      <c r="AU96" s="104"/>
      <c r="AV96" s="105"/>
      <c r="AW96" s="105"/>
      <c r="AX96" s="103"/>
      <c r="AY96" s="106"/>
      <c r="AZ96" s="107"/>
      <c r="BA96" s="107"/>
      <c r="BB96" s="107"/>
      <c r="BC96" s="107"/>
      <c r="BD96" s="109"/>
      <c r="BE96" s="108"/>
      <c r="BF96" s="108"/>
      <c r="BG96" s="108"/>
      <c r="BH96" s="108"/>
      <c r="BI96" s="99"/>
      <c r="BJ96" s="100"/>
      <c r="BK96" s="100"/>
      <c r="BL96" s="100"/>
      <c r="BM96" s="100"/>
      <c r="BN96" s="101"/>
      <c r="BO96" s="102"/>
      <c r="BP96" s="102"/>
      <c r="BQ96" s="102"/>
      <c r="BR96" s="102"/>
      <c r="BS96" s="103"/>
      <c r="BT96" s="104"/>
      <c r="BU96" s="105"/>
      <c r="BV96" s="105"/>
      <c r="BW96" s="103"/>
      <c r="BX96" s="106"/>
      <c r="BY96" s="107"/>
      <c r="BZ96" s="107"/>
      <c r="CA96" s="107"/>
      <c r="CB96" s="107"/>
    </row>
    <row r="97" spans="2:81" ht="30">
      <c r="B97" s="8" t="s">
        <v>864</v>
      </c>
      <c r="C97" s="8" t="s">
        <v>1580</v>
      </c>
      <c r="D97" s="8" t="s">
        <v>1587</v>
      </c>
      <c r="E97" s="8" t="s">
        <v>1588</v>
      </c>
      <c r="F97" s="8" t="s">
        <v>1670</v>
      </c>
      <c r="G97" s="148" t="s">
        <v>1619</v>
      </c>
      <c r="H97" s="49" t="s">
        <v>0</v>
      </c>
      <c r="I97" s="49" t="s">
        <v>1637</v>
      </c>
      <c r="J97" s="49" t="s">
        <v>1638</v>
      </c>
      <c r="K97" s="99"/>
      <c r="L97" s="100"/>
      <c r="M97" s="100"/>
      <c r="N97" s="100"/>
      <c r="O97" s="100"/>
      <c r="P97" s="101"/>
      <c r="Q97" s="102"/>
      <c r="R97" s="102"/>
      <c r="S97" s="102"/>
      <c r="T97" s="102"/>
      <c r="U97" s="75" t="s">
        <v>860</v>
      </c>
      <c r="V97" s="77"/>
      <c r="W97" s="77"/>
      <c r="X97" s="115"/>
      <c r="Y97" s="103"/>
      <c r="Z97" s="106"/>
      <c r="AA97" s="107"/>
      <c r="AB97" s="55" t="s">
        <v>861</v>
      </c>
      <c r="AC97" s="107"/>
      <c r="AD97" s="107"/>
      <c r="AE97" s="109"/>
      <c r="AF97" s="108"/>
      <c r="AG97" s="108"/>
      <c r="AH97" s="108"/>
      <c r="AI97" s="108"/>
      <c r="AJ97" s="99"/>
      <c r="AK97" s="100"/>
      <c r="AL97" s="100"/>
      <c r="AM97" s="100"/>
      <c r="AN97" s="100"/>
      <c r="AO97" s="101"/>
      <c r="AP97" s="102"/>
      <c r="AQ97" s="102"/>
      <c r="AR97" s="102"/>
      <c r="AS97" s="102"/>
      <c r="AT97" s="103"/>
      <c r="AU97" s="104"/>
      <c r="AV97" s="105"/>
      <c r="AW97" s="105"/>
      <c r="AX97" s="103"/>
      <c r="AY97" s="106"/>
      <c r="AZ97" s="107"/>
      <c r="BA97" s="107"/>
      <c r="BB97" s="107"/>
      <c r="BC97" s="107"/>
      <c r="BD97" s="109"/>
      <c r="BE97" s="108"/>
      <c r="BF97" s="108"/>
      <c r="BG97" s="108"/>
      <c r="BH97" s="108"/>
      <c r="BI97" s="99"/>
      <c r="BJ97" s="100"/>
      <c r="BK97" s="100"/>
      <c r="BL97" s="100"/>
      <c r="BM97" s="100"/>
      <c r="BN97" s="101"/>
      <c r="BO97" s="102"/>
      <c r="BP97" s="102"/>
      <c r="BQ97" s="102"/>
      <c r="BR97" s="102"/>
      <c r="BS97" s="103"/>
      <c r="BT97" s="104"/>
      <c r="BU97" s="105"/>
      <c r="BV97" s="105"/>
      <c r="BW97" s="103"/>
      <c r="BX97" s="106"/>
      <c r="BY97" s="107"/>
      <c r="BZ97" s="107"/>
      <c r="CA97" s="107"/>
      <c r="CB97" s="107"/>
    </row>
    <row r="98" spans="2:81" ht="30">
      <c r="B98" s="130" t="s">
        <v>864</v>
      </c>
      <c r="C98" s="131" t="s">
        <v>1725</v>
      </c>
      <c r="D98" s="132" t="s">
        <v>1726</v>
      </c>
      <c r="E98" s="143" t="s">
        <v>1727</v>
      </c>
      <c r="F98" s="144" t="s">
        <v>1670</v>
      </c>
      <c r="G98" s="148" t="s">
        <v>1619</v>
      </c>
      <c r="H98" s="49" t="s">
        <v>0</v>
      </c>
      <c r="I98" s="49" t="s">
        <v>1637</v>
      </c>
      <c r="J98" s="49" t="s">
        <v>1638</v>
      </c>
      <c r="K98" s="72"/>
      <c r="L98" s="73"/>
      <c r="M98" s="73"/>
      <c r="N98" s="73"/>
      <c r="O98" s="73"/>
      <c r="P98" s="54"/>
      <c r="Q98" s="56"/>
      <c r="R98" s="56"/>
      <c r="S98" s="80"/>
      <c r="T98" s="56"/>
      <c r="U98" s="145" t="s">
        <v>860</v>
      </c>
      <c r="V98" s="77"/>
      <c r="W98" s="77"/>
      <c r="X98" s="96"/>
      <c r="Y98" s="57"/>
      <c r="Z98" s="60"/>
      <c r="AA98" s="61"/>
      <c r="AB98" s="146" t="s">
        <v>861</v>
      </c>
      <c r="AC98" s="61"/>
      <c r="AD98" s="61"/>
      <c r="AE98" s="63"/>
      <c r="AF98" s="64"/>
      <c r="AG98" s="64"/>
      <c r="AH98" s="64"/>
      <c r="AI98" s="64"/>
      <c r="AJ98" s="72"/>
      <c r="AK98" s="73"/>
      <c r="AL98" s="73"/>
      <c r="AM98" s="73"/>
      <c r="AN98" s="73"/>
      <c r="AO98" s="66"/>
      <c r="AP98" s="56"/>
      <c r="AQ98" s="56"/>
      <c r="AR98" s="56"/>
      <c r="AS98" s="56"/>
      <c r="AT98" s="77"/>
      <c r="AU98" s="77"/>
      <c r="AV98" s="77"/>
      <c r="AW98" s="77"/>
      <c r="AX98" s="57"/>
      <c r="AY98" s="60"/>
      <c r="AZ98" s="61"/>
      <c r="BA98" s="61"/>
      <c r="BB98" s="61"/>
      <c r="BC98" s="61"/>
      <c r="BD98" s="63"/>
      <c r="BE98" s="64"/>
      <c r="BF98" s="64"/>
      <c r="BG98" s="64"/>
      <c r="BH98" s="64"/>
      <c r="BI98" s="72"/>
      <c r="BJ98" s="73"/>
      <c r="BK98" s="73"/>
      <c r="BL98" s="73"/>
      <c r="BM98" s="73"/>
      <c r="BN98" s="66"/>
      <c r="BO98" s="56"/>
      <c r="BP98" s="56"/>
      <c r="BQ98" s="56"/>
      <c r="BR98" s="56"/>
      <c r="BS98" s="77"/>
      <c r="BT98" s="77"/>
      <c r="BU98" s="77"/>
      <c r="BV98" s="77"/>
      <c r="BW98" s="57"/>
      <c r="BX98" s="60"/>
      <c r="BY98" s="61"/>
      <c r="BZ98" s="61"/>
      <c r="CA98" s="61"/>
      <c r="CB98" s="61"/>
      <c r="CC98" s="74"/>
    </row>
    <row r="99" spans="2:81">
      <c r="I99" s="49"/>
    </row>
    <row r="100" spans="2:81">
      <c r="I100" s="49"/>
    </row>
    <row r="101" spans="2:81">
      <c r="I101" s="49"/>
    </row>
    <row r="102" spans="2:81">
      <c r="I102" s="49"/>
    </row>
    <row r="103" spans="2:81">
      <c r="I103" s="49"/>
    </row>
    <row r="104" spans="2:81">
      <c r="I104" s="49"/>
    </row>
    <row r="105" spans="2:81">
      <c r="I105" s="49"/>
    </row>
    <row r="106" spans="2:81">
      <c r="I106" s="49"/>
    </row>
    <row r="107" spans="2:81">
      <c r="I107" s="49"/>
    </row>
    <row r="108" spans="2:81">
      <c r="I108" s="49"/>
    </row>
    <row r="109" spans="2:81">
      <c r="I109" s="49"/>
    </row>
    <row r="110" spans="2:81">
      <c r="I110" s="49"/>
    </row>
    <row r="111" spans="2:81">
      <c r="I111" s="49"/>
    </row>
    <row r="112" spans="2:81">
      <c r="I112" s="49"/>
    </row>
    <row r="113" spans="9:9">
      <c r="I113" s="49"/>
    </row>
    <row r="114" spans="9:9">
      <c r="I114" s="49"/>
    </row>
    <row r="115" spans="9:9">
      <c r="I115" s="49"/>
    </row>
    <row r="116" spans="9:9">
      <c r="I116" s="49"/>
    </row>
    <row r="117" spans="9:9">
      <c r="I117" s="49"/>
    </row>
    <row r="118" spans="9:9">
      <c r="I118" s="49"/>
    </row>
    <row r="119" spans="9:9">
      <c r="I119" s="49"/>
    </row>
    <row r="120" spans="9:9">
      <c r="I120" s="49"/>
    </row>
    <row r="121" spans="9:9">
      <c r="I121" s="49"/>
    </row>
    <row r="122" spans="9:9">
      <c r="I122" s="49"/>
    </row>
    <row r="123" spans="9:9">
      <c r="I123" s="49"/>
    </row>
    <row r="124" spans="9:9">
      <c r="I124" s="49"/>
    </row>
    <row r="125" spans="9:9">
      <c r="I125" s="49"/>
    </row>
    <row r="126" spans="9:9">
      <c r="I126" s="49"/>
    </row>
    <row r="127" spans="9:9">
      <c r="I127" s="49"/>
    </row>
    <row r="128" spans="9:9">
      <c r="I128" s="49"/>
    </row>
    <row r="129" spans="9:9">
      <c r="I129" s="49"/>
    </row>
    <row r="130" spans="9:9">
      <c r="I130" s="49"/>
    </row>
    <row r="131" spans="9:9">
      <c r="I131" s="49"/>
    </row>
    <row r="132" spans="9:9">
      <c r="I132" s="49"/>
    </row>
    <row r="133" spans="9:9">
      <c r="I133" s="49"/>
    </row>
    <row r="134" spans="9:9">
      <c r="I134" s="49"/>
    </row>
    <row r="135" spans="9:9">
      <c r="I135" s="49"/>
    </row>
    <row r="136" spans="9:9">
      <c r="I136" s="49"/>
    </row>
    <row r="137" spans="9:9">
      <c r="I137" s="49"/>
    </row>
    <row r="138" spans="9:9">
      <c r="I138" s="49"/>
    </row>
    <row r="139" spans="9:9">
      <c r="I139" s="49"/>
    </row>
  </sheetData>
  <sheetProtection algorithmName="SHA-512" hashValue="I7reZ21qs6nClcSF9RrcX9fu+vhEi4e0ZnTAlRKwGD76kyfE42MnTV4ZHuu9k0eCOCSCd6Aa1owaUGHsXD+5Pg==" saltValue="cTBrKe0fkUkOrZMLqNRCng==" spinCount="100000" sheet="1" objects="1" scenarios="1" sort="0" autoFilter="0"/>
  <autoFilter ref="B17:CB98" xr:uid="{4502421D-2F48-47FB-A199-BA13FA50A5F3}">
    <sortState xmlns:xlrd2="http://schemas.microsoft.com/office/spreadsheetml/2017/richdata2" ref="B18:CB98">
      <sortCondition ref="F17:F98"/>
    </sortState>
  </autoFilter>
  <mergeCells count="25">
    <mergeCell ref="U16:Y16"/>
    <mergeCell ref="E3:H3"/>
    <mergeCell ref="E7:H7"/>
    <mergeCell ref="K16:O16"/>
    <mergeCell ref="P16:T16"/>
    <mergeCell ref="E4:J4"/>
    <mergeCell ref="E5:J5"/>
    <mergeCell ref="E6:J6"/>
    <mergeCell ref="E8:J8"/>
    <mergeCell ref="E9:J9"/>
    <mergeCell ref="E10:J10"/>
    <mergeCell ref="E11:J11"/>
    <mergeCell ref="E12:J12"/>
    <mergeCell ref="CC16:CC17"/>
    <mergeCell ref="Z16:AD16"/>
    <mergeCell ref="AE16:AI16"/>
    <mergeCell ref="AJ16:AN16"/>
    <mergeCell ref="AO16:AS16"/>
    <mergeCell ref="AT16:AX16"/>
    <mergeCell ref="AY16:BC16"/>
    <mergeCell ref="BD16:BH16"/>
    <mergeCell ref="BI16:BM16"/>
    <mergeCell ref="BN16:BR16"/>
    <mergeCell ref="BS16:BW16"/>
    <mergeCell ref="BX16:CB16"/>
  </mergeCells>
  <phoneticPr fontId="29" type="noConversion"/>
  <conditionalFormatting sqref="K18:O98">
    <cfRule type="expression" dxfId="145" priority="90">
      <formula>(TEXT(TODAY(),"aaaa"))="Thursday"</formula>
    </cfRule>
  </conditionalFormatting>
  <conditionalFormatting sqref="K18:T97">
    <cfRule type="cellIs" dxfId="144" priority="151" operator="equal">
      <formula>"✔"</formula>
    </cfRule>
    <cfRule type="cellIs" dxfId="143" priority="152" operator="equal">
      <formula>"✖"</formula>
    </cfRule>
  </conditionalFormatting>
  <conditionalFormatting sqref="K50:T57 K18:N19 T18:T49 Q18:R49 K20:O49">
    <cfRule type="iconSet" priority="362">
      <iconSet iconSet="3Symbols2" showValue="0">
        <cfvo type="percent" val="0"/>
        <cfvo type="percent" val="33"/>
        <cfvo type="percent" val="67"/>
      </iconSet>
    </cfRule>
  </conditionalFormatting>
  <conditionalFormatting sqref="K58:T63">
    <cfRule type="iconSet" priority="357">
      <iconSet iconSet="3Symbols2" showValue="0">
        <cfvo type="percent" val="0"/>
        <cfvo type="percent" val="33"/>
        <cfvo type="percent" val="67"/>
      </iconSet>
    </cfRule>
  </conditionalFormatting>
  <conditionalFormatting sqref="K64:T97 AT64:CB97 X84:AN89 X64 Z64:AN64 X65:AA72 AC65:AN72 X73 Z73:AN73 X74:AA80 AC74:AN80 X81:X83 Z81:AN83 X92:AN93 X90:AA91 AC90:AN91 X94:AA97 AC94:AN97">
    <cfRule type="iconSet" priority="372">
      <iconSet iconSet="3Symbols2" showValue="0">
        <cfvo type="percent" val="0"/>
        <cfvo type="percent" val="33"/>
        <cfvo type="percent" val="67"/>
      </iconSet>
    </cfRule>
  </conditionalFormatting>
  <conditionalFormatting sqref="K98:CB98">
    <cfRule type="cellIs" dxfId="142" priority="85" operator="equal">
      <formula>"✖"</formula>
    </cfRule>
    <cfRule type="cellIs" dxfId="141" priority="84" operator="equal">
      <formula>"✔"</formula>
    </cfRule>
  </conditionalFormatting>
  <conditionalFormatting sqref="O18">
    <cfRule type="iconSet" priority="162">
      <iconSet iconSet="3Symbols2" showValue="0">
        <cfvo type="percent" val="0"/>
        <cfvo type="percent" val="33"/>
        <cfvo type="percent" val="67"/>
      </iconSet>
    </cfRule>
  </conditionalFormatting>
  <conditionalFormatting sqref="O19">
    <cfRule type="iconSet" priority="154">
      <iconSet iconSet="3Symbols2" showValue="0">
        <cfvo type="percent" val="0"/>
        <cfvo type="percent" val="33"/>
        <cfvo type="percent" val="67"/>
      </iconSet>
    </cfRule>
  </conditionalFormatting>
  <conditionalFormatting sqref="P18:P49">
    <cfRule type="iconSet" priority="330">
      <iconSet iconSet="3Symbols2" showValue="0">
        <cfvo type="percent" val="0"/>
        <cfvo type="percent" val="33"/>
        <cfvo type="percent" val="67"/>
      </iconSet>
    </cfRule>
    <cfRule type="expression" dxfId="140" priority="329">
      <formula>(TEXT(TODAY(),"aaaa"))="Thursday"</formula>
    </cfRule>
  </conditionalFormatting>
  <conditionalFormatting sqref="P98">
    <cfRule type="iconSet" priority="87">
      <iconSet iconSet="3Symbols2" showValue="0">
        <cfvo type="percent" val="0"/>
        <cfvo type="percent" val="33"/>
        <cfvo type="percent" val="67"/>
      </iconSet>
    </cfRule>
    <cfRule type="expression" dxfId="139" priority="86">
      <formula>(TEXT(TODAY(),"aaaa"))="Thursday"</formula>
    </cfRule>
  </conditionalFormatting>
  <conditionalFormatting sqref="P50:T97">
    <cfRule type="expression" dxfId="138" priority="355">
      <formula>(TEXT(TODAY(),"aaaa"))="Friday"</formula>
    </cfRule>
  </conditionalFormatting>
  <conditionalFormatting sqref="Q18:R49 T18:T49">
    <cfRule type="expression" dxfId="137" priority="363">
      <formula>(TEXT(TODAY(),"aaaa"))="Friday"</formula>
    </cfRule>
  </conditionalFormatting>
  <conditionalFormatting sqref="Q98:R98 T98">
    <cfRule type="expression" dxfId="136" priority="92">
      <formula>(TEXT(TODAY(),"aaaa"))="Friday"</formula>
    </cfRule>
  </conditionalFormatting>
  <conditionalFormatting sqref="S18:S49">
    <cfRule type="iconSet" priority="149">
      <iconSet iconSet="3Symbols2" showValue="0">
        <cfvo type="percent" val="0"/>
        <cfvo type="percent" val="33"/>
        <cfvo type="percent" val="67"/>
      </iconSet>
    </cfRule>
    <cfRule type="expression" dxfId="135" priority="150">
      <formula>(TEXT(TODAY(),"aaaa"))="Wednesday"</formula>
    </cfRule>
  </conditionalFormatting>
  <conditionalFormatting sqref="S98">
    <cfRule type="iconSet" priority="82">
      <iconSet iconSet="3Symbols2" showValue="0">
        <cfvo type="percent" val="0"/>
        <cfvo type="percent" val="33"/>
        <cfvo type="percent" val="67"/>
      </iconSet>
    </cfRule>
    <cfRule type="expression" dxfId="134" priority="83">
      <formula>(TEXT(TODAY(),"aaaa"))="Wednesday"</formula>
    </cfRule>
  </conditionalFormatting>
  <conditionalFormatting sqref="T39:T43">
    <cfRule type="expression" dxfId="133" priority="349">
      <formula>(TEXT(TODAY(),"aaaa"))="Thursday"</formula>
    </cfRule>
  </conditionalFormatting>
  <conditionalFormatting sqref="T98 Q98:R98 K98:O98">
    <cfRule type="iconSet" priority="91">
      <iconSet iconSet="3Symbols2" showValue="0">
        <cfvo type="percent" val="0"/>
        <cfvo type="percent" val="33"/>
        <cfvo type="percent" val="67"/>
      </iconSet>
    </cfRule>
  </conditionalFormatting>
  <conditionalFormatting sqref="U49:U97">
    <cfRule type="expression" dxfId="132" priority="129">
      <formula>(TEXT(TODAY(),"aaaa"))="Thursday"</formula>
    </cfRule>
    <cfRule type="iconSet" priority="819">
      <iconSet iconSet="3Symbols2" showValue="0">
        <cfvo type="percent" val="0"/>
        <cfvo type="percent" val="33"/>
        <cfvo type="percent" val="67"/>
      </iconSet>
    </cfRule>
  </conditionalFormatting>
  <conditionalFormatting sqref="U49:W97">
    <cfRule type="cellIs" dxfId="131" priority="3" operator="equal">
      <formula>"✔"</formula>
    </cfRule>
    <cfRule type="cellIs" dxfId="130" priority="4" operator="equal">
      <formula>"✖"</formula>
    </cfRule>
  </conditionalFormatting>
  <conditionalFormatting sqref="U18:Y48 X49:Y49 V49:V97">
    <cfRule type="expression" dxfId="129" priority="401">
      <formula>(TEXT(TODAY(),"aaaa"))="Monday"</formula>
    </cfRule>
  </conditionalFormatting>
  <conditionalFormatting sqref="U98:Y98">
    <cfRule type="expression" dxfId="128" priority="102">
      <formula>(TEXT(TODAY(),"aaaa"))="Monday"</formula>
    </cfRule>
  </conditionalFormatting>
  <conditionalFormatting sqref="U18:CB21 U22:Y48">
    <cfRule type="cellIs" dxfId="127" priority="785" operator="equal">
      <formula>"✖"</formula>
    </cfRule>
    <cfRule type="cellIs" dxfId="126" priority="784" operator="equal">
      <formula>"✔"</formula>
    </cfRule>
  </conditionalFormatting>
  <conditionalFormatting sqref="U98:CB98">
    <cfRule type="iconSet" priority="101">
      <iconSet iconSet="3Symbols2" showValue="0">
        <cfvo type="percent" val="0"/>
        <cfvo type="percent" val="33"/>
        <cfvo type="percent" val="67"/>
      </iconSet>
    </cfRule>
  </conditionalFormatting>
  <conditionalFormatting sqref="W49 W84:W89 W92:W93">
    <cfRule type="iconSet" priority="816">
      <iconSet iconSet="3Symbols2" showValue="0">
        <cfvo type="percent" val="0"/>
        <cfvo type="percent" val="33"/>
        <cfvo type="percent" val="67"/>
      </iconSet>
    </cfRule>
    <cfRule type="expression" dxfId="125" priority="138">
      <formula>(TEXT(TODAY(),"aaaa"))="Wednesday"</formula>
    </cfRule>
  </conditionalFormatting>
  <conditionalFormatting sqref="W50:W58">
    <cfRule type="iconSet" priority="75">
      <iconSet iconSet="3Symbols2" showValue="0">
        <cfvo type="percent" val="0"/>
        <cfvo type="percent" val="33"/>
        <cfvo type="percent" val="67"/>
      </iconSet>
    </cfRule>
  </conditionalFormatting>
  <conditionalFormatting sqref="W50:W83">
    <cfRule type="expression" dxfId="124" priority="22">
      <formula>(TEXT(TODAY(),"aaaa"))="Monday"</formula>
    </cfRule>
  </conditionalFormatting>
  <conditionalFormatting sqref="W59">
    <cfRule type="iconSet" priority="67">
      <iconSet iconSet="3Symbols2" showValue="0">
        <cfvo type="percent" val="0"/>
        <cfvo type="percent" val="33"/>
        <cfvo type="percent" val="67"/>
      </iconSet>
    </cfRule>
  </conditionalFormatting>
  <conditionalFormatting sqref="W60:W64">
    <cfRule type="iconSet" priority="59">
      <iconSet iconSet="3Symbols2" showValue="0">
        <cfvo type="percent" val="0"/>
        <cfvo type="percent" val="33"/>
        <cfvo type="percent" val="67"/>
      </iconSet>
    </cfRule>
  </conditionalFormatting>
  <conditionalFormatting sqref="W65:W72">
    <cfRule type="iconSet" priority="51">
      <iconSet iconSet="3Symbols2" showValue="0">
        <cfvo type="percent" val="0"/>
        <cfvo type="percent" val="33"/>
        <cfvo type="percent" val="67"/>
      </iconSet>
    </cfRule>
  </conditionalFormatting>
  <conditionalFormatting sqref="W73">
    <cfRule type="iconSet" priority="43">
      <iconSet iconSet="3Symbols2" showValue="0">
        <cfvo type="percent" val="0"/>
        <cfvo type="percent" val="33"/>
        <cfvo type="percent" val="67"/>
      </iconSet>
    </cfRule>
  </conditionalFormatting>
  <conditionalFormatting sqref="W74:W80">
    <cfRule type="iconSet" priority="35">
      <iconSet iconSet="3Symbols2" showValue="0">
        <cfvo type="percent" val="0"/>
        <cfvo type="percent" val="33"/>
        <cfvo type="percent" val="67"/>
      </iconSet>
    </cfRule>
  </conditionalFormatting>
  <conditionalFormatting sqref="W81:W83">
    <cfRule type="iconSet" priority="23">
      <iconSet iconSet="3Symbols2" showValue="0">
        <cfvo type="percent" val="0"/>
        <cfvo type="percent" val="33"/>
        <cfvo type="percent" val="67"/>
      </iconSet>
    </cfRule>
  </conditionalFormatting>
  <conditionalFormatting sqref="W90:W91">
    <cfRule type="iconSet" priority="11">
      <iconSet iconSet="3Symbols2" showValue="0">
        <cfvo type="percent" val="0"/>
        <cfvo type="percent" val="33"/>
        <cfvo type="percent" val="67"/>
      </iconSet>
    </cfRule>
    <cfRule type="expression" dxfId="123" priority="10">
      <formula>(TEXT(TODAY(),"aaaa"))="Monday"</formula>
    </cfRule>
  </conditionalFormatting>
  <conditionalFormatting sqref="W94:W97">
    <cfRule type="iconSet" priority="2">
      <iconSet iconSet="3Symbols2" showValue="0">
        <cfvo type="percent" val="0"/>
        <cfvo type="percent" val="33"/>
        <cfvo type="percent" val="67"/>
      </iconSet>
    </cfRule>
    <cfRule type="expression" dxfId="122" priority="1">
      <formula>(TEXT(TODAY(),"aaaa"))="Monday"</formula>
    </cfRule>
  </conditionalFormatting>
  <conditionalFormatting sqref="X50:X58 X59:Y59">
    <cfRule type="expression" dxfId="121" priority="387">
      <formula>(TEXT(TODAY(),"aaaa"))="Monday"</formula>
    </cfRule>
  </conditionalFormatting>
  <conditionalFormatting sqref="X60:X64 X65:Y72 X73 X74:Y80 X81:X83 X84:Y97">
    <cfRule type="expression" dxfId="120" priority="373">
      <formula>(TEXT(TODAY(),"aaaa"))="Monday"</formula>
    </cfRule>
  </conditionalFormatting>
  <conditionalFormatting sqref="X49:Y58">
    <cfRule type="cellIs" dxfId="119" priority="81" operator="equal">
      <formula>"✖"</formula>
    </cfRule>
    <cfRule type="cellIs" dxfId="118" priority="80" operator="equal">
      <formula>"✔"</formula>
    </cfRule>
  </conditionalFormatting>
  <conditionalFormatting sqref="X60:Y64">
    <cfRule type="cellIs" dxfId="117" priority="65" operator="equal">
      <formula>"✖"</formula>
    </cfRule>
    <cfRule type="cellIs" dxfId="116" priority="64" operator="equal">
      <formula>"✔"</formula>
    </cfRule>
  </conditionalFormatting>
  <conditionalFormatting sqref="X59:AI59">
    <cfRule type="cellIs" dxfId="115" priority="72" operator="equal">
      <formula>"✔"</formula>
    </cfRule>
    <cfRule type="cellIs" dxfId="114" priority="73" operator="equal">
      <formula>"✖"</formula>
    </cfRule>
  </conditionalFormatting>
  <conditionalFormatting sqref="X65:AN97">
    <cfRule type="cellIs" dxfId="113" priority="8" operator="equal">
      <formula>"✔"</formula>
    </cfRule>
    <cfRule type="cellIs" dxfId="112" priority="9" operator="equal">
      <formula>"✖"</formula>
    </cfRule>
  </conditionalFormatting>
  <conditionalFormatting sqref="Y50:Y58">
    <cfRule type="iconSet" priority="79">
      <iconSet iconSet="3Symbols2" showValue="0">
        <cfvo type="percent" val="0"/>
        <cfvo type="percent" val="33"/>
        <cfvo type="percent" val="67"/>
      </iconSet>
    </cfRule>
    <cfRule type="expression" dxfId="111" priority="78">
      <formula>(TEXT(TODAY(),"aaaa"))="Wednesday"</formula>
    </cfRule>
  </conditionalFormatting>
  <conditionalFormatting sqref="Y60:Y64">
    <cfRule type="expression" dxfId="110" priority="62">
      <formula>(TEXT(TODAY(),"aaaa"))="Wednesday"</formula>
    </cfRule>
    <cfRule type="iconSet" priority="63">
      <iconSet iconSet="3Symbols2" showValue="0">
        <cfvo type="percent" val="0"/>
        <cfvo type="percent" val="33"/>
        <cfvo type="percent" val="67"/>
      </iconSet>
    </cfRule>
  </conditionalFormatting>
  <conditionalFormatting sqref="Y73">
    <cfRule type="iconSet" priority="47">
      <iconSet iconSet="3Symbols2" showValue="0">
        <cfvo type="percent" val="0"/>
        <cfvo type="percent" val="33"/>
        <cfvo type="percent" val="67"/>
      </iconSet>
    </cfRule>
    <cfRule type="expression" dxfId="109" priority="46">
      <formula>(TEXT(TODAY(),"aaaa"))="Wednesday"</formula>
    </cfRule>
  </conditionalFormatting>
  <conditionalFormatting sqref="Y81:Y83">
    <cfRule type="expression" dxfId="108" priority="30">
      <formula>(TEXT(TODAY(),"aaaa"))="Wednesday"</formula>
    </cfRule>
    <cfRule type="iconSet" priority="31">
      <iconSet iconSet="3Symbols2" showValue="0">
        <cfvo type="percent" val="0"/>
        <cfvo type="percent" val="33"/>
        <cfvo type="percent" val="67"/>
      </iconSet>
    </cfRule>
  </conditionalFormatting>
  <conditionalFormatting sqref="Z30:AA32 U18:CB21 AC30:AE32 AG30:CB32 Z33:CB33 Z22:CB29 U22:Y48 AJ34:CB57 Z34:AI58 X49:Y49 V49:V97 X50:X57 Z60:AI62 Z59:AA59 AC59:AI59">
    <cfRule type="iconSet" priority="783">
      <iconSet iconSet="3Symbols2" showValue="0">
        <cfvo type="percent" val="0"/>
        <cfvo type="percent" val="33"/>
        <cfvo type="percent" val="67"/>
      </iconSet>
    </cfRule>
  </conditionalFormatting>
  <conditionalFormatting sqref="Z94:AA98 AC94:AD98">
    <cfRule type="expression" dxfId="107" priority="104">
      <formula>(TEXT(TODAY(),"aaaa"))="Tuesday"</formula>
    </cfRule>
  </conditionalFormatting>
  <conditionalFormatting sqref="Z18:AD29 Z30:AA32 AC30:AD32 Z33:AD58 Z59:AA59 AC59:AD59">
    <cfRule type="expression" dxfId="106" priority="403">
      <formula>(TEXT(TODAY(),"aaaa"))="Tuesday"</formula>
    </cfRule>
  </conditionalFormatting>
  <conditionalFormatting sqref="Z60:AD64 Z65:AA72 AC65:AD72 Z73:AD73 Z74:AA80 AC74:AD80 Z81:AD89 Z90:AA91 AC90:AD91 Z92:AD93">
    <cfRule type="expression" dxfId="105" priority="375">
      <formula>(TEXT(TODAY(),"aaaa"))="Tuesday"</formula>
    </cfRule>
  </conditionalFormatting>
  <conditionalFormatting sqref="Z60:AI63">
    <cfRule type="cellIs" dxfId="104" priority="223" operator="equal">
      <formula>"✔"</formula>
    </cfRule>
    <cfRule type="cellIs" dxfId="103" priority="224" operator="equal">
      <formula>"✖"</formula>
    </cfRule>
  </conditionalFormatting>
  <conditionalFormatting sqref="Z22:CB58">
    <cfRule type="cellIs" dxfId="102" priority="247" operator="equal">
      <formula>"✔"</formula>
    </cfRule>
    <cfRule type="cellIs" dxfId="101" priority="248" operator="equal">
      <formula>"✖"</formula>
    </cfRule>
  </conditionalFormatting>
  <conditionalFormatting sqref="AB30">
    <cfRule type="iconSet" priority="274">
      <iconSet iconSet="3Symbols2" showValue="0">
        <cfvo type="percent" val="0"/>
        <cfvo type="percent" val="33"/>
        <cfvo type="percent" val="67"/>
      </iconSet>
    </cfRule>
  </conditionalFormatting>
  <conditionalFormatting sqref="AB30:AB32">
    <cfRule type="expression" dxfId="100" priority="265">
      <formula>(TEXT(TODAY(),"aaaa"))="Thursday"</formula>
    </cfRule>
  </conditionalFormatting>
  <conditionalFormatting sqref="AB31">
    <cfRule type="iconSet" priority="270">
      <iconSet iconSet="3Symbols2" showValue="0">
        <cfvo type="percent" val="0"/>
        <cfvo type="percent" val="33"/>
        <cfvo type="percent" val="67"/>
      </iconSet>
    </cfRule>
  </conditionalFormatting>
  <conditionalFormatting sqref="AB32">
    <cfRule type="iconSet" priority="266">
      <iconSet iconSet="3Symbols2" showValue="0">
        <cfvo type="percent" val="0"/>
        <cfvo type="percent" val="33"/>
        <cfvo type="percent" val="67"/>
      </iconSet>
    </cfRule>
  </conditionalFormatting>
  <conditionalFormatting sqref="AB59">
    <cfRule type="expression" dxfId="99" priority="70">
      <formula>(TEXT(TODAY(),"aaaa"))="Wednesday"</formula>
    </cfRule>
    <cfRule type="iconSet" priority="71">
      <iconSet iconSet="3Symbols2" showValue="0">
        <cfvo type="percent" val="0"/>
        <cfvo type="percent" val="33"/>
        <cfvo type="percent" val="67"/>
      </iconSet>
    </cfRule>
  </conditionalFormatting>
  <conditionalFormatting sqref="AB65:AB72">
    <cfRule type="iconSet" priority="55">
      <iconSet iconSet="3Symbols2" showValue="0">
        <cfvo type="percent" val="0"/>
        <cfvo type="percent" val="33"/>
        <cfvo type="percent" val="67"/>
      </iconSet>
    </cfRule>
    <cfRule type="expression" dxfId="98" priority="54">
      <formula>(TEXT(TODAY(),"aaaa"))="Wednesday"</formula>
    </cfRule>
  </conditionalFormatting>
  <conditionalFormatting sqref="AB74:AB80">
    <cfRule type="iconSet" priority="39">
      <iconSet iconSet="3Symbols2" showValue="0">
        <cfvo type="percent" val="0"/>
        <cfvo type="percent" val="33"/>
        <cfvo type="percent" val="67"/>
      </iconSet>
    </cfRule>
    <cfRule type="expression" dxfId="97" priority="38">
      <formula>(TEXT(TODAY(),"aaaa"))="Wednesday"</formula>
    </cfRule>
  </conditionalFormatting>
  <conditionalFormatting sqref="AB90">
    <cfRule type="iconSet" priority="19">
      <iconSet iconSet="3Symbols2" showValue="0">
        <cfvo type="percent" val="0"/>
        <cfvo type="percent" val="33"/>
        <cfvo type="percent" val="67"/>
      </iconSet>
    </cfRule>
  </conditionalFormatting>
  <conditionalFormatting sqref="AB90:AB91">
    <cfRule type="expression" dxfId="96" priority="14">
      <formula>(TEXT(TODAY(),"aaaa"))="Wednesday"</formula>
    </cfRule>
  </conditionalFormatting>
  <conditionalFormatting sqref="AB91">
    <cfRule type="iconSet" priority="15">
      <iconSet iconSet="3Symbols2" showValue="0">
        <cfvo type="percent" val="0"/>
        <cfvo type="percent" val="33"/>
        <cfvo type="percent" val="67"/>
      </iconSet>
    </cfRule>
  </conditionalFormatting>
  <conditionalFormatting sqref="AB94:AB97">
    <cfRule type="expression" dxfId="95" priority="6">
      <formula>(TEXT(TODAY(),"aaaa"))="Wednesday"</formula>
    </cfRule>
    <cfRule type="iconSet" priority="7">
      <iconSet iconSet="3Symbols2" showValue="0">
        <cfvo type="percent" val="0"/>
        <cfvo type="percent" val="33"/>
        <cfvo type="percent" val="67"/>
      </iconSet>
    </cfRule>
  </conditionalFormatting>
  <conditionalFormatting sqref="AB98">
    <cfRule type="expression" dxfId="94" priority="5">
      <formula>(TEXT(TODAY(),"aaaa"))="Monday"</formula>
    </cfRule>
  </conditionalFormatting>
  <conditionalFormatting sqref="AE63">
    <cfRule type="expression" dxfId="93" priority="225">
      <formula>(TEXT(TODAY(),"aaaa"))="Thursday"</formula>
    </cfRule>
    <cfRule type="iconSet" priority="226">
      <iconSet iconSet="3Symbols2" showValue="0">
        <cfvo type="percent" val="0"/>
        <cfvo type="percent" val="33"/>
        <cfvo type="percent" val="67"/>
      </iconSet>
    </cfRule>
  </conditionalFormatting>
  <conditionalFormatting sqref="AE18:AI62">
    <cfRule type="expression" dxfId="92" priority="246">
      <formula>(TEXT(TODAY(),"aaaa"))="Wednesday"</formula>
    </cfRule>
  </conditionalFormatting>
  <conditionalFormatting sqref="AE64:AI98">
    <cfRule type="expression" dxfId="91" priority="105">
      <formula>(TEXT(TODAY(),"aaaa"))="Wednesday"</formula>
    </cfRule>
  </conditionalFormatting>
  <conditionalFormatting sqref="AF30">
    <cfRule type="iconSet" priority="253">
      <iconSet iconSet="3Symbols2" showValue="0">
        <cfvo type="percent" val="0"/>
        <cfvo type="percent" val="33"/>
        <cfvo type="percent" val="67"/>
      </iconSet>
    </cfRule>
  </conditionalFormatting>
  <conditionalFormatting sqref="AF31">
    <cfRule type="iconSet" priority="249">
      <iconSet iconSet="3Symbols2" showValue="0">
        <cfvo type="percent" val="0"/>
        <cfvo type="percent" val="33"/>
        <cfvo type="percent" val="67"/>
      </iconSet>
    </cfRule>
  </conditionalFormatting>
  <conditionalFormatting sqref="AF32">
    <cfRule type="iconSet" priority="245">
      <iconSet iconSet="3Symbols2" showValue="0">
        <cfvo type="percent" val="0"/>
        <cfvo type="percent" val="33"/>
        <cfvo type="percent" val="67"/>
      </iconSet>
    </cfRule>
  </conditionalFormatting>
  <conditionalFormatting sqref="AF63:AH63 AJ58:CB58 AJ59:AN63 X59:Y59 AT59:CB63 AO59:AS97 X58 X60:X63 Z63:AD63">
    <cfRule type="iconSet" priority="386">
      <iconSet iconSet="3Symbols2" showValue="0">
        <cfvo type="percent" val="0"/>
        <cfvo type="percent" val="33"/>
        <cfvo type="percent" val="67"/>
      </iconSet>
    </cfRule>
  </conditionalFormatting>
  <conditionalFormatting sqref="AF63:AI63">
    <cfRule type="expression" dxfId="90" priority="222">
      <formula>(TEXT(TODAY(),"aaaa"))="Wednesday"</formula>
    </cfRule>
  </conditionalFormatting>
  <conditionalFormatting sqref="AI63">
    <cfRule type="iconSet" priority="221">
      <iconSet iconSet="3Symbols2" showValue="0">
        <cfvo type="percent" val="0"/>
        <cfvo type="percent" val="33"/>
        <cfvo type="percent" val="67"/>
      </iconSet>
    </cfRule>
  </conditionalFormatting>
  <conditionalFormatting sqref="AJ18:AN98">
    <cfRule type="expression" dxfId="89" priority="106">
      <formula>(TEXT(TODAY(),"aaaa"))="Thursday"</formula>
    </cfRule>
  </conditionalFormatting>
  <conditionalFormatting sqref="AJ59:AN63">
    <cfRule type="cellIs" dxfId="88" priority="392" operator="equal">
      <formula>"✔"</formula>
    </cfRule>
    <cfRule type="cellIs" dxfId="87" priority="393" operator="equal">
      <formula>"✖"</formula>
    </cfRule>
  </conditionalFormatting>
  <conditionalFormatting sqref="AO18:AS98 BN18:BR98">
    <cfRule type="expression" dxfId="86" priority="103">
      <formula>(TEXT(TODAY(),"aaaa"))="Friday"</formula>
    </cfRule>
  </conditionalFormatting>
  <conditionalFormatting sqref="AO59:CB97 Z64:AN64">
    <cfRule type="cellIs" dxfId="85" priority="378" operator="equal">
      <formula>"✔"</formula>
    </cfRule>
    <cfRule type="cellIs" dxfId="84" priority="379" operator="equal">
      <formula>"✖"</formula>
    </cfRule>
  </conditionalFormatting>
  <conditionalFormatting sqref="AT18:AX98">
    <cfRule type="expression" dxfId="83" priority="97">
      <formula>(TEXT(TODAY(),"aaaa"))="Monday"</formula>
    </cfRule>
  </conditionalFormatting>
  <conditionalFormatting sqref="AY18:BC98">
    <cfRule type="expression" dxfId="82" priority="98">
      <formula>(TEXT(TODAY(),"aaaa"))="Tuesday"</formula>
    </cfRule>
  </conditionalFormatting>
  <conditionalFormatting sqref="BD18:BH98">
    <cfRule type="expression" dxfId="81" priority="99">
      <formula>(TEXT(TODAY(),"aaaa"))="Wednesday"</formula>
    </cfRule>
  </conditionalFormatting>
  <conditionalFormatting sqref="BI18:BM98">
    <cfRule type="expression" dxfId="80" priority="100">
      <formula>(TEXT(TODAY(),"aaaa"))="Thursday"</formula>
    </cfRule>
  </conditionalFormatting>
  <conditionalFormatting sqref="BS18:BW98">
    <cfRule type="expression" dxfId="79" priority="95">
      <formula>(TEXT(TODAY(),"aaaa"))="Monday"</formula>
    </cfRule>
  </conditionalFormatting>
  <conditionalFormatting sqref="BX18:CB98">
    <cfRule type="expression" dxfId="78" priority="96">
      <formula>(TEXT(TODAY(),"aaaa"))="Tuesday"</formula>
    </cfRule>
  </conditionalFormatting>
  <dataValidations count="3">
    <dataValidation allowBlank="1" showInputMessage="1" showErrorMessage="1" prompt="Enter Period time in next cell T7." sqref="AE14 BD14" xr:uid="{CEDE62AC-1409-41E0-963A-17424DCE2B73}"/>
    <dataValidation allowBlank="1" showInputMessage="1" showErrorMessage="1" prompt="Enter Period time in this cell." sqref="AJ14 BI14 K14" xr:uid="{8720B6BD-7841-48EA-A52A-C7C6FCC564B8}"/>
    <dataValidation allowBlank="1" showInputMessage="1" showErrorMessage="1" prompt="Enter Time in this cell." sqref="Z14 BX14 AY14" xr:uid="{E1C77AA8-0BA9-47AE-AB15-680BACD1620C}"/>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E36AC-CA1B-491B-9847-957F51CE44E2}">
  <sheetPr codeName="Sheet11"/>
  <dimension ref="B1:CF47"/>
  <sheetViews>
    <sheetView zoomScale="55" zoomScaleNormal="55" workbookViewId="0">
      <pane xSplit="10" ySplit="17" topLeftCell="BN18" activePane="bottomRight" state="frozen"/>
      <selection pane="bottomRight" activeCell="BO11" sqref="BO11:BO12"/>
      <selection pane="bottomLeft" activeCell="A15" sqref="A15"/>
      <selection pane="topRight" activeCell="J1" sqref="J1"/>
    </sheetView>
  </sheetViews>
  <sheetFormatPr defaultColWidth="10.42578125" defaultRowHeight="15"/>
  <cols>
    <col min="1" max="1" width="4.5703125" style="7" customWidth="1"/>
    <col min="2" max="2" width="13.42578125" style="7" bestFit="1" customWidth="1"/>
    <col min="3" max="3" width="33.7109375" style="7" bestFit="1" customWidth="1"/>
    <col min="4" max="4" width="33.7109375" style="7" customWidth="1"/>
    <col min="5" max="5" width="58.5703125" style="8" bestFit="1" customWidth="1"/>
    <col min="6" max="7" width="16.28515625" style="8" bestFit="1" customWidth="1"/>
    <col min="8" max="9" width="15" style="8" customWidth="1"/>
    <col min="10" max="10" width="24" style="8" customWidth="1"/>
    <col min="11" max="11" width="19.85546875" style="7" customWidth="1"/>
    <col min="12" max="16" width="19.140625" style="7" bestFit="1" customWidth="1"/>
    <col min="17" max="19" width="22.42578125" style="7" bestFit="1" customWidth="1"/>
    <col min="20" max="20" width="17.85546875" style="7" customWidth="1"/>
    <col min="21" max="21" width="20.85546875" style="7" bestFit="1" customWidth="1"/>
    <col min="22" max="22" width="23.85546875" style="7" bestFit="1" customWidth="1"/>
    <col min="23" max="23" width="22.42578125" style="7" bestFit="1" customWidth="1"/>
    <col min="24" max="24" width="17.85546875" style="7" customWidth="1"/>
    <col min="25" max="25" width="21.7109375" style="7" bestFit="1" customWidth="1"/>
    <col min="26" max="26" width="17.85546875" style="7" customWidth="1"/>
    <col min="27" max="27" width="20.140625" style="7" customWidth="1"/>
    <col min="28" max="28" width="21.7109375" style="7" customWidth="1"/>
    <col min="29" max="30" width="22.42578125" style="7" bestFit="1" customWidth="1"/>
    <col min="31" max="31" width="18" style="7" bestFit="1" customWidth="1"/>
    <col min="32" max="32" width="22.42578125" style="7" bestFit="1" customWidth="1"/>
    <col min="33" max="33" width="19.85546875" style="7" bestFit="1" customWidth="1"/>
    <col min="34" max="34" width="22.42578125" style="7" bestFit="1" customWidth="1"/>
    <col min="35" max="35" width="23.85546875" style="7" bestFit="1" customWidth="1"/>
    <col min="36" max="36" width="19.85546875" style="7" customWidth="1"/>
    <col min="37" max="37" width="18" style="7" bestFit="1" customWidth="1"/>
    <col min="38" max="38" width="20.7109375" style="7" customWidth="1"/>
    <col min="39" max="39" width="20.140625" style="7" customWidth="1"/>
    <col min="40" max="40" width="21.7109375" style="7" bestFit="1" customWidth="1"/>
    <col min="41" max="48" width="17.85546875" style="7" customWidth="1"/>
    <col min="49" max="49" width="19.7109375" style="7" customWidth="1"/>
    <col min="50" max="50" width="20.140625" style="7" bestFit="1" customWidth="1"/>
    <col min="51" max="51" width="20.140625" style="7" customWidth="1"/>
    <col min="52" max="52" width="17.85546875" style="7" customWidth="1"/>
    <col min="53" max="53" width="20.140625" style="7" bestFit="1" customWidth="1"/>
    <col min="54" max="54" width="20.42578125" style="7" customWidth="1"/>
    <col min="55" max="56" width="23.85546875" style="7" bestFit="1" customWidth="1"/>
    <col min="57" max="62" width="17.85546875" style="7" customWidth="1"/>
    <col min="63" max="63" width="21.7109375" style="7" customWidth="1"/>
    <col min="64" max="64" width="17.85546875" style="7" customWidth="1"/>
    <col min="65" max="65" width="20.85546875" style="7" bestFit="1" customWidth="1"/>
    <col min="66" max="66" width="20.7109375" style="7" bestFit="1" customWidth="1"/>
    <col min="67" max="67" width="20.140625" style="7" bestFit="1" customWidth="1"/>
    <col min="68" max="80" width="17.85546875" style="7" customWidth="1"/>
    <col min="81" max="81" width="34.7109375" style="9" customWidth="1"/>
    <col min="82" max="82" width="1.7109375" style="7" bestFit="1" customWidth="1"/>
    <col min="83" max="16384" width="10.42578125" style="7"/>
  </cols>
  <sheetData>
    <row r="1" spans="2:84" ht="39.75">
      <c r="B1" s="6" t="s">
        <v>1213</v>
      </c>
      <c r="CD1" s="10" t="s">
        <v>1336</v>
      </c>
    </row>
    <row r="2" spans="2:84" ht="39.75">
      <c r="B2" s="6"/>
      <c r="CD2" s="10"/>
    </row>
    <row r="3" spans="2:84" ht="18.75" customHeight="1">
      <c r="B3" s="6"/>
      <c r="E3" s="366" t="s">
        <v>0</v>
      </c>
      <c r="F3" s="366"/>
      <c r="G3" s="366"/>
      <c r="H3" s="366"/>
      <c r="I3" s="366"/>
      <c r="J3" s="366"/>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1"/>
      <c r="CD3" s="10"/>
    </row>
    <row r="4" spans="2:84" ht="18.75" customHeight="1">
      <c r="B4" s="6"/>
      <c r="E4" s="365" t="s">
        <v>1214</v>
      </c>
      <c r="F4" s="365"/>
      <c r="G4" s="365"/>
      <c r="H4" s="365"/>
      <c r="I4" s="365"/>
      <c r="J4" s="365"/>
      <c r="CD4" s="10"/>
    </row>
    <row r="5" spans="2:84" ht="18.75" customHeight="1">
      <c r="B5" s="6"/>
      <c r="E5" s="365" t="s">
        <v>1215</v>
      </c>
      <c r="F5" s="365"/>
      <c r="G5" s="365"/>
      <c r="H5" s="365"/>
      <c r="I5" s="365"/>
      <c r="J5" s="365"/>
      <c r="K5" s="11"/>
      <c r="L5" s="11"/>
      <c r="M5" s="11"/>
      <c r="N5" s="129" t="s">
        <v>1492</v>
      </c>
      <c r="O5" s="11"/>
      <c r="P5" s="11"/>
      <c r="R5" s="136" t="s">
        <v>1493</v>
      </c>
      <c r="S5" s="136" t="s">
        <v>1494</v>
      </c>
      <c r="CD5" s="10"/>
    </row>
    <row r="6" spans="2:84" ht="18.75" customHeight="1">
      <c r="B6" s="6"/>
      <c r="E6" s="367" t="s">
        <v>1216</v>
      </c>
      <c r="F6" s="367"/>
      <c r="G6" s="367"/>
      <c r="H6" s="367"/>
      <c r="I6" s="367"/>
      <c r="J6" s="367"/>
      <c r="Q6" s="129" t="s">
        <v>1495</v>
      </c>
      <c r="CD6" s="10"/>
    </row>
    <row r="7" spans="2:84" ht="18.75" customHeight="1">
      <c r="E7" s="366" t="s">
        <v>33</v>
      </c>
      <c r="F7" s="366"/>
      <c r="G7" s="366"/>
      <c r="H7" s="366"/>
      <c r="I7" s="366"/>
      <c r="J7" s="366"/>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1"/>
      <c r="CD7" s="10"/>
    </row>
    <row r="8" spans="2:84" ht="18.75" customHeight="1">
      <c r="E8" s="365" t="s">
        <v>1217</v>
      </c>
      <c r="F8" s="365"/>
      <c r="G8" s="365"/>
      <c r="H8" s="365"/>
      <c r="I8" s="365"/>
      <c r="J8" s="365"/>
      <c r="R8" s="129" t="s">
        <v>145</v>
      </c>
      <c r="S8" s="129" t="s">
        <v>150</v>
      </c>
      <c r="CD8" s="10"/>
    </row>
    <row r="9" spans="2:84" ht="21.75" customHeight="1">
      <c r="E9" s="365" t="s">
        <v>1218</v>
      </c>
      <c r="F9" s="365"/>
      <c r="G9" s="365"/>
      <c r="H9" s="365"/>
      <c r="I9" s="365"/>
      <c r="J9" s="365"/>
      <c r="U9" s="129" t="s">
        <v>155</v>
      </c>
      <c r="V9" s="129" t="s">
        <v>159</v>
      </c>
      <c r="W9" s="129" t="s">
        <v>168</v>
      </c>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D9" s="10"/>
    </row>
    <row r="10" spans="2:84" ht="28.5">
      <c r="E10" s="365" t="s">
        <v>1219</v>
      </c>
      <c r="F10" s="365"/>
      <c r="G10" s="365"/>
      <c r="H10" s="365"/>
      <c r="I10" s="365"/>
      <c r="J10" s="365"/>
      <c r="K10" s="11"/>
      <c r="L10" s="11"/>
      <c r="M10" s="11"/>
      <c r="N10" s="11"/>
      <c r="O10" s="11"/>
      <c r="P10" s="11"/>
      <c r="Q10" s="11"/>
      <c r="R10" s="11"/>
      <c r="S10" s="11"/>
      <c r="T10" s="11"/>
      <c r="U10" s="11"/>
      <c r="V10" s="11"/>
      <c r="W10" s="11"/>
      <c r="X10" s="11"/>
      <c r="Y10" s="129" t="s">
        <v>177</v>
      </c>
      <c r="Z10" s="11"/>
      <c r="AA10" s="129" t="s">
        <v>180</v>
      </c>
      <c r="AB10" s="129" t="s">
        <v>186</v>
      </c>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29" t="s">
        <v>254</v>
      </c>
      <c r="BL10" s="11"/>
      <c r="BM10" s="129" t="s">
        <v>259</v>
      </c>
      <c r="BN10" s="258" t="s">
        <v>271</v>
      </c>
      <c r="BO10" s="11"/>
      <c r="BP10" s="11"/>
      <c r="BQ10" s="11"/>
      <c r="BR10" s="11"/>
      <c r="BS10" s="11"/>
      <c r="BT10" s="11"/>
      <c r="BU10" s="11"/>
      <c r="BV10" s="11"/>
      <c r="BW10" s="11"/>
      <c r="BX10" s="11"/>
      <c r="BY10" s="11"/>
      <c r="BZ10" s="11"/>
      <c r="CA10" s="11"/>
      <c r="CB10" s="11"/>
      <c r="CD10" s="10"/>
    </row>
    <row r="11" spans="2:84" ht="34.5" customHeight="1">
      <c r="E11" s="365" t="s">
        <v>1220</v>
      </c>
      <c r="F11" s="365"/>
      <c r="G11" s="365"/>
      <c r="H11" s="365"/>
      <c r="I11" s="365"/>
      <c r="J11" s="365"/>
      <c r="K11" s="11"/>
      <c r="L11" s="11"/>
      <c r="M11" s="11"/>
      <c r="N11" s="11"/>
      <c r="O11" s="11"/>
      <c r="P11" s="11"/>
      <c r="Q11" s="11"/>
      <c r="R11" s="11"/>
      <c r="S11" s="11"/>
      <c r="T11" s="11"/>
      <c r="U11" s="11"/>
      <c r="V11" s="11"/>
      <c r="W11" s="11"/>
      <c r="X11" s="11"/>
      <c r="Y11" s="11"/>
      <c r="Z11" s="11"/>
      <c r="AA11" s="11"/>
      <c r="AB11" s="11"/>
      <c r="AC11" s="129" t="s">
        <v>190</v>
      </c>
      <c r="AD11" s="129" t="s">
        <v>193</v>
      </c>
      <c r="AE11" s="11"/>
      <c r="AF11" s="129" t="s">
        <v>197</v>
      </c>
      <c r="AG11" s="129" t="s">
        <v>200</v>
      </c>
      <c r="AH11" s="129" t="s">
        <v>203</v>
      </c>
      <c r="AI11" s="129" t="s">
        <v>210</v>
      </c>
      <c r="AJ11" s="129" t="s">
        <v>1496</v>
      </c>
      <c r="AK11" s="11"/>
      <c r="AL11" s="129" t="s">
        <v>214</v>
      </c>
      <c r="AM11" s="129" t="s">
        <v>217</v>
      </c>
      <c r="AN11" s="129" t="s">
        <v>220</v>
      </c>
      <c r="AO11" s="11"/>
      <c r="AP11" s="11"/>
      <c r="AQ11" s="11"/>
      <c r="AR11" s="11"/>
      <c r="AS11" s="11"/>
      <c r="AT11" s="11"/>
      <c r="AU11" s="11"/>
      <c r="AV11" s="11"/>
      <c r="AW11" s="129" t="s">
        <v>224</v>
      </c>
      <c r="AX11" s="129" t="s">
        <v>228</v>
      </c>
      <c r="AY11" s="129" t="s">
        <v>231</v>
      </c>
      <c r="AZ11" s="11"/>
      <c r="BA11" s="129" t="s">
        <v>235</v>
      </c>
      <c r="BB11" s="129" t="s">
        <v>239</v>
      </c>
      <c r="BC11" s="129" t="s">
        <v>242</v>
      </c>
      <c r="BD11" s="129" t="s">
        <v>246</v>
      </c>
      <c r="BE11" s="11"/>
      <c r="BF11" s="11"/>
      <c r="BG11" s="11"/>
      <c r="BH11" s="129" t="s">
        <v>249</v>
      </c>
      <c r="BI11" s="11"/>
      <c r="BJ11" s="11"/>
      <c r="BK11" s="11"/>
      <c r="BL11" s="11"/>
      <c r="BM11" s="129" t="s">
        <v>263</v>
      </c>
      <c r="BN11" s="258" t="s">
        <v>268</v>
      </c>
      <c r="BO11" s="258" t="s">
        <v>1497</v>
      </c>
      <c r="BP11" s="11"/>
      <c r="BQ11" s="11"/>
      <c r="BR11" s="11"/>
      <c r="BS11" s="11"/>
      <c r="BT11" s="11"/>
      <c r="BU11" s="11"/>
      <c r="BV11" s="11"/>
      <c r="BW11" s="11"/>
      <c r="BX11" s="11"/>
      <c r="BY11" s="11"/>
      <c r="BZ11" s="11"/>
      <c r="CA11" s="11"/>
      <c r="CB11" s="11"/>
      <c r="CD11" s="10"/>
    </row>
    <row r="12" spans="2:84" ht="28.5">
      <c r="E12" s="367" t="s">
        <v>1216</v>
      </c>
      <c r="F12" s="367"/>
      <c r="G12" s="367"/>
      <c r="H12" s="367"/>
      <c r="I12" s="367"/>
      <c r="J12" s="367"/>
      <c r="K12" s="122"/>
      <c r="L12" s="122"/>
      <c r="M12" s="122"/>
      <c r="N12" s="122"/>
      <c r="O12" s="122"/>
      <c r="P12" s="122"/>
      <c r="Q12" s="122"/>
      <c r="R12" s="122"/>
      <c r="S12" s="122"/>
      <c r="T12" s="122"/>
      <c r="U12" s="122"/>
      <c r="V12" s="122"/>
      <c r="W12" s="122"/>
      <c r="X12" s="122"/>
      <c r="Y12" s="122"/>
      <c r="Z12" s="122"/>
      <c r="AA12" s="122"/>
      <c r="AB12" s="129" t="s">
        <v>1498</v>
      </c>
      <c r="AC12" s="122"/>
      <c r="AD12" s="122"/>
      <c r="AE12" s="129" t="s">
        <v>1499</v>
      </c>
      <c r="AF12" s="122"/>
      <c r="AG12" s="122"/>
      <c r="AH12" s="122"/>
      <c r="AI12" s="216" t="s">
        <v>1500</v>
      </c>
      <c r="AJ12" s="122"/>
      <c r="AK12" s="216" t="s">
        <v>1501</v>
      </c>
      <c r="AL12" s="216" t="s">
        <v>1502</v>
      </c>
      <c r="AM12" s="216" t="s">
        <v>1503</v>
      </c>
      <c r="AN12" s="122"/>
      <c r="AO12" s="122"/>
      <c r="AP12" s="216" t="s">
        <v>1504</v>
      </c>
      <c r="AQ12" s="122"/>
      <c r="AR12" s="122"/>
      <c r="AS12" s="122"/>
      <c r="AT12" s="122"/>
      <c r="AU12" s="122"/>
      <c r="AV12" s="122"/>
      <c r="AW12" s="129" t="s">
        <v>1505</v>
      </c>
      <c r="AX12" s="122"/>
      <c r="AY12" s="122"/>
      <c r="AZ12" s="122"/>
      <c r="BA12" s="129" t="s">
        <v>1506</v>
      </c>
      <c r="BB12" s="122"/>
      <c r="BC12" s="129" t="s">
        <v>1507</v>
      </c>
      <c r="BD12" s="122"/>
      <c r="BE12" s="122"/>
      <c r="BF12" s="122"/>
      <c r="BG12" s="122"/>
      <c r="BH12" s="122"/>
      <c r="BI12" s="122"/>
      <c r="BJ12" s="122"/>
      <c r="BK12" s="122"/>
      <c r="BL12" s="122"/>
      <c r="BM12" s="216" t="s">
        <v>1508</v>
      </c>
      <c r="BN12" s="122"/>
      <c r="BO12" s="258" t="s">
        <v>1509</v>
      </c>
      <c r="BP12" s="122"/>
      <c r="BQ12" s="122"/>
      <c r="BR12" s="122"/>
      <c r="BS12" s="122"/>
      <c r="BT12" s="122"/>
      <c r="BU12" s="122"/>
      <c r="BV12" s="122"/>
      <c r="BW12" s="122"/>
      <c r="BX12" s="122"/>
      <c r="BY12" s="122"/>
      <c r="BZ12" s="122"/>
      <c r="CA12" s="122"/>
      <c r="CB12" s="122"/>
      <c r="CC12" s="123"/>
      <c r="CD12" s="10"/>
    </row>
    <row r="13" spans="2:84">
      <c r="E13" s="12"/>
      <c r="CD13" s="10"/>
    </row>
    <row r="14" spans="2:84" s="13" customFormat="1" ht="39.75">
      <c r="E14" s="14"/>
      <c r="F14" s="15"/>
      <c r="G14" s="15"/>
      <c r="H14" s="15"/>
      <c r="I14" s="15"/>
      <c r="J14" s="15"/>
      <c r="K14" s="16"/>
      <c r="L14" s="16"/>
      <c r="M14" s="17"/>
      <c r="N14" s="17"/>
      <c r="O14" s="17"/>
      <c r="P14" s="17"/>
      <c r="Q14" s="17"/>
      <c r="R14" s="18"/>
      <c r="U14" s="16"/>
      <c r="V14" s="16"/>
      <c r="Z14" s="17"/>
      <c r="AA14" s="16"/>
      <c r="AE14" s="17"/>
      <c r="AG14" s="19"/>
      <c r="AH14" s="19"/>
      <c r="AI14" s="19"/>
      <c r="AJ14" s="16"/>
      <c r="AK14" s="16"/>
      <c r="AL14" s="17"/>
      <c r="AM14" s="17"/>
      <c r="AN14" s="17"/>
      <c r="AO14" s="17"/>
      <c r="AP14" s="17"/>
      <c r="AT14" s="16"/>
      <c r="AU14" s="16"/>
      <c r="AY14" s="17"/>
      <c r="AZ14" s="16"/>
      <c r="BD14" s="17"/>
      <c r="BF14" s="19"/>
      <c r="BG14" s="19"/>
      <c r="BH14" s="19"/>
      <c r="BI14" s="16"/>
      <c r="BJ14" s="16"/>
      <c r="BK14" s="17"/>
      <c r="BL14" s="17"/>
      <c r="BM14" s="17"/>
      <c r="BN14" s="17"/>
      <c r="BO14" s="17"/>
      <c r="BS14" s="16"/>
      <c r="BT14" s="16"/>
      <c r="BX14" s="17"/>
      <c r="BY14" s="16"/>
      <c r="CC14" s="20"/>
      <c r="CF14" s="21"/>
    </row>
    <row r="15" spans="2:84" ht="18">
      <c r="E15" s="22"/>
      <c r="F15" s="23"/>
      <c r="G15" s="23"/>
      <c r="H15" s="23"/>
      <c r="I15" s="23"/>
      <c r="J15" s="23"/>
      <c r="CC15" s="24"/>
      <c r="CF15" s="21"/>
    </row>
    <row r="16" spans="2:84" s="13" customFormat="1" ht="18">
      <c r="B16" s="25" t="s">
        <v>855</v>
      </c>
      <c r="C16" s="26" t="s">
        <v>856</v>
      </c>
      <c r="D16" s="27" t="s">
        <v>857</v>
      </c>
      <c r="E16" s="28" t="s">
        <v>859</v>
      </c>
      <c r="F16" s="28" t="s">
        <v>860</v>
      </c>
      <c r="G16" s="29" t="s">
        <v>861</v>
      </c>
      <c r="H16" s="29" t="s">
        <v>1516</v>
      </c>
      <c r="I16" s="29" t="s">
        <v>1232</v>
      </c>
      <c r="J16" s="29" t="s">
        <v>140</v>
      </c>
      <c r="K16" s="377" t="s">
        <v>1517</v>
      </c>
      <c r="L16" s="377"/>
      <c r="M16" s="377"/>
      <c r="N16" s="377"/>
      <c r="O16" s="377"/>
      <c r="P16" s="368" t="s">
        <v>1518</v>
      </c>
      <c r="Q16" s="368"/>
      <c r="R16" s="368"/>
      <c r="S16" s="368"/>
      <c r="T16" s="369"/>
      <c r="U16" s="362" t="s">
        <v>1519</v>
      </c>
      <c r="V16" s="363"/>
      <c r="W16" s="363"/>
      <c r="X16" s="363"/>
      <c r="Y16" s="364"/>
      <c r="Z16" s="359" t="s">
        <v>1520</v>
      </c>
      <c r="AA16" s="360"/>
      <c r="AB16" s="360"/>
      <c r="AC16" s="360"/>
      <c r="AD16" s="361"/>
      <c r="AE16" s="370" t="s">
        <v>1521</v>
      </c>
      <c r="AF16" s="371"/>
      <c r="AG16" s="371"/>
      <c r="AH16" s="371"/>
      <c r="AI16" s="372"/>
      <c r="AJ16" s="373" t="s">
        <v>1522</v>
      </c>
      <c r="AK16" s="374"/>
      <c r="AL16" s="374"/>
      <c r="AM16" s="374"/>
      <c r="AN16" s="374"/>
      <c r="AO16" s="368" t="s">
        <v>1523</v>
      </c>
      <c r="AP16" s="368"/>
      <c r="AQ16" s="368"/>
      <c r="AR16" s="368"/>
      <c r="AS16" s="369"/>
      <c r="AT16" s="362" t="s">
        <v>1524</v>
      </c>
      <c r="AU16" s="363"/>
      <c r="AV16" s="363"/>
      <c r="AW16" s="363"/>
      <c r="AX16" s="364"/>
      <c r="AY16" s="359" t="s">
        <v>1525</v>
      </c>
      <c r="AZ16" s="360"/>
      <c r="BA16" s="360"/>
      <c r="BB16" s="360"/>
      <c r="BC16" s="361"/>
      <c r="BD16" s="370" t="s">
        <v>1526</v>
      </c>
      <c r="BE16" s="371"/>
      <c r="BF16" s="371"/>
      <c r="BG16" s="371"/>
      <c r="BH16" s="372"/>
      <c r="BI16" s="373" t="s">
        <v>1527</v>
      </c>
      <c r="BJ16" s="374"/>
      <c r="BK16" s="374"/>
      <c r="BL16" s="374"/>
      <c r="BM16" s="374"/>
      <c r="BN16" s="368" t="s">
        <v>1528</v>
      </c>
      <c r="BO16" s="368"/>
      <c r="BP16" s="368"/>
      <c r="BQ16" s="368"/>
      <c r="BR16" s="369"/>
      <c r="BS16" s="362" t="s">
        <v>1529</v>
      </c>
      <c r="BT16" s="363"/>
      <c r="BU16" s="363"/>
      <c r="BV16" s="363"/>
      <c r="BW16" s="364"/>
      <c r="BX16" s="359" t="s">
        <v>1530</v>
      </c>
      <c r="BY16" s="360"/>
      <c r="BZ16" s="360"/>
      <c r="CA16" s="360"/>
      <c r="CB16" s="361"/>
      <c r="CC16" s="375" t="s">
        <v>1440</v>
      </c>
    </row>
    <row r="17" spans="2:81" s="21" customFormat="1" ht="18">
      <c r="B17" s="30"/>
      <c r="C17" s="31"/>
      <c r="D17" s="32"/>
      <c r="E17" s="33"/>
      <c r="F17" s="33"/>
      <c r="G17" s="34"/>
      <c r="H17" s="29" t="s">
        <v>1531</v>
      </c>
      <c r="I17" s="29" t="s">
        <v>856</v>
      </c>
      <c r="J17" s="29" t="s">
        <v>1247</v>
      </c>
      <c r="K17" s="35" t="s">
        <v>1248</v>
      </c>
      <c r="L17" s="36" t="s">
        <v>1249</v>
      </c>
      <c r="M17" s="36" t="s">
        <v>1250</v>
      </c>
      <c r="N17" s="36" t="s">
        <v>1251</v>
      </c>
      <c r="O17" s="36" t="s">
        <v>1252</v>
      </c>
      <c r="P17" s="37" t="s">
        <v>1248</v>
      </c>
      <c r="Q17" s="38" t="s">
        <v>1249</v>
      </c>
      <c r="R17" s="38" t="s">
        <v>1250</v>
      </c>
      <c r="S17" s="38" t="s">
        <v>1251</v>
      </c>
      <c r="T17" s="38" t="s">
        <v>1252</v>
      </c>
      <c r="U17" s="39" t="s">
        <v>1248</v>
      </c>
      <c r="V17" s="40" t="s">
        <v>1249</v>
      </c>
      <c r="W17" s="40" t="s">
        <v>1250</v>
      </c>
      <c r="X17" s="40" t="s">
        <v>1251</v>
      </c>
      <c r="Y17" s="39" t="s">
        <v>1252</v>
      </c>
      <c r="Z17" s="41" t="s">
        <v>1248</v>
      </c>
      <c r="AA17" s="42" t="s">
        <v>1249</v>
      </c>
      <c r="AB17" s="42" t="s">
        <v>1250</v>
      </c>
      <c r="AC17" s="42" t="s">
        <v>1251</v>
      </c>
      <c r="AD17" s="42" t="s">
        <v>1252</v>
      </c>
      <c r="AE17" s="43" t="s">
        <v>1248</v>
      </c>
      <c r="AF17" s="44" t="s">
        <v>1249</v>
      </c>
      <c r="AG17" s="44" t="s">
        <v>1250</v>
      </c>
      <c r="AH17" s="44" t="s">
        <v>1251</v>
      </c>
      <c r="AI17" s="44" t="s">
        <v>1252</v>
      </c>
      <c r="AJ17" s="35" t="s">
        <v>1248</v>
      </c>
      <c r="AK17" s="36" t="s">
        <v>1249</v>
      </c>
      <c r="AL17" s="36" t="s">
        <v>1250</v>
      </c>
      <c r="AM17" s="36" t="s">
        <v>1251</v>
      </c>
      <c r="AN17" s="36" t="s">
        <v>1252</v>
      </c>
      <c r="AO17" s="37" t="s">
        <v>1248</v>
      </c>
      <c r="AP17" s="38" t="s">
        <v>1249</v>
      </c>
      <c r="AQ17" s="38" t="s">
        <v>1250</v>
      </c>
      <c r="AR17" s="38" t="s">
        <v>1251</v>
      </c>
      <c r="AS17" s="38" t="s">
        <v>1252</v>
      </c>
      <c r="AT17" s="39" t="s">
        <v>1248</v>
      </c>
      <c r="AU17" s="40" t="s">
        <v>1249</v>
      </c>
      <c r="AV17" s="40" t="s">
        <v>1250</v>
      </c>
      <c r="AW17" s="40" t="s">
        <v>1251</v>
      </c>
      <c r="AX17" s="39" t="s">
        <v>1252</v>
      </c>
      <c r="AY17" s="41" t="s">
        <v>1248</v>
      </c>
      <c r="AZ17" s="42" t="s">
        <v>1249</v>
      </c>
      <c r="BA17" s="42" t="s">
        <v>1250</v>
      </c>
      <c r="BB17" s="42" t="s">
        <v>1251</v>
      </c>
      <c r="BC17" s="42" t="s">
        <v>1252</v>
      </c>
      <c r="BD17" s="45" t="s">
        <v>1248</v>
      </c>
      <c r="BE17" s="46" t="s">
        <v>1249</v>
      </c>
      <c r="BF17" s="44" t="s">
        <v>1250</v>
      </c>
      <c r="BG17" s="44" t="s">
        <v>1251</v>
      </c>
      <c r="BH17" s="44" t="s">
        <v>1252</v>
      </c>
      <c r="BI17" s="35" t="s">
        <v>1248</v>
      </c>
      <c r="BJ17" s="36" t="s">
        <v>1249</v>
      </c>
      <c r="BK17" s="36" t="s">
        <v>1250</v>
      </c>
      <c r="BL17" s="36" t="s">
        <v>1251</v>
      </c>
      <c r="BM17" s="36" t="s">
        <v>1252</v>
      </c>
      <c r="BN17" s="37" t="s">
        <v>1248</v>
      </c>
      <c r="BO17" s="38" t="s">
        <v>1249</v>
      </c>
      <c r="BP17" s="38" t="s">
        <v>1250</v>
      </c>
      <c r="BQ17" s="38" t="s">
        <v>1251</v>
      </c>
      <c r="BR17" s="38" t="s">
        <v>1252</v>
      </c>
      <c r="BS17" s="39" t="s">
        <v>1248</v>
      </c>
      <c r="BT17" s="40" t="s">
        <v>1249</v>
      </c>
      <c r="BU17" s="40" t="s">
        <v>1250</v>
      </c>
      <c r="BV17" s="40" t="s">
        <v>1251</v>
      </c>
      <c r="BW17" s="39" t="s">
        <v>1252</v>
      </c>
      <c r="BX17" s="41" t="s">
        <v>1248</v>
      </c>
      <c r="BY17" s="42" t="s">
        <v>1249</v>
      </c>
      <c r="BZ17" s="42" t="s">
        <v>1250</v>
      </c>
      <c r="CA17" s="42" t="s">
        <v>1251</v>
      </c>
      <c r="CB17" s="42" t="s">
        <v>1252</v>
      </c>
      <c r="CC17" s="376"/>
    </row>
    <row r="18" spans="2:81" ht="30">
      <c r="B18" s="47" t="s">
        <v>864</v>
      </c>
      <c r="C18" s="48" t="s">
        <v>969</v>
      </c>
      <c r="D18" s="49" t="s">
        <v>973</v>
      </c>
      <c r="E18" s="70" t="s">
        <v>974</v>
      </c>
      <c r="F18" s="71" t="s">
        <v>1728</v>
      </c>
      <c r="G18" s="52" t="s">
        <v>1729</v>
      </c>
      <c r="H18" s="49" t="s">
        <v>33</v>
      </c>
      <c r="I18" s="49" t="s">
        <v>1559</v>
      </c>
      <c r="J18" s="49" t="s">
        <v>1626</v>
      </c>
      <c r="K18" s="72"/>
      <c r="L18" s="73"/>
      <c r="M18" s="73"/>
      <c r="N18" s="73"/>
      <c r="O18" s="73"/>
      <c r="P18" s="56"/>
      <c r="Q18" s="56"/>
      <c r="R18" s="56"/>
      <c r="S18" s="56"/>
      <c r="T18" s="56"/>
      <c r="U18" s="57"/>
      <c r="V18" s="58"/>
      <c r="W18" s="58"/>
      <c r="X18" s="58"/>
      <c r="Y18" s="57"/>
      <c r="Z18" s="60"/>
      <c r="AA18" s="61"/>
      <c r="AB18" s="61"/>
      <c r="AC18" s="61"/>
      <c r="AD18" s="61"/>
      <c r="AE18" s="63"/>
      <c r="AF18" s="64"/>
      <c r="AG18" s="64"/>
      <c r="AH18" s="64"/>
      <c r="AI18" s="141" t="s">
        <v>860</v>
      </c>
      <c r="AJ18" s="72"/>
      <c r="AK18" s="95" t="s">
        <v>861</v>
      </c>
      <c r="AL18" s="73"/>
      <c r="AM18" s="73"/>
      <c r="AN18" s="73"/>
      <c r="AO18" s="66"/>
      <c r="AP18" s="56"/>
      <c r="AQ18" s="56"/>
      <c r="AR18" s="56"/>
      <c r="AS18" s="56"/>
      <c r="AT18" s="57"/>
      <c r="AU18" s="58"/>
      <c r="AV18" s="58"/>
      <c r="AW18" s="58"/>
      <c r="AX18" s="57"/>
      <c r="AY18" s="60"/>
      <c r="AZ18" s="61"/>
      <c r="BA18" s="61"/>
      <c r="BB18" s="61"/>
      <c r="BC18" s="61"/>
      <c r="BD18" s="63"/>
      <c r="BE18" s="64"/>
      <c r="BF18" s="64"/>
      <c r="BG18" s="64"/>
      <c r="BH18" s="64"/>
      <c r="BI18" s="72"/>
      <c r="BJ18" s="73"/>
      <c r="BK18" s="73"/>
      <c r="BL18" s="73"/>
      <c r="BM18" s="73"/>
      <c r="BN18" s="66"/>
      <c r="BO18" s="56"/>
      <c r="BP18" s="56"/>
      <c r="BQ18" s="56"/>
      <c r="BR18" s="56"/>
      <c r="BS18" s="57"/>
      <c r="BT18" s="58"/>
      <c r="BU18" s="58"/>
      <c r="BV18" s="58"/>
      <c r="BW18" s="57"/>
      <c r="BX18" s="60"/>
      <c r="BY18" s="61"/>
      <c r="BZ18" s="61"/>
      <c r="CA18" s="61"/>
      <c r="CB18" s="61"/>
      <c r="CC18" s="74"/>
    </row>
    <row r="19" spans="2:81" ht="36.75" customHeight="1">
      <c r="B19" s="47" t="s">
        <v>864</v>
      </c>
      <c r="C19" s="48" t="s">
        <v>865</v>
      </c>
      <c r="D19" s="49" t="s">
        <v>959</v>
      </c>
      <c r="E19" s="70" t="s">
        <v>960</v>
      </c>
      <c r="F19" s="71" t="s">
        <v>1730</v>
      </c>
      <c r="G19" s="52" t="s">
        <v>1731</v>
      </c>
      <c r="H19" s="49" t="s">
        <v>33</v>
      </c>
      <c r="I19" s="49" t="s">
        <v>1559</v>
      </c>
      <c r="J19" s="49" t="s">
        <v>1630</v>
      </c>
      <c r="K19" s="72"/>
      <c r="L19" s="73"/>
      <c r="M19" s="73"/>
      <c r="N19" s="73"/>
      <c r="O19" s="73"/>
      <c r="P19" s="56"/>
      <c r="Q19" s="56"/>
      <c r="R19" s="56"/>
      <c r="S19" s="56"/>
      <c r="T19" s="56"/>
      <c r="U19" s="57"/>
      <c r="V19" s="76"/>
      <c r="W19" s="77"/>
      <c r="X19" s="77"/>
      <c r="Y19" s="57"/>
      <c r="Z19" s="60"/>
      <c r="AA19" s="61"/>
      <c r="AB19" s="61"/>
      <c r="AC19" s="61"/>
      <c r="AD19" s="61"/>
      <c r="AE19" s="63"/>
      <c r="AF19" s="64"/>
      <c r="AG19" s="64"/>
      <c r="AH19" s="64"/>
      <c r="AI19" s="141" t="s">
        <v>860</v>
      </c>
      <c r="AJ19" s="72"/>
      <c r="AK19" s="73"/>
      <c r="AL19" s="73"/>
      <c r="AM19" s="95" t="s">
        <v>861</v>
      </c>
      <c r="AN19" s="73"/>
      <c r="AO19" s="66"/>
      <c r="AP19" s="56"/>
      <c r="AQ19" s="56"/>
      <c r="AR19" s="56"/>
      <c r="AS19" s="56"/>
      <c r="AT19" s="57"/>
      <c r="AU19" s="76"/>
      <c r="AV19" s="77"/>
      <c r="AW19" s="77"/>
      <c r="AX19" s="57"/>
      <c r="AY19" s="60"/>
      <c r="AZ19" s="61"/>
      <c r="BA19" s="61"/>
      <c r="BB19" s="61"/>
      <c r="BC19" s="61"/>
      <c r="BD19" s="63"/>
      <c r="BE19" s="64"/>
      <c r="BF19" s="64"/>
      <c r="BG19" s="64"/>
      <c r="BH19" s="64"/>
      <c r="BI19" s="72"/>
      <c r="BJ19" s="73"/>
      <c r="BK19" s="73"/>
      <c r="BL19" s="73"/>
      <c r="BM19" s="73"/>
      <c r="BN19" s="66"/>
      <c r="BO19" s="56"/>
      <c r="BP19" s="56"/>
      <c r="BQ19" s="56"/>
      <c r="BR19" s="56"/>
      <c r="BS19" s="57"/>
      <c r="BT19" s="76"/>
      <c r="BU19" s="77"/>
      <c r="BV19" s="77"/>
      <c r="BW19" s="57"/>
      <c r="BX19" s="60"/>
      <c r="BY19" s="61"/>
      <c r="BZ19" s="61"/>
      <c r="CA19" s="61"/>
      <c r="CB19" s="61"/>
      <c r="CC19" s="74"/>
    </row>
    <row r="20" spans="2:81" ht="45">
      <c r="B20" s="47" t="s">
        <v>864</v>
      </c>
      <c r="C20" s="48" t="s">
        <v>865</v>
      </c>
      <c r="D20" s="49" t="s">
        <v>961</v>
      </c>
      <c r="E20" s="70" t="s">
        <v>962</v>
      </c>
      <c r="F20" s="71" t="s">
        <v>1730</v>
      </c>
      <c r="G20" s="52" t="s">
        <v>1731</v>
      </c>
      <c r="H20" s="49" t="s">
        <v>33</v>
      </c>
      <c r="I20" s="49" t="s">
        <v>1559</v>
      </c>
      <c r="J20" s="49" t="s">
        <v>1630</v>
      </c>
      <c r="K20" s="72"/>
      <c r="L20" s="73"/>
      <c r="M20" s="73"/>
      <c r="N20" s="73"/>
      <c r="O20" s="73"/>
      <c r="P20" s="56"/>
      <c r="Q20" s="56"/>
      <c r="R20" s="56"/>
      <c r="S20" s="56"/>
      <c r="T20" s="56"/>
      <c r="U20" s="77"/>
      <c r="V20" s="77"/>
      <c r="W20" s="77"/>
      <c r="X20" s="77"/>
      <c r="Y20" s="57"/>
      <c r="Z20" s="60"/>
      <c r="AA20" s="61"/>
      <c r="AB20" s="61"/>
      <c r="AC20" s="61"/>
      <c r="AD20" s="61"/>
      <c r="AE20" s="63"/>
      <c r="AF20" s="64"/>
      <c r="AG20" s="64"/>
      <c r="AH20" s="64"/>
      <c r="AI20" s="141" t="s">
        <v>860</v>
      </c>
      <c r="AJ20" s="72"/>
      <c r="AK20" s="73"/>
      <c r="AL20" s="73"/>
      <c r="AM20" s="95" t="s">
        <v>861</v>
      </c>
      <c r="AN20" s="73"/>
      <c r="AO20" s="66"/>
      <c r="AP20" s="56"/>
      <c r="AQ20" s="56"/>
      <c r="AR20" s="56"/>
      <c r="AS20" s="56"/>
      <c r="AT20" s="77"/>
      <c r="AU20" s="77"/>
      <c r="AV20" s="77"/>
      <c r="AW20" s="77"/>
      <c r="AX20" s="57"/>
      <c r="AY20" s="60"/>
      <c r="AZ20" s="61"/>
      <c r="BA20" s="61"/>
      <c r="BB20" s="61"/>
      <c r="BC20" s="61"/>
      <c r="BD20" s="63"/>
      <c r="BE20" s="64"/>
      <c r="BF20" s="64"/>
      <c r="BG20" s="64"/>
      <c r="BH20" s="64"/>
      <c r="BI20" s="72"/>
      <c r="BJ20" s="73"/>
      <c r="BK20" s="73"/>
      <c r="BL20" s="73"/>
      <c r="BM20" s="73"/>
      <c r="BN20" s="66"/>
      <c r="BO20" s="56"/>
      <c r="BP20" s="56"/>
      <c r="BQ20" s="56"/>
      <c r="BR20" s="56"/>
      <c r="BS20" s="77"/>
      <c r="BT20" s="77"/>
      <c r="BU20" s="77"/>
      <c r="BV20" s="77"/>
      <c r="BW20" s="57"/>
      <c r="BX20" s="60"/>
      <c r="BY20" s="61"/>
      <c r="BZ20" s="61"/>
      <c r="CA20" s="61"/>
      <c r="CB20" s="61"/>
      <c r="CC20" s="74"/>
    </row>
    <row r="21" spans="2:81" ht="45">
      <c r="B21" s="47" t="s">
        <v>864</v>
      </c>
      <c r="C21" s="48" t="s">
        <v>865</v>
      </c>
      <c r="D21" s="49" t="s">
        <v>967</v>
      </c>
      <c r="E21" s="70" t="s">
        <v>968</v>
      </c>
      <c r="F21" s="71" t="s">
        <v>1730</v>
      </c>
      <c r="G21" s="52" t="s">
        <v>1731</v>
      </c>
      <c r="H21" s="49" t="s">
        <v>33</v>
      </c>
      <c r="I21" s="49" t="s">
        <v>1559</v>
      </c>
      <c r="J21" s="49" t="s">
        <v>1630</v>
      </c>
      <c r="K21" s="72"/>
      <c r="L21" s="73"/>
      <c r="M21" s="73"/>
      <c r="N21" s="73"/>
      <c r="O21" s="73"/>
      <c r="P21" s="56"/>
      <c r="Q21" s="56"/>
      <c r="R21" s="56"/>
      <c r="S21" s="56"/>
      <c r="T21" s="56"/>
      <c r="U21" s="77"/>
      <c r="V21" s="77"/>
      <c r="W21" s="77"/>
      <c r="X21" s="77"/>
      <c r="Y21" s="57"/>
      <c r="Z21" s="60"/>
      <c r="AA21" s="61"/>
      <c r="AB21" s="61"/>
      <c r="AC21" s="61"/>
      <c r="AD21" s="61"/>
      <c r="AE21" s="63"/>
      <c r="AF21" s="64"/>
      <c r="AG21" s="64"/>
      <c r="AH21" s="64"/>
      <c r="AI21" s="141" t="s">
        <v>860</v>
      </c>
      <c r="AJ21" s="72"/>
      <c r="AK21" s="73"/>
      <c r="AL21" s="73"/>
      <c r="AM21" s="95" t="s">
        <v>861</v>
      </c>
      <c r="AN21" s="73"/>
      <c r="AO21" s="66"/>
      <c r="AP21" s="56"/>
      <c r="AQ21" s="56"/>
      <c r="AR21" s="56"/>
      <c r="AS21" s="56"/>
      <c r="AT21" s="77"/>
      <c r="AU21" s="77"/>
      <c r="AV21" s="77"/>
      <c r="AW21" s="77"/>
      <c r="AX21" s="57"/>
      <c r="AY21" s="60"/>
      <c r="AZ21" s="61"/>
      <c r="BA21" s="61"/>
      <c r="BB21" s="61"/>
      <c r="BC21" s="61"/>
      <c r="BD21" s="63"/>
      <c r="BE21" s="64"/>
      <c r="BF21" s="64"/>
      <c r="BG21" s="64"/>
      <c r="BH21" s="64"/>
      <c r="BI21" s="72"/>
      <c r="BJ21" s="73"/>
      <c r="BK21" s="73"/>
      <c r="BL21" s="73"/>
      <c r="BM21" s="73"/>
      <c r="BN21" s="66"/>
      <c r="BO21" s="56"/>
      <c r="BP21" s="56"/>
      <c r="BQ21" s="56"/>
      <c r="BR21" s="56"/>
      <c r="BS21" s="77"/>
      <c r="BT21" s="77"/>
      <c r="BU21" s="77"/>
      <c r="BV21" s="77"/>
      <c r="BW21" s="57"/>
      <c r="BX21" s="60"/>
      <c r="BY21" s="61"/>
      <c r="BZ21" s="61"/>
      <c r="CA21" s="61"/>
      <c r="CB21" s="61"/>
      <c r="CC21" s="74"/>
    </row>
    <row r="22" spans="2:81" ht="45">
      <c r="B22" s="47" t="s">
        <v>864</v>
      </c>
      <c r="C22" s="48" t="s">
        <v>865</v>
      </c>
      <c r="D22" s="49" t="s">
        <v>963</v>
      </c>
      <c r="E22" s="70" t="s">
        <v>964</v>
      </c>
      <c r="F22" s="71" t="s">
        <v>1730</v>
      </c>
      <c r="G22" s="52" t="s">
        <v>1731</v>
      </c>
      <c r="H22" s="49" t="s">
        <v>33</v>
      </c>
      <c r="I22" s="49" t="s">
        <v>1559</v>
      </c>
      <c r="J22" s="49" t="s">
        <v>1630</v>
      </c>
      <c r="K22" s="72"/>
      <c r="L22" s="73"/>
      <c r="M22" s="73"/>
      <c r="N22" s="73"/>
      <c r="O22" s="73"/>
      <c r="P22" s="78" t="s">
        <v>860</v>
      </c>
      <c r="Q22" s="56"/>
      <c r="R22" s="56"/>
      <c r="S22" s="56"/>
      <c r="T22" s="79" t="s">
        <v>861</v>
      </c>
      <c r="U22" s="54"/>
      <c r="V22" s="77"/>
      <c r="W22" s="77"/>
      <c r="X22" s="77"/>
      <c r="Y22" s="80"/>
      <c r="Z22" s="60"/>
      <c r="AA22" s="61"/>
      <c r="AB22" s="61"/>
      <c r="AC22" s="61"/>
      <c r="AD22" s="61"/>
      <c r="AE22" s="63"/>
      <c r="AF22" s="64"/>
      <c r="AG22" s="64"/>
      <c r="AH22" s="64"/>
      <c r="AI22" s="141" t="s">
        <v>860</v>
      </c>
      <c r="AJ22" s="72"/>
      <c r="AK22" s="73"/>
      <c r="AL22" s="73"/>
      <c r="AM22" s="95" t="s">
        <v>861</v>
      </c>
      <c r="AN22" s="73"/>
      <c r="AO22" s="66"/>
      <c r="AP22" s="56"/>
      <c r="AQ22" s="56"/>
      <c r="AR22" s="56"/>
      <c r="AS22" s="56"/>
      <c r="AT22" s="77"/>
      <c r="AU22" s="77"/>
      <c r="AV22" s="77"/>
      <c r="AW22" s="77"/>
      <c r="AX22" s="57"/>
      <c r="AY22" s="60"/>
      <c r="AZ22" s="61"/>
      <c r="BA22" s="61"/>
      <c r="BB22" s="61"/>
      <c r="BC22" s="61"/>
      <c r="BD22" s="63"/>
      <c r="BE22" s="64"/>
      <c r="BF22" s="64"/>
      <c r="BG22" s="64"/>
      <c r="BH22" s="64"/>
      <c r="BI22" s="72"/>
      <c r="BJ22" s="73"/>
      <c r="BK22" s="73"/>
      <c r="BL22" s="73"/>
      <c r="BM22" s="73"/>
      <c r="BN22" s="66"/>
      <c r="BO22" s="56"/>
      <c r="BP22" s="56"/>
      <c r="BQ22" s="56"/>
      <c r="BR22" s="56"/>
      <c r="BS22" s="77"/>
      <c r="BT22" s="77"/>
      <c r="BU22" s="77"/>
      <c r="BV22" s="77"/>
      <c r="BW22" s="57"/>
      <c r="BX22" s="60"/>
      <c r="BY22" s="61"/>
      <c r="BZ22" s="61"/>
      <c r="CA22" s="61"/>
      <c r="CB22" s="61"/>
      <c r="CC22" s="74"/>
    </row>
    <row r="23" spans="2:81" ht="45">
      <c r="B23" s="47" t="s">
        <v>864</v>
      </c>
      <c r="C23" s="48" t="s">
        <v>865</v>
      </c>
      <c r="D23" s="49" t="s">
        <v>965</v>
      </c>
      <c r="E23" s="70" t="s">
        <v>966</v>
      </c>
      <c r="F23" s="71" t="s">
        <v>1730</v>
      </c>
      <c r="G23" s="52" t="s">
        <v>1731</v>
      </c>
      <c r="H23" s="49" t="s">
        <v>33</v>
      </c>
      <c r="I23" s="49" t="s">
        <v>1559</v>
      </c>
      <c r="J23" s="49" t="s">
        <v>1630</v>
      </c>
      <c r="K23" s="72"/>
      <c r="L23" s="73"/>
      <c r="M23" s="73"/>
      <c r="N23" s="73"/>
      <c r="O23" s="73"/>
      <c r="P23" s="78" t="s">
        <v>860</v>
      </c>
      <c r="Q23" s="56"/>
      <c r="R23" s="56"/>
      <c r="S23" s="56"/>
      <c r="T23" s="79" t="s">
        <v>861</v>
      </c>
      <c r="U23" s="54"/>
      <c r="V23" s="77"/>
      <c r="W23" s="77"/>
      <c r="X23" s="77"/>
      <c r="Y23" s="57"/>
      <c r="Z23" s="60"/>
      <c r="AA23" s="61"/>
      <c r="AB23" s="61"/>
      <c r="AC23" s="61"/>
      <c r="AD23" s="61"/>
      <c r="AE23" s="63"/>
      <c r="AF23" s="64"/>
      <c r="AG23" s="64"/>
      <c r="AH23" s="64"/>
      <c r="AI23" s="141" t="s">
        <v>860</v>
      </c>
      <c r="AJ23" s="72"/>
      <c r="AK23" s="73"/>
      <c r="AL23" s="73"/>
      <c r="AM23" s="95" t="s">
        <v>861</v>
      </c>
      <c r="AN23" s="73"/>
      <c r="AO23" s="66"/>
      <c r="AP23" s="56"/>
      <c r="AQ23" s="56"/>
      <c r="AR23" s="56"/>
      <c r="AS23" s="56"/>
      <c r="AT23" s="77"/>
      <c r="AU23" s="77"/>
      <c r="AV23" s="77"/>
      <c r="AW23" s="77"/>
      <c r="AX23" s="57"/>
      <c r="AY23" s="60"/>
      <c r="AZ23" s="61"/>
      <c r="BA23" s="61"/>
      <c r="BB23" s="61"/>
      <c r="BC23" s="61"/>
      <c r="BD23" s="63"/>
      <c r="BE23" s="64"/>
      <c r="BF23" s="64"/>
      <c r="BG23" s="64"/>
      <c r="BH23" s="64"/>
      <c r="BI23" s="72"/>
      <c r="BJ23" s="73"/>
      <c r="BK23" s="73"/>
      <c r="BL23" s="73"/>
      <c r="BM23" s="73"/>
      <c r="BN23" s="66"/>
      <c r="BO23" s="56"/>
      <c r="BP23" s="56"/>
      <c r="BQ23" s="56"/>
      <c r="BR23" s="56"/>
      <c r="BS23" s="77"/>
      <c r="BT23" s="77"/>
      <c r="BU23" s="77"/>
      <c r="BV23" s="77"/>
      <c r="BW23" s="57"/>
      <c r="BX23" s="60"/>
      <c r="BY23" s="61"/>
      <c r="BZ23" s="61"/>
      <c r="CA23" s="61"/>
      <c r="CB23" s="61"/>
      <c r="CC23" s="74"/>
    </row>
    <row r="24" spans="2:81" ht="45">
      <c r="B24" s="47" t="s">
        <v>864</v>
      </c>
      <c r="C24" s="48" t="s">
        <v>865</v>
      </c>
      <c r="D24" s="49" t="s">
        <v>1610</v>
      </c>
      <c r="E24" s="70" t="s">
        <v>867</v>
      </c>
      <c r="F24" s="71" t="s">
        <v>1299</v>
      </c>
      <c r="G24" s="52" t="s">
        <v>1732</v>
      </c>
      <c r="H24" s="49" t="s">
        <v>33</v>
      </c>
      <c r="I24" s="49" t="s">
        <v>1559</v>
      </c>
      <c r="J24" s="49" t="s">
        <v>1630</v>
      </c>
      <c r="K24" s="72"/>
      <c r="L24" s="73"/>
      <c r="M24" s="73"/>
      <c r="N24" s="73"/>
      <c r="O24" s="73"/>
      <c r="P24" s="54"/>
      <c r="Q24" s="56"/>
      <c r="R24" s="56"/>
      <c r="S24" s="56"/>
      <c r="T24" s="80"/>
      <c r="U24" s="77"/>
      <c r="V24" s="77"/>
      <c r="W24" s="77"/>
      <c r="X24" s="77"/>
      <c r="Y24" s="57"/>
      <c r="Z24" s="60"/>
      <c r="AA24" s="61"/>
      <c r="AB24" s="61"/>
      <c r="AC24" s="61"/>
      <c r="AD24" s="61"/>
      <c r="AE24" s="63"/>
      <c r="AF24" s="64"/>
      <c r="AG24" s="64"/>
      <c r="AH24" s="64"/>
      <c r="AI24" s="64"/>
      <c r="AJ24" s="72"/>
      <c r="AK24" s="73"/>
      <c r="AL24" s="73"/>
      <c r="AM24" s="73"/>
      <c r="AN24" s="73"/>
      <c r="AO24" s="95" t="s">
        <v>861</v>
      </c>
      <c r="AP24" s="56"/>
      <c r="AQ24" s="56"/>
      <c r="AR24" s="56"/>
      <c r="AS24" s="56"/>
      <c r="AT24" s="77"/>
      <c r="AU24" s="77"/>
      <c r="AV24" s="77"/>
      <c r="AW24" s="77"/>
      <c r="AX24" s="57"/>
      <c r="AY24" s="60"/>
      <c r="AZ24" s="61"/>
      <c r="BA24" s="61"/>
      <c r="BB24" s="61"/>
      <c r="BC24" s="61"/>
      <c r="BD24" s="63"/>
      <c r="BE24" s="64"/>
      <c r="BF24" s="64"/>
      <c r="BG24" s="64"/>
      <c r="BH24" s="64"/>
      <c r="BI24" s="72"/>
      <c r="BJ24" s="73"/>
      <c r="BK24" s="73"/>
      <c r="BL24" s="73"/>
      <c r="BM24" s="73"/>
      <c r="BN24" s="66"/>
      <c r="BO24" s="56"/>
      <c r="BP24" s="56"/>
      <c r="BQ24" s="56"/>
      <c r="BR24" s="56"/>
      <c r="BS24" s="77"/>
      <c r="BT24" s="77"/>
      <c r="BU24" s="77"/>
      <c r="BV24" s="77"/>
      <c r="BW24" s="57"/>
      <c r="BX24" s="60"/>
      <c r="BY24" s="61"/>
      <c r="BZ24" s="61"/>
      <c r="CA24" s="61"/>
      <c r="CB24" s="61"/>
      <c r="CC24" s="74"/>
    </row>
    <row r="25" spans="2:81" ht="45">
      <c r="B25" s="47" t="s">
        <v>864</v>
      </c>
      <c r="C25" s="48" t="s">
        <v>865</v>
      </c>
      <c r="D25" s="49" t="s">
        <v>871</v>
      </c>
      <c r="E25" s="70" t="s">
        <v>872</v>
      </c>
      <c r="F25" s="71" t="s">
        <v>1299</v>
      </c>
      <c r="G25" s="52" t="s">
        <v>1732</v>
      </c>
      <c r="H25" s="49" t="s">
        <v>33</v>
      </c>
      <c r="I25" s="49" t="s">
        <v>1559</v>
      </c>
      <c r="J25" s="49" t="s">
        <v>1630</v>
      </c>
      <c r="K25" s="72"/>
      <c r="L25" s="73"/>
      <c r="M25" s="73"/>
      <c r="N25" s="73"/>
      <c r="O25" s="73"/>
      <c r="P25" s="54"/>
      <c r="Q25" s="56"/>
      <c r="R25" s="56"/>
      <c r="S25" s="56"/>
      <c r="T25" s="80"/>
      <c r="U25" s="77"/>
      <c r="V25" s="77"/>
      <c r="W25" s="77"/>
      <c r="X25" s="77"/>
      <c r="Y25" s="57"/>
      <c r="Z25" s="60"/>
      <c r="AA25" s="61"/>
      <c r="AB25" s="61"/>
      <c r="AC25" s="61"/>
      <c r="AD25" s="61"/>
      <c r="AE25" s="63"/>
      <c r="AF25" s="64"/>
      <c r="AG25" s="64"/>
      <c r="AH25" s="64"/>
      <c r="AI25" s="64"/>
      <c r="AJ25" s="72"/>
      <c r="AK25" s="73"/>
      <c r="AL25" s="73"/>
      <c r="AM25" s="73"/>
      <c r="AN25" s="73"/>
      <c r="AO25" s="95" t="s">
        <v>861</v>
      </c>
      <c r="AP25" s="56"/>
      <c r="AQ25" s="56"/>
      <c r="AR25" s="56"/>
      <c r="AS25" s="56"/>
      <c r="AT25" s="77"/>
      <c r="AU25" s="77"/>
      <c r="AV25" s="77"/>
      <c r="AW25" s="77"/>
      <c r="AX25" s="57"/>
      <c r="AY25" s="60"/>
      <c r="AZ25" s="61"/>
      <c r="BA25" s="61"/>
      <c r="BB25" s="61"/>
      <c r="BC25" s="61"/>
      <c r="BD25" s="63"/>
      <c r="BE25" s="64"/>
      <c r="BF25" s="64"/>
      <c r="BG25" s="64"/>
      <c r="BH25" s="64"/>
      <c r="BI25" s="72"/>
      <c r="BJ25" s="73"/>
      <c r="BK25" s="73"/>
      <c r="BL25" s="73"/>
      <c r="BM25" s="73"/>
      <c r="BN25" s="66"/>
      <c r="BO25" s="56"/>
      <c r="BP25" s="56"/>
      <c r="BQ25" s="56"/>
      <c r="BR25" s="56"/>
      <c r="BS25" s="77"/>
      <c r="BT25" s="77"/>
      <c r="BU25" s="77"/>
      <c r="BV25" s="77"/>
      <c r="BW25" s="57"/>
      <c r="BX25" s="60"/>
      <c r="BY25" s="61"/>
      <c r="BZ25" s="61"/>
      <c r="CA25" s="61"/>
      <c r="CB25" s="61"/>
      <c r="CC25" s="74"/>
    </row>
    <row r="26" spans="2:81" ht="45">
      <c r="B26" s="47" t="s">
        <v>864</v>
      </c>
      <c r="C26" s="48" t="s">
        <v>873</v>
      </c>
      <c r="D26" s="49" t="s">
        <v>874</v>
      </c>
      <c r="E26" s="81" t="s">
        <v>875</v>
      </c>
      <c r="F26" s="82" t="s">
        <v>1299</v>
      </c>
      <c r="G26" s="83" t="s">
        <v>1732</v>
      </c>
      <c r="H26" s="49" t="s">
        <v>33</v>
      </c>
      <c r="I26" s="49" t="s">
        <v>1559</v>
      </c>
      <c r="J26" s="49" t="s">
        <v>1630</v>
      </c>
      <c r="K26" s="84"/>
      <c r="L26" s="85"/>
      <c r="M26" s="85"/>
      <c r="N26" s="85"/>
      <c r="O26" s="85"/>
      <c r="P26" s="56"/>
      <c r="Q26" s="56"/>
      <c r="R26" s="56"/>
      <c r="S26" s="56"/>
      <c r="T26" s="86"/>
      <c r="U26" s="77"/>
      <c r="V26" s="77"/>
      <c r="W26" s="87"/>
      <c r="X26" s="87"/>
      <c r="Y26" s="57"/>
      <c r="Z26" s="88"/>
      <c r="AA26" s="89"/>
      <c r="AB26" s="89"/>
      <c r="AC26" s="89"/>
      <c r="AD26" s="89"/>
      <c r="AE26" s="90"/>
      <c r="AF26" s="91"/>
      <c r="AG26" s="91"/>
      <c r="AH26" s="91"/>
      <c r="AI26" s="91"/>
      <c r="AJ26" s="84"/>
      <c r="AK26" s="85"/>
      <c r="AL26" s="85"/>
      <c r="AM26" s="85"/>
      <c r="AN26" s="85"/>
      <c r="AO26" s="95" t="s">
        <v>861</v>
      </c>
      <c r="AP26" s="86"/>
      <c r="AQ26" s="86"/>
      <c r="AR26" s="86"/>
      <c r="AS26" s="86"/>
      <c r="AT26" s="87"/>
      <c r="AU26" s="87"/>
      <c r="AV26" s="87"/>
      <c r="AW26" s="87"/>
      <c r="AX26" s="93"/>
      <c r="AY26" s="88"/>
      <c r="AZ26" s="89"/>
      <c r="BA26" s="89"/>
      <c r="BB26" s="89"/>
      <c r="BC26" s="89"/>
      <c r="BD26" s="90"/>
      <c r="BE26" s="91"/>
      <c r="BF26" s="91"/>
      <c r="BG26" s="91"/>
      <c r="BH26" s="91"/>
      <c r="BI26" s="84"/>
      <c r="BJ26" s="85"/>
      <c r="BK26" s="85"/>
      <c r="BL26" s="85"/>
      <c r="BM26" s="85"/>
      <c r="BN26" s="92"/>
      <c r="BO26" s="86"/>
      <c r="BP26" s="86"/>
      <c r="BQ26" s="86"/>
      <c r="BR26" s="86"/>
      <c r="BS26" s="87"/>
      <c r="BT26" s="87"/>
      <c r="BU26" s="87"/>
      <c r="BV26" s="87"/>
      <c r="BW26" s="93"/>
      <c r="BX26" s="88"/>
      <c r="BY26" s="89"/>
      <c r="BZ26" s="89"/>
      <c r="CA26" s="89"/>
      <c r="CB26" s="89"/>
      <c r="CC26" s="94"/>
    </row>
    <row r="27" spans="2:81" ht="45">
      <c r="B27" s="47" t="s">
        <v>864</v>
      </c>
      <c r="C27" s="48" t="s">
        <v>873</v>
      </c>
      <c r="D27" s="49" t="s">
        <v>1613</v>
      </c>
      <c r="E27" s="70" t="s">
        <v>877</v>
      </c>
      <c r="F27" s="71" t="s">
        <v>1299</v>
      </c>
      <c r="G27" s="52" t="s">
        <v>1732</v>
      </c>
      <c r="H27" s="49" t="s">
        <v>33</v>
      </c>
      <c r="I27" s="49" t="s">
        <v>1559</v>
      </c>
      <c r="J27" s="49" t="s">
        <v>1630</v>
      </c>
      <c r="K27" s="72"/>
      <c r="L27" s="73"/>
      <c r="M27" s="73"/>
      <c r="N27" s="73"/>
      <c r="O27" s="73"/>
      <c r="P27" s="56"/>
      <c r="Q27" s="56"/>
      <c r="R27" s="56"/>
      <c r="S27" s="56"/>
      <c r="T27" s="56"/>
      <c r="U27" s="77"/>
      <c r="V27" s="77"/>
      <c r="W27" s="77"/>
      <c r="X27" s="77"/>
      <c r="Y27" s="57"/>
      <c r="Z27" s="60"/>
      <c r="AA27" s="61"/>
      <c r="AB27" s="61"/>
      <c r="AC27" s="61"/>
      <c r="AD27" s="61"/>
      <c r="AE27" s="63"/>
      <c r="AF27" s="64"/>
      <c r="AG27" s="64"/>
      <c r="AH27" s="64"/>
      <c r="AI27" s="64"/>
      <c r="AJ27" s="72"/>
      <c r="AK27" s="73"/>
      <c r="AL27" s="73"/>
      <c r="AM27" s="73"/>
      <c r="AN27" s="73"/>
      <c r="AO27" s="95" t="s">
        <v>861</v>
      </c>
      <c r="AP27" s="56"/>
      <c r="AQ27" s="56"/>
      <c r="AR27" s="56"/>
      <c r="AS27" s="56"/>
      <c r="AT27" s="77"/>
      <c r="AU27" s="77"/>
      <c r="AV27" s="77"/>
      <c r="AW27" s="77"/>
      <c r="AX27" s="57"/>
      <c r="AY27" s="60"/>
      <c r="AZ27" s="61"/>
      <c r="BA27" s="61"/>
      <c r="BB27" s="61"/>
      <c r="BC27" s="61"/>
      <c r="BD27" s="63"/>
      <c r="BE27" s="64"/>
      <c r="BF27" s="64"/>
      <c r="BG27" s="64"/>
      <c r="BH27" s="64"/>
      <c r="BI27" s="72"/>
      <c r="BJ27" s="73"/>
      <c r="BK27" s="73"/>
      <c r="BL27" s="73"/>
      <c r="BM27" s="73"/>
      <c r="BN27" s="66"/>
      <c r="BO27" s="56"/>
      <c r="BP27" s="56"/>
      <c r="BQ27" s="56"/>
      <c r="BR27" s="56"/>
      <c r="BS27" s="77"/>
      <c r="BT27" s="77"/>
      <c r="BU27" s="77"/>
      <c r="BV27" s="77"/>
      <c r="BW27" s="57"/>
      <c r="BX27" s="60"/>
      <c r="BY27" s="61"/>
      <c r="BZ27" s="61"/>
      <c r="CA27" s="61"/>
      <c r="CB27" s="61"/>
      <c r="CC27" s="74"/>
    </row>
    <row r="28" spans="2:81" ht="45">
      <c r="B28" s="47" t="s">
        <v>864</v>
      </c>
      <c r="C28" s="48" t="s">
        <v>873</v>
      </c>
      <c r="D28" s="49" t="s">
        <v>878</v>
      </c>
      <c r="E28" s="70" t="s">
        <v>879</v>
      </c>
      <c r="F28" s="71" t="s">
        <v>1299</v>
      </c>
      <c r="G28" s="52" t="s">
        <v>1732</v>
      </c>
      <c r="H28" s="49" t="s">
        <v>33</v>
      </c>
      <c r="I28" s="49" t="s">
        <v>1559</v>
      </c>
      <c r="J28" s="49" t="s">
        <v>1630</v>
      </c>
      <c r="K28" s="72"/>
      <c r="L28" s="73"/>
      <c r="M28" s="73"/>
      <c r="N28" s="73"/>
      <c r="O28" s="73"/>
      <c r="P28" s="56"/>
      <c r="Q28" s="56"/>
      <c r="R28" s="56"/>
      <c r="S28" s="56"/>
      <c r="T28" s="56"/>
      <c r="U28" s="77"/>
      <c r="V28" s="77"/>
      <c r="W28" s="77"/>
      <c r="X28" s="77"/>
      <c r="Y28" s="57"/>
      <c r="Z28" s="60"/>
      <c r="AA28" s="61"/>
      <c r="AB28" s="61"/>
      <c r="AC28" s="61"/>
      <c r="AD28" s="61"/>
      <c r="AE28" s="63"/>
      <c r="AF28" s="64"/>
      <c r="AG28" s="64"/>
      <c r="AH28" s="64"/>
      <c r="AI28" s="64"/>
      <c r="AJ28" s="72"/>
      <c r="AK28" s="73"/>
      <c r="AL28" s="73"/>
      <c r="AM28" s="73"/>
      <c r="AN28" s="73"/>
      <c r="AO28" s="95" t="s">
        <v>861</v>
      </c>
      <c r="AP28" s="56"/>
      <c r="AQ28" s="56"/>
      <c r="AR28" s="56"/>
      <c r="AS28" s="56"/>
      <c r="AT28" s="77"/>
      <c r="AU28" s="77"/>
      <c r="AV28" s="77"/>
      <c r="AW28" s="77"/>
      <c r="AX28" s="57"/>
      <c r="AY28" s="60"/>
      <c r="AZ28" s="61"/>
      <c r="BA28" s="61"/>
      <c r="BB28" s="61"/>
      <c r="BC28" s="61"/>
      <c r="BD28" s="63"/>
      <c r="BE28" s="64"/>
      <c r="BF28" s="64"/>
      <c r="BG28" s="64"/>
      <c r="BH28" s="64"/>
      <c r="BI28" s="72"/>
      <c r="BJ28" s="73"/>
      <c r="BK28" s="73"/>
      <c r="BL28" s="73"/>
      <c r="BM28" s="73"/>
      <c r="BN28" s="66"/>
      <c r="BO28" s="56"/>
      <c r="BP28" s="56"/>
      <c r="BQ28" s="56"/>
      <c r="BR28" s="56"/>
      <c r="BS28" s="77"/>
      <c r="BT28" s="77"/>
      <c r="BU28" s="77"/>
      <c r="BV28" s="77"/>
      <c r="BW28" s="57"/>
      <c r="BX28" s="60"/>
      <c r="BY28" s="61"/>
      <c r="BZ28" s="61"/>
      <c r="CA28" s="61"/>
      <c r="CB28" s="61"/>
      <c r="CC28" s="74"/>
    </row>
    <row r="29" spans="2:81" ht="45">
      <c r="B29" s="47" t="s">
        <v>864</v>
      </c>
      <c r="C29" s="48" t="s">
        <v>880</v>
      </c>
      <c r="D29" s="49" t="s">
        <v>881</v>
      </c>
      <c r="E29" s="70" t="s">
        <v>882</v>
      </c>
      <c r="F29" s="71" t="s">
        <v>1299</v>
      </c>
      <c r="G29" s="52" t="s">
        <v>1732</v>
      </c>
      <c r="H29" s="49" t="s">
        <v>33</v>
      </c>
      <c r="I29" s="49" t="s">
        <v>1559</v>
      </c>
      <c r="J29" s="49" t="s">
        <v>1630</v>
      </c>
      <c r="K29" s="72"/>
      <c r="L29" s="73"/>
      <c r="M29" s="73"/>
      <c r="N29" s="73"/>
      <c r="O29" s="73"/>
      <c r="P29" s="56"/>
      <c r="Q29" s="56"/>
      <c r="R29" s="56"/>
      <c r="S29" s="56"/>
      <c r="T29" s="56"/>
      <c r="U29" s="77"/>
      <c r="V29" s="77"/>
      <c r="W29" s="77"/>
      <c r="X29" s="77"/>
      <c r="Y29" s="57"/>
      <c r="Z29" s="60"/>
      <c r="AA29" s="61"/>
      <c r="AB29" s="54"/>
      <c r="AC29" s="61"/>
      <c r="AD29" s="61"/>
      <c r="AE29" s="63"/>
      <c r="AF29" s="80"/>
      <c r="AG29" s="64"/>
      <c r="AH29" s="64"/>
      <c r="AI29" s="64"/>
      <c r="AJ29" s="72"/>
      <c r="AK29" s="73"/>
      <c r="AL29" s="73"/>
      <c r="AM29" s="73"/>
      <c r="AN29" s="73"/>
      <c r="AO29" s="95" t="s">
        <v>861</v>
      </c>
      <c r="AP29" s="56"/>
      <c r="AQ29" s="56"/>
      <c r="AR29" s="56"/>
      <c r="AS29" s="56"/>
      <c r="AT29" s="77"/>
      <c r="AU29" s="77"/>
      <c r="AV29" s="77"/>
      <c r="AW29" s="77"/>
      <c r="AX29" s="57"/>
      <c r="AY29" s="60"/>
      <c r="AZ29" s="61"/>
      <c r="BA29" s="61"/>
      <c r="BB29" s="61"/>
      <c r="BC29" s="61"/>
      <c r="BD29" s="63"/>
      <c r="BE29" s="64"/>
      <c r="BF29" s="64"/>
      <c r="BG29" s="64"/>
      <c r="BH29" s="64"/>
      <c r="BI29" s="72"/>
      <c r="BJ29" s="73"/>
      <c r="BK29" s="73"/>
      <c r="BL29" s="73"/>
      <c r="BM29" s="73"/>
      <c r="BN29" s="66"/>
      <c r="BO29" s="56"/>
      <c r="BP29" s="56"/>
      <c r="BQ29" s="56"/>
      <c r="BR29" s="56"/>
      <c r="BS29" s="77"/>
      <c r="BT29" s="77"/>
      <c r="BU29" s="77"/>
      <c r="BV29" s="77"/>
      <c r="BW29" s="57"/>
      <c r="BX29" s="60"/>
      <c r="BY29" s="61"/>
      <c r="BZ29" s="61"/>
      <c r="CA29" s="61"/>
      <c r="CB29" s="61"/>
      <c r="CC29" s="74"/>
    </row>
    <row r="30" spans="2:81" ht="45">
      <c r="B30" s="47" t="s">
        <v>864</v>
      </c>
      <c r="C30" s="48" t="s">
        <v>880</v>
      </c>
      <c r="D30" s="49" t="s">
        <v>884</v>
      </c>
      <c r="E30" s="70" t="s">
        <v>885</v>
      </c>
      <c r="F30" s="71" t="s">
        <v>1299</v>
      </c>
      <c r="G30" s="52" t="s">
        <v>1732</v>
      </c>
      <c r="H30" s="49" t="s">
        <v>33</v>
      </c>
      <c r="I30" s="49" t="s">
        <v>1559</v>
      </c>
      <c r="J30" s="49" t="s">
        <v>1630</v>
      </c>
      <c r="K30" s="72"/>
      <c r="L30" s="73"/>
      <c r="M30" s="73"/>
      <c r="N30" s="73"/>
      <c r="O30" s="73"/>
      <c r="P30" s="56"/>
      <c r="Q30" s="56"/>
      <c r="R30" s="56"/>
      <c r="S30" s="56"/>
      <c r="T30" s="56"/>
      <c r="U30" s="77"/>
      <c r="V30" s="77"/>
      <c r="W30" s="77"/>
      <c r="X30" s="77"/>
      <c r="Y30" s="57"/>
      <c r="Z30" s="60"/>
      <c r="AA30" s="61"/>
      <c r="AB30" s="54"/>
      <c r="AC30" s="61"/>
      <c r="AD30" s="61"/>
      <c r="AE30" s="63"/>
      <c r="AF30" s="80"/>
      <c r="AG30" s="64"/>
      <c r="AH30" s="64"/>
      <c r="AI30" s="64"/>
      <c r="AJ30" s="72"/>
      <c r="AK30" s="73"/>
      <c r="AL30" s="73"/>
      <c r="AM30" s="73"/>
      <c r="AN30" s="73"/>
      <c r="AO30" s="95" t="s">
        <v>861</v>
      </c>
      <c r="AP30" s="56"/>
      <c r="AQ30" s="56"/>
      <c r="AR30" s="56"/>
      <c r="AS30" s="56"/>
      <c r="AT30" s="77"/>
      <c r="AU30" s="77"/>
      <c r="AV30" s="77"/>
      <c r="AW30" s="77"/>
      <c r="AX30" s="57"/>
      <c r="AY30" s="60"/>
      <c r="AZ30" s="61"/>
      <c r="BA30" s="61"/>
      <c r="BB30" s="61"/>
      <c r="BC30" s="61"/>
      <c r="BD30" s="63"/>
      <c r="BE30" s="64"/>
      <c r="BF30" s="64"/>
      <c r="BG30" s="64"/>
      <c r="BH30" s="64"/>
      <c r="BI30" s="72"/>
      <c r="BJ30" s="73"/>
      <c r="BK30" s="73"/>
      <c r="BL30" s="73"/>
      <c r="BM30" s="73"/>
      <c r="BN30" s="66"/>
      <c r="BO30" s="56"/>
      <c r="BP30" s="56"/>
      <c r="BQ30" s="56"/>
      <c r="BR30" s="56"/>
      <c r="BS30" s="77"/>
      <c r="BT30" s="77"/>
      <c r="BU30" s="77"/>
      <c r="BV30" s="77"/>
      <c r="BW30" s="57"/>
      <c r="BX30" s="60"/>
      <c r="BY30" s="61"/>
      <c r="BZ30" s="61"/>
      <c r="CA30" s="61"/>
      <c r="CB30" s="61"/>
      <c r="CC30" s="74"/>
    </row>
    <row r="31" spans="2:81" ht="45">
      <c r="B31" s="47" t="s">
        <v>864</v>
      </c>
      <c r="C31" s="48" t="s">
        <v>880</v>
      </c>
      <c r="D31" s="49" t="s">
        <v>886</v>
      </c>
      <c r="E31" s="70" t="s">
        <v>887</v>
      </c>
      <c r="F31" s="71" t="s">
        <v>1299</v>
      </c>
      <c r="G31" s="52" t="s">
        <v>1732</v>
      </c>
      <c r="H31" s="49" t="s">
        <v>33</v>
      </c>
      <c r="I31" s="49" t="s">
        <v>1559</v>
      </c>
      <c r="J31" s="49" t="s">
        <v>1630</v>
      </c>
      <c r="K31" s="72"/>
      <c r="L31" s="73"/>
      <c r="M31" s="73"/>
      <c r="N31" s="73"/>
      <c r="O31" s="73"/>
      <c r="P31" s="56"/>
      <c r="Q31" s="56"/>
      <c r="R31" s="56"/>
      <c r="S31" s="56"/>
      <c r="T31" s="56"/>
      <c r="U31" s="77"/>
      <c r="V31" s="77"/>
      <c r="W31" s="77"/>
      <c r="X31" s="77"/>
      <c r="Y31" s="57"/>
      <c r="Z31" s="60"/>
      <c r="AA31" s="61"/>
      <c r="AB31" s="54"/>
      <c r="AC31" s="61"/>
      <c r="AD31" s="61"/>
      <c r="AE31" s="63"/>
      <c r="AF31" s="80"/>
      <c r="AG31" s="64"/>
      <c r="AH31" s="64"/>
      <c r="AI31" s="64"/>
      <c r="AJ31" s="72"/>
      <c r="AK31" s="73"/>
      <c r="AL31" s="73"/>
      <c r="AM31" s="73"/>
      <c r="AN31" s="73"/>
      <c r="AO31" s="95" t="s">
        <v>861</v>
      </c>
      <c r="AP31" s="56"/>
      <c r="AQ31" s="56"/>
      <c r="AR31" s="56"/>
      <c r="AS31" s="56"/>
      <c r="AT31" s="77"/>
      <c r="AU31" s="77"/>
      <c r="AV31" s="77"/>
      <c r="AW31" s="77"/>
      <c r="AX31" s="57"/>
      <c r="AY31" s="60"/>
      <c r="AZ31" s="61"/>
      <c r="BA31" s="61"/>
      <c r="BB31" s="61"/>
      <c r="BC31" s="61"/>
      <c r="BD31" s="63"/>
      <c r="BE31" s="64"/>
      <c r="BF31" s="64"/>
      <c r="BG31" s="64"/>
      <c r="BH31" s="64"/>
      <c r="BI31" s="72"/>
      <c r="BJ31" s="73"/>
      <c r="BK31" s="73"/>
      <c r="BL31" s="73"/>
      <c r="BM31" s="73"/>
      <c r="BN31" s="66"/>
      <c r="BO31" s="56"/>
      <c r="BP31" s="56"/>
      <c r="BQ31" s="56"/>
      <c r="BR31" s="56"/>
      <c r="BS31" s="77"/>
      <c r="BT31" s="77"/>
      <c r="BU31" s="77"/>
      <c r="BV31" s="77"/>
      <c r="BW31" s="57"/>
      <c r="BX31" s="60"/>
      <c r="BY31" s="61"/>
      <c r="BZ31" s="61"/>
      <c r="CA31" s="61"/>
      <c r="CB31" s="61"/>
      <c r="CC31" s="74"/>
    </row>
    <row r="32" spans="2:81" ht="45">
      <c r="B32" s="47" t="s">
        <v>864</v>
      </c>
      <c r="C32" s="48" t="s">
        <v>880</v>
      </c>
      <c r="D32" s="49" t="s">
        <v>888</v>
      </c>
      <c r="E32" s="70" t="s">
        <v>889</v>
      </c>
      <c r="F32" s="71" t="s">
        <v>1299</v>
      </c>
      <c r="G32" s="52" t="s">
        <v>1732</v>
      </c>
      <c r="H32" s="49" t="s">
        <v>33</v>
      </c>
      <c r="I32" s="49" t="s">
        <v>1559</v>
      </c>
      <c r="J32" s="49" t="s">
        <v>1630</v>
      </c>
      <c r="K32" s="72"/>
      <c r="L32" s="73"/>
      <c r="M32" s="73"/>
      <c r="N32" s="73"/>
      <c r="O32" s="73"/>
      <c r="P32" s="56"/>
      <c r="Q32" s="56"/>
      <c r="R32" s="56"/>
      <c r="S32" s="56"/>
      <c r="T32" s="56"/>
      <c r="U32" s="77"/>
      <c r="V32" s="77"/>
      <c r="W32" s="77"/>
      <c r="X32" s="77"/>
      <c r="Y32" s="93"/>
      <c r="Z32" s="60"/>
      <c r="AA32" s="61"/>
      <c r="AB32" s="54"/>
      <c r="AC32" s="61"/>
      <c r="AD32" s="61"/>
      <c r="AE32" s="63"/>
      <c r="AF32" s="64"/>
      <c r="AG32" s="64"/>
      <c r="AH32" s="64"/>
      <c r="AI32" s="64"/>
      <c r="AJ32" s="72"/>
      <c r="AK32" s="73"/>
      <c r="AL32" s="73"/>
      <c r="AM32" s="73"/>
      <c r="AN32" s="73"/>
      <c r="AO32" s="95" t="s">
        <v>861</v>
      </c>
      <c r="AP32" s="56"/>
      <c r="AQ32" s="56"/>
      <c r="AR32" s="56"/>
      <c r="AS32" s="56"/>
      <c r="AT32" s="77"/>
      <c r="AU32" s="77"/>
      <c r="AV32" s="77"/>
      <c r="AW32" s="77"/>
      <c r="AX32" s="57"/>
      <c r="AY32" s="60"/>
      <c r="AZ32" s="61"/>
      <c r="BA32" s="61"/>
      <c r="BB32" s="61"/>
      <c r="BC32" s="61"/>
      <c r="BD32" s="63"/>
      <c r="BE32" s="64"/>
      <c r="BF32" s="64"/>
      <c r="BG32" s="64"/>
      <c r="BH32" s="64"/>
      <c r="BI32" s="72"/>
      <c r="BJ32" s="73"/>
      <c r="BK32" s="73"/>
      <c r="BL32" s="73"/>
      <c r="BM32" s="73"/>
      <c r="BN32" s="66"/>
      <c r="BO32" s="56"/>
      <c r="BP32" s="56"/>
      <c r="BQ32" s="56"/>
      <c r="BR32" s="56"/>
      <c r="BS32" s="77"/>
      <c r="BT32" s="77"/>
      <c r="BU32" s="77"/>
      <c r="BV32" s="77"/>
      <c r="BW32" s="57"/>
      <c r="BX32" s="60"/>
      <c r="BY32" s="61"/>
      <c r="BZ32" s="61"/>
      <c r="CA32" s="61"/>
      <c r="CB32" s="61"/>
      <c r="CC32" s="74"/>
    </row>
    <row r="33" spans="2:81" ht="45">
      <c r="B33" s="47" t="s">
        <v>864</v>
      </c>
      <c r="C33" s="48" t="s">
        <v>880</v>
      </c>
      <c r="D33" s="49" t="s">
        <v>890</v>
      </c>
      <c r="E33" s="70" t="s">
        <v>891</v>
      </c>
      <c r="F33" s="71" t="s">
        <v>1299</v>
      </c>
      <c r="G33" s="52" t="s">
        <v>1732</v>
      </c>
      <c r="H33" s="49" t="s">
        <v>33</v>
      </c>
      <c r="I33" s="49" t="s">
        <v>1559</v>
      </c>
      <c r="J33" s="49" t="s">
        <v>1630</v>
      </c>
      <c r="K33" s="72"/>
      <c r="L33" s="73"/>
      <c r="M33" s="73"/>
      <c r="N33" s="73"/>
      <c r="O33" s="73"/>
      <c r="P33" s="56"/>
      <c r="Q33" s="56"/>
      <c r="R33" s="56"/>
      <c r="S33" s="56"/>
      <c r="T33" s="56"/>
      <c r="U33" s="77"/>
      <c r="V33" s="77"/>
      <c r="W33" s="77"/>
      <c r="X33" s="77"/>
      <c r="Y33" s="57"/>
      <c r="Z33" s="60"/>
      <c r="AA33" s="61"/>
      <c r="AB33" s="54"/>
      <c r="AC33" s="61"/>
      <c r="AD33" s="61"/>
      <c r="AE33" s="63"/>
      <c r="AF33" s="64"/>
      <c r="AG33" s="64"/>
      <c r="AH33" s="64"/>
      <c r="AI33" s="64"/>
      <c r="AJ33" s="72"/>
      <c r="AK33" s="73"/>
      <c r="AL33" s="73"/>
      <c r="AM33" s="73"/>
      <c r="AN33" s="73"/>
      <c r="AO33" s="95" t="s">
        <v>861</v>
      </c>
      <c r="AP33" s="56"/>
      <c r="AQ33" s="56"/>
      <c r="AR33" s="56"/>
      <c r="AS33" s="56"/>
      <c r="AT33" s="77"/>
      <c r="AU33" s="77"/>
      <c r="AV33" s="77"/>
      <c r="AW33" s="77"/>
      <c r="AX33" s="57"/>
      <c r="AY33" s="60"/>
      <c r="AZ33" s="61"/>
      <c r="BA33" s="61"/>
      <c r="BB33" s="61"/>
      <c r="BC33" s="61"/>
      <c r="BD33" s="63"/>
      <c r="BE33" s="64"/>
      <c r="BF33" s="64"/>
      <c r="BG33" s="64"/>
      <c r="BH33" s="64"/>
      <c r="BI33" s="72"/>
      <c r="BJ33" s="73"/>
      <c r="BK33" s="73"/>
      <c r="BL33" s="73"/>
      <c r="BM33" s="73"/>
      <c r="BN33" s="66"/>
      <c r="BO33" s="56"/>
      <c r="BP33" s="56"/>
      <c r="BQ33" s="56"/>
      <c r="BR33" s="56"/>
      <c r="BS33" s="77"/>
      <c r="BT33" s="77"/>
      <c r="BU33" s="77"/>
      <c r="BV33" s="77"/>
      <c r="BW33" s="57"/>
      <c r="BX33" s="60"/>
      <c r="BY33" s="61"/>
      <c r="BZ33" s="61"/>
      <c r="CA33" s="61"/>
      <c r="CB33" s="61"/>
      <c r="CC33" s="74"/>
    </row>
    <row r="34" spans="2:81" ht="45">
      <c r="B34" s="47" t="s">
        <v>864</v>
      </c>
      <c r="C34" s="48" t="s">
        <v>880</v>
      </c>
      <c r="D34" s="49" t="s">
        <v>892</v>
      </c>
      <c r="E34" s="70" t="s">
        <v>893</v>
      </c>
      <c r="F34" s="71" t="s">
        <v>1299</v>
      </c>
      <c r="G34" s="52" t="s">
        <v>1732</v>
      </c>
      <c r="H34" s="49" t="s">
        <v>33</v>
      </c>
      <c r="I34" s="49" t="s">
        <v>1559</v>
      </c>
      <c r="J34" s="49" t="s">
        <v>1630</v>
      </c>
      <c r="K34" s="72"/>
      <c r="L34" s="73"/>
      <c r="M34" s="73"/>
      <c r="N34" s="73"/>
      <c r="O34" s="73"/>
      <c r="P34" s="56"/>
      <c r="Q34" s="56"/>
      <c r="R34" s="56"/>
      <c r="S34" s="56"/>
      <c r="T34" s="56"/>
      <c r="U34" s="77"/>
      <c r="V34" s="77"/>
      <c r="W34" s="77"/>
      <c r="X34" s="77"/>
      <c r="Y34" s="57"/>
      <c r="Z34" s="60"/>
      <c r="AA34" s="61"/>
      <c r="AB34" s="54"/>
      <c r="AC34" s="61"/>
      <c r="AD34" s="61"/>
      <c r="AE34" s="63"/>
      <c r="AF34" s="64"/>
      <c r="AG34" s="64"/>
      <c r="AH34" s="64"/>
      <c r="AI34" s="64"/>
      <c r="AJ34" s="72"/>
      <c r="AK34" s="73"/>
      <c r="AL34" s="73"/>
      <c r="AM34" s="73"/>
      <c r="AN34" s="73"/>
      <c r="AO34" s="95" t="s">
        <v>861</v>
      </c>
      <c r="AP34" s="56"/>
      <c r="AQ34" s="56"/>
      <c r="AR34" s="56"/>
      <c r="AS34" s="56"/>
      <c r="AT34" s="77"/>
      <c r="AU34" s="77"/>
      <c r="AV34" s="77"/>
      <c r="AW34" s="77"/>
      <c r="AX34" s="57"/>
      <c r="AY34" s="60"/>
      <c r="AZ34" s="61"/>
      <c r="BA34" s="61"/>
      <c r="BB34" s="61"/>
      <c r="BC34" s="61"/>
      <c r="BD34" s="63"/>
      <c r="BE34" s="64"/>
      <c r="BF34" s="64"/>
      <c r="BG34" s="64"/>
      <c r="BH34" s="64"/>
      <c r="BI34" s="72"/>
      <c r="BJ34" s="73"/>
      <c r="BK34" s="73"/>
      <c r="BL34" s="73"/>
      <c r="BM34" s="73"/>
      <c r="BN34" s="66"/>
      <c r="BO34" s="56"/>
      <c r="BP34" s="56"/>
      <c r="BQ34" s="56"/>
      <c r="BR34" s="56"/>
      <c r="BS34" s="77"/>
      <c r="BT34" s="77"/>
      <c r="BU34" s="77"/>
      <c r="BV34" s="77"/>
      <c r="BW34" s="57"/>
      <c r="BX34" s="60"/>
      <c r="BY34" s="61"/>
      <c r="BZ34" s="61"/>
      <c r="CA34" s="61"/>
      <c r="CB34" s="61"/>
      <c r="CC34" s="74"/>
    </row>
    <row r="35" spans="2:81" ht="45">
      <c r="B35" s="47" t="s">
        <v>864</v>
      </c>
      <c r="C35" s="48" t="s">
        <v>894</v>
      </c>
      <c r="D35" s="49" t="s">
        <v>895</v>
      </c>
      <c r="E35" s="70" t="s">
        <v>896</v>
      </c>
      <c r="F35" s="71" t="s">
        <v>1299</v>
      </c>
      <c r="G35" s="52" t="s">
        <v>1732</v>
      </c>
      <c r="H35" s="49" t="s">
        <v>33</v>
      </c>
      <c r="I35" s="49" t="s">
        <v>1559</v>
      </c>
      <c r="J35" s="49" t="s">
        <v>1630</v>
      </c>
      <c r="K35" s="72"/>
      <c r="L35" s="73"/>
      <c r="M35" s="73"/>
      <c r="N35" s="73"/>
      <c r="O35" s="73"/>
      <c r="P35" s="56"/>
      <c r="Q35" s="56"/>
      <c r="R35" s="56"/>
      <c r="S35" s="56"/>
      <c r="T35" s="56"/>
      <c r="U35" s="87"/>
      <c r="V35" s="77"/>
      <c r="W35" s="77"/>
      <c r="X35" s="77"/>
      <c r="Y35" s="57"/>
      <c r="Z35" s="60"/>
      <c r="AA35" s="61"/>
      <c r="AB35" s="54"/>
      <c r="AC35" s="61"/>
      <c r="AD35" s="61"/>
      <c r="AE35" s="63"/>
      <c r="AF35" s="64"/>
      <c r="AG35" s="64"/>
      <c r="AH35" s="64"/>
      <c r="AI35" s="64"/>
      <c r="AJ35" s="72"/>
      <c r="AK35" s="73"/>
      <c r="AL35" s="73"/>
      <c r="AM35" s="73"/>
      <c r="AN35" s="73"/>
      <c r="AO35" s="95" t="s">
        <v>861</v>
      </c>
      <c r="AP35" s="56"/>
      <c r="AQ35" s="56"/>
      <c r="AR35" s="56"/>
      <c r="AS35" s="56"/>
      <c r="AT35" s="77"/>
      <c r="AU35" s="77"/>
      <c r="AV35" s="77"/>
      <c r="AW35" s="77"/>
      <c r="AX35" s="57"/>
      <c r="AY35" s="60"/>
      <c r="AZ35" s="61"/>
      <c r="BA35" s="61"/>
      <c r="BB35" s="61"/>
      <c r="BC35" s="61"/>
      <c r="BD35" s="63"/>
      <c r="BE35" s="64"/>
      <c r="BF35" s="64"/>
      <c r="BG35" s="64"/>
      <c r="BH35" s="64"/>
      <c r="BI35" s="72"/>
      <c r="BJ35" s="73"/>
      <c r="BK35" s="73"/>
      <c r="BL35" s="73"/>
      <c r="BM35" s="73"/>
      <c r="BN35" s="66"/>
      <c r="BO35" s="56"/>
      <c r="BP35" s="56"/>
      <c r="BQ35" s="56"/>
      <c r="BR35" s="56"/>
      <c r="BS35" s="77"/>
      <c r="BT35" s="77"/>
      <c r="BU35" s="77"/>
      <c r="BV35" s="77"/>
      <c r="BW35" s="57"/>
      <c r="BX35" s="60"/>
      <c r="BY35" s="61"/>
      <c r="BZ35" s="61"/>
      <c r="CA35" s="61"/>
      <c r="CB35" s="61"/>
      <c r="CC35" s="74"/>
    </row>
    <row r="36" spans="2:81" ht="45">
      <c r="B36" s="47" t="s">
        <v>864</v>
      </c>
      <c r="C36" s="48" t="s">
        <v>894</v>
      </c>
      <c r="D36" s="49" t="s">
        <v>897</v>
      </c>
      <c r="E36" s="70" t="s">
        <v>898</v>
      </c>
      <c r="F36" s="71" t="s">
        <v>1299</v>
      </c>
      <c r="G36" s="52" t="s">
        <v>1732</v>
      </c>
      <c r="H36" s="49" t="s">
        <v>33</v>
      </c>
      <c r="I36" s="49" t="s">
        <v>1559</v>
      </c>
      <c r="J36" s="49" t="s">
        <v>1630</v>
      </c>
      <c r="K36" s="72"/>
      <c r="L36" s="73"/>
      <c r="M36" s="73"/>
      <c r="N36" s="73"/>
      <c r="O36" s="73"/>
      <c r="P36" s="56"/>
      <c r="Q36" s="56"/>
      <c r="R36" s="56"/>
      <c r="S36" s="56"/>
      <c r="T36" s="56"/>
      <c r="U36" s="77"/>
      <c r="V36" s="77"/>
      <c r="W36" s="77"/>
      <c r="X36" s="77"/>
      <c r="Y36" s="103"/>
      <c r="Z36" s="60"/>
      <c r="AA36" s="54"/>
      <c r="AB36" s="54"/>
      <c r="AC36" s="61"/>
      <c r="AD36" s="61"/>
      <c r="AE36" s="63"/>
      <c r="AF36" s="64"/>
      <c r="AG36" s="64"/>
      <c r="AH36" s="64"/>
      <c r="AI36" s="64"/>
      <c r="AJ36" s="72"/>
      <c r="AK36" s="73"/>
      <c r="AL36" s="73"/>
      <c r="AM36" s="73"/>
      <c r="AN36" s="73"/>
      <c r="AO36" s="95" t="s">
        <v>861</v>
      </c>
      <c r="AP36" s="56"/>
      <c r="AQ36" s="56"/>
      <c r="AR36" s="56"/>
      <c r="AS36" s="56"/>
      <c r="AT36" s="77"/>
      <c r="AU36" s="77"/>
      <c r="AV36" s="77"/>
      <c r="AW36" s="77"/>
      <c r="AX36" s="57"/>
      <c r="AY36" s="60"/>
      <c r="AZ36" s="61"/>
      <c r="BA36" s="61"/>
      <c r="BB36" s="61"/>
      <c r="BC36" s="61"/>
      <c r="BD36" s="63"/>
      <c r="BE36" s="64"/>
      <c r="BF36" s="64"/>
      <c r="BG36" s="64"/>
      <c r="BH36" s="64"/>
      <c r="BI36" s="72"/>
      <c r="BJ36" s="73"/>
      <c r="BK36" s="73"/>
      <c r="BL36" s="73"/>
      <c r="BM36" s="73"/>
      <c r="BN36" s="66"/>
      <c r="BO36" s="56"/>
      <c r="BP36" s="56"/>
      <c r="BQ36" s="56"/>
      <c r="BR36" s="56"/>
      <c r="BS36" s="77"/>
      <c r="BT36" s="77"/>
      <c r="BU36" s="77"/>
      <c r="BV36" s="77"/>
      <c r="BW36" s="57"/>
      <c r="BX36" s="60"/>
      <c r="BY36" s="61"/>
      <c r="BZ36" s="61"/>
      <c r="CA36" s="61"/>
      <c r="CB36" s="61"/>
      <c r="CC36" s="74"/>
    </row>
    <row r="37" spans="2:81" ht="45">
      <c r="B37" s="47" t="s">
        <v>864</v>
      </c>
      <c r="C37" s="48" t="s">
        <v>880</v>
      </c>
      <c r="D37" s="49" t="s">
        <v>903</v>
      </c>
      <c r="E37" s="70" t="s">
        <v>904</v>
      </c>
      <c r="F37" s="71" t="s">
        <v>1299</v>
      </c>
      <c r="G37" s="52" t="s">
        <v>1733</v>
      </c>
      <c r="H37" s="49" t="s">
        <v>33</v>
      </c>
      <c r="I37" s="49" t="s">
        <v>1559</v>
      </c>
      <c r="J37" s="49" t="s">
        <v>1630</v>
      </c>
      <c r="K37" s="72"/>
      <c r="L37" s="73"/>
      <c r="M37" s="73"/>
      <c r="N37" s="73"/>
      <c r="O37" s="73"/>
      <c r="P37" s="56"/>
      <c r="Q37" s="56"/>
      <c r="R37" s="56"/>
      <c r="S37" s="56"/>
      <c r="T37" s="56"/>
      <c r="U37" s="77"/>
      <c r="V37" s="77"/>
      <c r="W37" s="77"/>
      <c r="X37" s="77"/>
      <c r="Y37" s="77"/>
      <c r="Z37" s="60"/>
      <c r="AA37" s="61"/>
      <c r="AB37" s="54"/>
      <c r="AC37" s="54"/>
      <c r="AD37" s="61"/>
      <c r="AE37" s="54"/>
      <c r="AF37" s="64"/>
      <c r="AG37" s="64"/>
      <c r="AH37" s="64"/>
      <c r="AI37" s="64"/>
      <c r="AJ37" s="72"/>
      <c r="AK37" s="73"/>
      <c r="AL37" s="73"/>
      <c r="AM37" s="73"/>
      <c r="AN37" s="73"/>
      <c r="AO37" s="66"/>
      <c r="AP37" s="56"/>
      <c r="AQ37" s="95" t="s">
        <v>861</v>
      </c>
      <c r="AR37" s="56"/>
      <c r="AS37" s="56"/>
      <c r="AT37" s="77"/>
      <c r="AU37" s="77"/>
      <c r="AV37" s="77"/>
      <c r="AW37" s="77"/>
      <c r="AX37" s="57"/>
      <c r="AY37" s="60"/>
      <c r="AZ37" s="61"/>
      <c r="BA37" s="61"/>
      <c r="BB37" s="61"/>
      <c r="BC37" s="61"/>
      <c r="BD37" s="63"/>
      <c r="BE37" s="64"/>
      <c r="BF37" s="64"/>
      <c r="BG37" s="64"/>
      <c r="BH37" s="64"/>
      <c r="BI37" s="72"/>
      <c r="BJ37" s="73"/>
      <c r="BK37" s="73"/>
      <c r="BL37" s="73"/>
      <c r="BM37" s="73"/>
      <c r="BN37" s="66"/>
      <c r="BO37" s="56"/>
      <c r="BP37" s="56"/>
      <c r="BQ37" s="56"/>
      <c r="BR37" s="56"/>
      <c r="BS37" s="77"/>
      <c r="BT37" s="77"/>
      <c r="BU37" s="77"/>
      <c r="BV37" s="77"/>
      <c r="BW37" s="57"/>
      <c r="BX37" s="60"/>
      <c r="BY37" s="61"/>
      <c r="BZ37" s="61"/>
      <c r="CA37" s="61"/>
      <c r="CB37" s="61"/>
      <c r="CC37" s="74"/>
    </row>
    <row r="38" spans="2:81" ht="45">
      <c r="B38" s="47" t="s">
        <v>864</v>
      </c>
      <c r="C38" s="48" t="s">
        <v>900</v>
      </c>
      <c r="D38" s="49" t="s">
        <v>905</v>
      </c>
      <c r="E38" s="70" t="s">
        <v>906</v>
      </c>
      <c r="F38" s="71" t="s">
        <v>1412</v>
      </c>
      <c r="G38" s="52" t="s">
        <v>1734</v>
      </c>
      <c r="H38" s="49" t="s">
        <v>33</v>
      </c>
      <c r="I38" s="49" t="s">
        <v>1559</v>
      </c>
      <c r="J38" s="49" t="s">
        <v>1560</v>
      </c>
      <c r="K38" s="72"/>
      <c r="L38" s="73"/>
      <c r="M38" s="73"/>
      <c r="N38" s="73"/>
      <c r="O38" s="73"/>
      <c r="P38" s="56"/>
      <c r="Q38" s="56"/>
      <c r="R38" s="56"/>
      <c r="S38" s="56"/>
      <c r="T38" s="56"/>
      <c r="U38" s="77"/>
      <c r="V38" s="77"/>
      <c r="W38" s="77"/>
      <c r="X38" s="77"/>
      <c r="Y38" s="54"/>
      <c r="Z38" s="60"/>
      <c r="AA38" s="54"/>
      <c r="AB38" s="54"/>
      <c r="AC38" s="80"/>
      <c r="AD38" s="61"/>
      <c r="AE38" s="64"/>
      <c r="AF38" s="64"/>
      <c r="AG38" s="64"/>
      <c r="AH38" s="64"/>
      <c r="AI38" s="64"/>
      <c r="AJ38" s="72"/>
      <c r="AK38" s="73"/>
      <c r="AL38" s="73"/>
      <c r="AM38" s="73"/>
      <c r="AN38" s="73"/>
      <c r="AO38" s="66"/>
      <c r="AP38" s="56"/>
      <c r="AQ38" s="56"/>
      <c r="AR38" s="56"/>
      <c r="AS38" s="56"/>
      <c r="AT38" s="77"/>
      <c r="AU38" s="77"/>
      <c r="AV38" s="77"/>
      <c r="AW38" s="77"/>
      <c r="AX38" s="57"/>
      <c r="AY38" s="60"/>
      <c r="AZ38" s="61"/>
      <c r="BA38" s="61"/>
      <c r="BB38" s="61"/>
      <c r="BC38" s="95" t="s">
        <v>861</v>
      </c>
      <c r="BD38" s="63"/>
      <c r="BE38" s="64"/>
      <c r="BF38" s="64"/>
      <c r="BG38" s="64"/>
      <c r="BH38" s="64"/>
      <c r="BI38" s="72"/>
      <c r="BJ38" s="73"/>
      <c r="BK38" s="73"/>
      <c r="BL38" s="73"/>
      <c r="BM38" s="73"/>
      <c r="BN38" s="66"/>
      <c r="BO38" s="56"/>
      <c r="BP38" s="56"/>
      <c r="BQ38" s="56"/>
      <c r="BR38" s="56"/>
      <c r="BS38" s="77"/>
      <c r="BT38" s="77"/>
      <c r="BU38" s="77"/>
      <c r="BV38" s="77"/>
      <c r="BW38" s="57"/>
      <c r="BX38" s="60"/>
      <c r="BY38" s="61"/>
      <c r="BZ38" s="61"/>
      <c r="CA38" s="61"/>
      <c r="CB38" s="61"/>
      <c r="CC38" s="74"/>
    </row>
    <row r="39" spans="2:81" ht="45">
      <c r="B39" s="47" t="s">
        <v>864</v>
      </c>
      <c r="C39" s="48" t="s">
        <v>900</v>
      </c>
      <c r="D39" s="49" t="s">
        <v>946</v>
      </c>
      <c r="E39" s="70" t="s">
        <v>947</v>
      </c>
      <c r="F39" s="71" t="s">
        <v>1412</v>
      </c>
      <c r="G39" s="52" t="s">
        <v>1735</v>
      </c>
      <c r="H39" s="49" t="s">
        <v>33</v>
      </c>
      <c r="I39" s="49" t="s">
        <v>1559</v>
      </c>
      <c r="J39" s="49" t="s">
        <v>1533</v>
      </c>
      <c r="K39" s="72"/>
      <c r="L39" s="73"/>
      <c r="M39" s="73"/>
      <c r="N39" s="73"/>
      <c r="O39" s="73"/>
      <c r="P39" s="56"/>
      <c r="Q39" s="56"/>
      <c r="R39" s="56"/>
      <c r="S39" s="56"/>
      <c r="T39" s="56"/>
      <c r="U39" s="77"/>
      <c r="V39" s="77"/>
      <c r="W39" s="77"/>
      <c r="X39" s="77"/>
      <c r="Y39" s="54"/>
      <c r="Z39" s="60"/>
      <c r="AA39" s="54"/>
      <c r="AB39" s="61"/>
      <c r="AC39" s="54"/>
      <c r="AD39" s="61"/>
      <c r="AE39" s="64"/>
      <c r="AF39" s="64"/>
      <c r="AG39" s="64"/>
      <c r="AH39" s="64"/>
      <c r="AI39" s="64"/>
      <c r="AJ39" s="72"/>
      <c r="AK39" s="73"/>
      <c r="AL39" s="73"/>
      <c r="AM39" s="73"/>
      <c r="AN39" s="73"/>
      <c r="AO39" s="66"/>
      <c r="AP39" s="56"/>
      <c r="AQ39" s="56"/>
      <c r="AR39" s="56"/>
      <c r="AS39" s="56"/>
      <c r="AT39" s="77"/>
      <c r="AU39" s="77"/>
      <c r="AV39" s="77"/>
      <c r="AW39" s="77"/>
      <c r="AX39" s="57"/>
      <c r="AY39" s="60"/>
      <c r="AZ39" s="61"/>
      <c r="BA39" s="61"/>
      <c r="BB39" s="61"/>
      <c r="BC39" s="61"/>
      <c r="BD39" s="63"/>
      <c r="BE39" s="64"/>
      <c r="BF39" s="95" t="s">
        <v>861</v>
      </c>
      <c r="BG39" s="64"/>
      <c r="BH39" s="64"/>
      <c r="BI39" s="72"/>
      <c r="BJ39" s="73"/>
      <c r="BK39" s="73"/>
      <c r="BL39" s="73"/>
      <c r="BM39" s="73"/>
      <c r="BN39" s="66"/>
      <c r="BO39" s="56"/>
      <c r="BP39" s="56"/>
      <c r="BQ39" s="56"/>
      <c r="BR39" s="56"/>
      <c r="BS39" s="77"/>
      <c r="BT39" s="77"/>
      <c r="BU39" s="77"/>
      <c r="BV39" s="77"/>
      <c r="BW39" s="57"/>
      <c r="BX39" s="60"/>
      <c r="BY39" s="61"/>
      <c r="BZ39" s="61"/>
      <c r="CA39" s="61"/>
      <c r="CB39" s="61"/>
      <c r="CC39" s="74"/>
    </row>
    <row r="40" spans="2:81" ht="45">
      <c r="B40" s="110" t="s">
        <v>864</v>
      </c>
      <c r="C40" s="111" t="s">
        <v>900</v>
      </c>
      <c r="D40" s="112" t="s">
        <v>948</v>
      </c>
      <c r="E40" s="143" t="s">
        <v>949</v>
      </c>
      <c r="F40" s="144" t="s">
        <v>1412</v>
      </c>
      <c r="G40" s="132" t="s">
        <v>1412</v>
      </c>
      <c r="H40" s="49" t="s">
        <v>33</v>
      </c>
      <c r="I40" s="49" t="s">
        <v>1559</v>
      </c>
      <c r="J40" s="49" t="s">
        <v>1533</v>
      </c>
      <c r="K40" s="72"/>
      <c r="L40" s="73"/>
      <c r="M40" s="73"/>
      <c r="N40" s="73"/>
      <c r="O40" s="73"/>
      <c r="P40" s="56"/>
      <c r="Q40" s="56"/>
      <c r="R40" s="56"/>
      <c r="S40" s="56"/>
      <c r="T40" s="56"/>
      <c r="U40" s="77"/>
      <c r="V40" s="77"/>
      <c r="W40" s="77"/>
      <c r="X40" s="77"/>
      <c r="Y40" s="57"/>
      <c r="Z40" s="60"/>
      <c r="AA40" s="61"/>
      <c r="AB40" s="61"/>
      <c r="AC40" s="61"/>
      <c r="AD40" s="54"/>
      <c r="AE40" s="64"/>
      <c r="AF40" s="64"/>
      <c r="AG40" s="64"/>
      <c r="AH40" s="64"/>
      <c r="AI40" s="64"/>
      <c r="AJ40" s="72"/>
      <c r="AK40" s="73"/>
      <c r="AL40" s="73"/>
      <c r="AM40" s="73"/>
      <c r="AN40" s="73"/>
      <c r="AO40" s="66"/>
      <c r="AP40" s="56"/>
      <c r="AQ40" s="56"/>
      <c r="AR40" s="56"/>
      <c r="AS40" s="56"/>
      <c r="AT40" s="77"/>
      <c r="AU40" s="77"/>
      <c r="AV40" s="77"/>
      <c r="AW40" s="77"/>
      <c r="AX40" s="57"/>
      <c r="AY40" s="60"/>
      <c r="AZ40" s="61"/>
      <c r="BA40" s="61"/>
      <c r="BB40" s="61"/>
      <c r="BC40" s="61"/>
      <c r="BD40" s="63"/>
      <c r="BE40" s="64"/>
      <c r="BF40" s="64"/>
      <c r="BG40" s="64"/>
      <c r="BH40" s="64"/>
      <c r="BI40" s="72"/>
      <c r="BJ40" s="73"/>
      <c r="BK40" s="73"/>
      <c r="BL40" s="73"/>
      <c r="BM40" s="73"/>
      <c r="BN40" s="66"/>
      <c r="BO40" s="56"/>
      <c r="BP40" s="56"/>
      <c r="BQ40" s="56"/>
      <c r="BR40" s="56"/>
      <c r="BS40" s="77"/>
      <c r="BT40" s="77"/>
      <c r="BU40" s="77"/>
      <c r="BV40" s="77"/>
      <c r="BW40" s="57"/>
      <c r="BX40" s="60"/>
      <c r="BY40" s="61"/>
      <c r="BZ40" s="61"/>
      <c r="CA40" s="61"/>
      <c r="CB40" s="61"/>
      <c r="CC40" s="74"/>
    </row>
    <row r="41" spans="2:81" ht="45">
      <c r="B41" s="47" t="s">
        <v>864</v>
      </c>
      <c r="C41" s="48" t="s">
        <v>873</v>
      </c>
      <c r="D41" s="49" t="s">
        <v>907</v>
      </c>
      <c r="E41" s="70" t="s">
        <v>908</v>
      </c>
      <c r="F41" s="71" t="s">
        <v>1412</v>
      </c>
      <c r="G41" s="52" t="s">
        <v>1412</v>
      </c>
      <c r="H41" s="49" t="s">
        <v>33</v>
      </c>
      <c r="I41" s="49" t="s">
        <v>1559</v>
      </c>
      <c r="J41" s="49" t="s">
        <v>1533</v>
      </c>
      <c r="K41" s="72"/>
      <c r="L41" s="73"/>
      <c r="M41" s="73"/>
      <c r="N41" s="73"/>
      <c r="O41" s="73"/>
      <c r="P41" s="66"/>
      <c r="Q41" s="56"/>
      <c r="R41" s="56"/>
      <c r="S41" s="56"/>
      <c r="T41" s="56"/>
      <c r="U41" s="54"/>
      <c r="V41" s="77"/>
      <c r="W41" s="77"/>
      <c r="X41" s="77"/>
      <c r="Y41" s="80"/>
      <c r="Z41" s="60"/>
      <c r="AA41" s="61"/>
      <c r="AB41" s="54"/>
      <c r="AC41" s="61"/>
      <c r="AD41" s="61"/>
      <c r="AE41" s="63"/>
      <c r="AF41" s="64"/>
      <c r="AG41" s="64"/>
      <c r="AH41" s="64"/>
      <c r="AI41" s="64"/>
      <c r="AJ41" s="72"/>
      <c r="AK41" s="73"/>
      <c r="AL41" s="73"/>
      <c r="AM41" s="73"/>
      <c r="AN41" s="73"/>
      <c r="AO41" s="66"/>
      <c r="AP41" s="56"/>
      <c r="AQ41" s="56"/>
      <c r="AR41" s="56"/>
      <c r="AS41" s="56"/>
      <c r="AT41" s="77"/>
      <c r="AU41" s="77"/>
      <c r="AV41" s="77"/>
      <c r="AW41" s="77"/>
      <c r="AX41" s="57"/>
      <c r="AY41" s="60"/>
      <c r="AZ41" s="61"/>
      <c r="BA41" s="61"/>
      <c r="BB41" s="61"/>
      <c r="BC41" s="61"/>
      <c r="BD41" s="63"/>
      <c r="BE41" s="64"/>
      <c r="BF41" s="64"/>
      <c r="BG41" s="64"/>
      <c r="BH41" s="64"/>
      <c r="BI41" s="72"/>
      <c r="BJ41" s="73"/>
      <c r="BK41" s="73"/>
      <c r="BL41" s="73"/>
      <c r="BM41" s="73"/>
      <c r="BN41" s="66"/>
      <c r="BO41" s="56"/>
      <c r="BP41" s="56"/>
      <c r="BQ41" s="56"/>
      <c r="BR41" s="56"/>
      <c r="BS41" s="77"/>
      <c r="BT41" s="77"/>
      <c r="BU41" s="77"/>
      <c r="BV41" s="77"/>
      <c r="BW41" s="57"/>
      <c r="BX41" s="60"/>
      <c r="BY41" s="61"/>
      <c r="BZ41" s="61"/>
      <c r="CA41" s="61"/>
      <c r="CB41" s="61"/>
      <c r="CC41" s="74"/>
    </row>
    <row r="42" spans="2:81" ht="45">
      <c r="B42" s="47" t="s">
        <v>864</v>
      </c>
      <c r="C42" s="48" t="s">
        <v>873</v>
      </c>
      <c r="D42" s="49" t="s">
        <v>909</v>
      </c>
      <c r="E42" s="70" t="s">
        <v>910</v>
      </c>
      <c r="F42" s="71" t="s">
        <v>1412</v>
      </c>
      <c r="G42" s="52" t="s">
        <v>1412</v>
      </c>
      <c r="H42" s="49" t="s">
        <v>33</v>
      </c>
      <c r="I42" s="49" t="s">
        <v>1559</v>
      </c>
      <c r="J42" s="49" t="s">
        <v>1533</v>
      </c>
      <c r="K42" s="72"/>
      <c r="L42" s="73"/>
      <c r="M42" s="73"/>
      <c r="N42" s="73"/>
      <c r="O42" s="73"/>
      <c r="P42" s="66"/>
      <c r="Q42" s="56"/>
      <c r="R42" s="56"/>
      <c r="S42" s="56"/>
      <c r="T42" s="56"/>
      <c r="U42" s="54"/>
      <c r="V42" s="77"/>
      <c r="W42" s="77"/>
      <c r="X42" s="77"/>
      <c r="Y42" s="80"/>
      <c r="Z42" s="60"/>
      <c r="AA42" s="61"/>
      <c r="AB42" s="54"/>
      <c r="AC42" s="61"/>
      <c r="AD42" s="61"/>
      <c r="AE42" s="63"/>
      <c r="AF42" s="64"/>
      <c r="AG42" s="64"/>
      <c r="AH42" s="64"/>
      <c r="AI42" s="64"/>
      <c r="AJ42" s="72"/>
      <c r="AK42" s="73"/>
      <c r="AL42" s="73"/>
      <c r="AM42" s="73"/>
      <c r="AN42" s="73"/>
      <c r="AO42" s="66"/>
      <c r="AP42" s="56"/>
      <c r="AQ42" s="56"/>
      <c r="AR42" s="56"/>
      <c r="AS42" s="56"/>
      <c r="AT42" s="77"/>
      <c r="AU42" s="77"/>
      <c r="AV42" s="77"/>
      <c r="AW42" s="77"/>
      <c r="AX42" s="57"/>
      <c r="AY42" s="60"/>
      <c r="AZ42" s="61"/>
      <c r="BA42" s="61"/>
      <c r="BB42" s="61"/>
      <c r="BC42" s="61"/>
      <c r="BD42" s="63"/>
      <c r="BE42" s="64"/>
      <c r="BF42" s="64"/>
      <c r="BG42" s="64"/>
      <c r="BH42" s="64"/>
      <c r="BI42" s="72"/>
      <c r="BJ42" s="73"/>
      <c r="BK42" s="73"/>
      <c r="BL42" s="73"/>
      <c r="BM42" s="73"/>
      <c r="BN42" s="66"/>
      <c r="BO42" s="56"/>
      <c r="BP42" s="56"/>
      <c r="BQ42" s="56"/>
      <c r="BR42" s="56"/>
      <c r="BS42" s="77"/>
      <c r="BT42" s="77"/>
      <c r="BU42" s="77"/>
      <c r="BV42" s="77"/>
      <c r="BW42" s="57"/>
      <c r="BX42" s="60"/>
      <c r="BY42" s="61"/>
      <c r="BZ42" s="61"/>
      <c r="CA42" s="61"/>
      <c r="CB42" s="61"/>
      <c r="CC42" s="74"/>
    </row>
    <row r="43" spans="2:81" ht="45">
      <c r="B43" s="47" t="s">
        <v>864</v>
      </c>
      <c r="C43" s="48" t="s">
        <v>880</v>
      </c>
      <c r="D43" s="49" t="s">
        <v>911</v>
      </c>
      <c r="E43" s="70" t="s">
        <v>912</v>
      </c>
      <c r="F43" s="71" t="s">
        <v>1412</v>
      </c>
      <c r="G43" s="52" t="s">
        <v>1412</v>
      </c>
      <c r="H43" s="49" t="s">
        <v>33</v>
      </c>
      <c r="I43" s="49" t="s">
        <v>1559</v>
      </c>
      <c r="J43" s="49" t="s">
        <v>1533</v>
      </c>
      <c r="K43" s="72"/>
      <c r="L43" s="73"/>
      <c r="M43" s="73"/>
      <c r="N43" s="73"/>
      <c r="O43" s="73"/>
      <c r="P43" s="66"/>
      <c r="Q43" s="56"/>
      <c r="R43" s="56"/>
      <c r="S43" s="56"/>
      <c r="T43" s="56"/>
      <c r="U43" s="77"/>
      <c r="V43" s="77"/>
      <c r="W43" s="77"/>
      <c r="Y43" s="57"/>
      <c r="Z43" s="60"/>
      <c r="AA43" s="61"/>
      <c r="AB43" s="54"/>
      <c r="AC43" s="61"/>
      <c r="AD43" s="61"/>
      <c r="AE43" s="63"/>
      <c r="AF43" s="64"/>
      <c r="AG43" s="64"/>
      <c r="AH43" s="64"/>
      <c r="AI43" s="64"/>
      <c r="AJ43" s="72"/>
      <c r="AK43" s="73"/>
      <c r="AL43" s="73"/>
      <c r="AM43" s="73"/>
      <c r="AN43" s="73"/>
      <c r="AO43" s="66"/>
      <c r="AP43" s="56"/>
      <c r="AQ43" s="56"/>
      <c r="AR43" s="56"/>
      <c r="AS43" s="56"/>
      <c r="AT43" s="77"/>
      <c r="AU43" s="77"/>
      <c r="AV43" s="77"/>
      <c r="AW43" s="77"/>
      <c r="AX43" s="57"/>
      <c r="AY43" s="60"/>
      <c r="AZ43" s="61"/>
      <c r="BA43" s="61"/>
      <c r="BB43" s="61"/>
      <c r="BC43" s="61"/>
      <c r="BD43" s="63"/>
      <c r="BE43" s="64"/>
      <c r="BF43" s="64"/>
      <c r="BG43" s="64"/>
      <c r="BH43" s="64"/>
      <c r="BI43" s="72"/>
      <c r="BJ43" s="73"/>
      <c r="BK43" s="73"/>
      <c r="BL43" s="73"/>
      <c r="BM43" s="73"/>
      <c r="BN43" s="66"/>
      <c r="BO43" s="56"/>
      <c r="BP43" s="56"/>
      <c r="BQ43" s="56"/>
      <c r="BR43" s="56"/>
      <c r="BS43" s="77"/>
      <c r="BT43" s="77"/>
      <c r="BU43" s="77"/>
      <c r="BV43" s="77"/>
      <c r="BW43" s="57"/>
      <c r="BX43" s="60"/>
      <c r="BY43" s="61"/>
      <c r="BZ43" s="61"/>
      <c r="CA43" s="61"/>
      <c r="CB43" s="61"/>
      <c r="CC43" s="74"/>
    </row>
    <row r="44" spans="2:81" ht="45">
      <c r="B44" s="47" t="s">
        <v>864</v>
      </c>
      <c r="C44" s="48" t="s">
        <v>900</v>
      </c>
      <c r="D44" s="49" t="s">
        <v>913</v>
      </c>
      <c r="E44" s="81" t="s">
        <v>914</v>
      </c>
      <c r="F44" s="97" t="s">
        <v>1412</v>
      </c>
      <c r="G44" s="98" t="s">
        <v>1412</v>
      </c>
      <c r="H44" s="49" t="s">
        <v>33</v>
      </c>
      <c r="I44" s="49" t="s">
        <v>1559</v>
      </c>
      <c r="J44" s="49" t="s">
        <v>1533</v>
      </c>
      <c r="K44" s="99"/>
      <c r="L44" s="100"/>
      <c r="M44" s="100"/>
      <c r="N44" s="100"/>
      <c r="O44" s="100"/>
      <c r="P44" s="101"/>
      <c r="Q44" s="102"/>
      <c r="R44" s="102"/>
      <c r="S44" s="102"/>
      <c r="T44" s="102"/>
      <c r="U44" s="103"/>
      <c r="V44" s="104"/>
      <c r="W44" s="105"/>
      <c r="X44" s="115"/>
      <c r="Y44" s="103"/>
      <c r="Z44" s="106"/>
      <c r="AA44" s="107"/>
      <c r="AB44" s="54"/>
      <c r="AC44" s="54"/>
      <c r="AD44" s="107"/>
      <c r="AE44" s="64"/>
      <c r="AF44" s="64"/>
      <c r="AG44" s="64"/>
      <c r="AH44" s="108"/>
      <c r="AI44" s="108"/>
      <c r="AJ44" s="99"/>
      <c r="AK44" s="100"/>
      <c r="AL44" s="100"/>
      <c r="AM44" s="100"/>
      <c r="AN44" s="100"/>
      <c r="AO44" s="101"/>
      <c r="AP44" s="56"/>
      <c r="AQ44" s="102"/>
      <c r="AR44" s="102"/>
      <c r="AS44" s="56"/>
      <c r="AT44" s="103"/>
      <c r="AU44" s="104"/>
      <c r="AV44" s="105"/>
      <c r="AW44" s="105"/>
      <c r="AX44" s="103"/>
      <c r="AY44" s="106"/>
      <c r="AZ44" s="107"/>
      <c r="BA44" s="107"/>
      <c r="BB44" s="107"/>
      <c r="BC44" s="107"/>
      <c r="BD44" s="109"/>
      <c r="BE44" s="108"/>
      <c r="BF44" s="108"/>
      <c r="BG44" s="108"/>
      <c r="BH44" s="108"/>
      <c r="BI44" s="99"/>
      <c r="BJ44" s="100"/>
      <c r="BK44" s="100"/>
      <c r="BL44" s="100"/>
      <c r="BM44" s="100"/>
      <c r="BN44" s="101"/>
      <c r="BO44" s="102"/>
      <c r="BP44" s="102"/>
      <c r="BQ44" s="102"/>
      <c r="BR44" s="102"/>
      <c r="BS44" s="103"/>
      <c r="BT44" s="104"/>
      <c r="BU44" s="105"/>
      <c r="BV44" s="105"/>
      <c r="BW44" s="103"/>
      <c r="BX44" s="106"/>
      <c r="BY44" s="107"/>
      <c r="BZ44" s="107"/>
      <c r="CA44" s="107"/>
      <c r="CB44" s="107"/>
      <c r="CC44" s="74"/>
    </row>
    <row r="45" spans="2:81" ht="45">
      <c r="B45" s="47" t="s">
        <v>864</v>
      </c>
      <c r="C45" s="48" t="s">
        <v>900</v>
      </c>
      <c r="D45" s="49" t="s">
        <v>957</v>
      </c>
      <c r="E45" s="81" t="s">
        <v>958</v>
      </c>
      <c r="F45" s="97" t="s">
        <v>1412</v>
      </c>
      <c r="G45" s="98" t="s">
        <v>1412</v>
      </c>
      <c r="H45" s="49" t="s">
        <v>33</v>
      </c>
      <c r="I45" s="49" t="s">
        <v>1559</v>
      </c>
      <c r="J45" s="49" t="s">
        <v>1533</v>
      </c>
      <c r="K45" s="99"/>
      <c r="L45" s="100"/>
      <c r="M45" s="100"/>
      <c r="N45" s="100"/>
      <c r="O45" s="100"/>
      <c r="P45" s="101"/>
      <c r="Q45" s="102"/>
      <c r="R45" s="102"/>
      <c r="S45" s="102"/>
      <c r="T45" s="102"/>
      <c r="U45" s="103"/>
      <c r="V45" s="104"/>
      <c r="W45" s="105"/>
      <c r="X45" s="115"/>
      <c r="Y45" s="103"/>
      <c r="Z45" s="106"/>
      <c r="AA45" s="107"/>
      <c r="AB45" s="107"/>
      <c r="AC45" s="107"/>
      <c r="AD45" s="107"/>
      <c r="AE45" s="54"/>
      <c r="AF45" s="64"/>
      <c r="AG45" s="108"/>
      <c r="AH45" s="108"/>
      <c r="AI45" s="80"/>
      <c r="AJ45" s="99"/>
      <c r="AK45" s="100"/>
      <c r="AL45" s="100"/>
      <c r="AM45" s="100"/>
      <c r="AN45" s="100"/>
      <c r="AO45" s="101"/>
      <c r="AP45" s="102"/>
      <c r="AQ45" s="102"/>
      <c r="AR45" s="102"/>
      <c r="AS45" s="108"/>
      <c r="AT45" s="103"/>
      <c r="AU45" s="104"/>
      <c r="AV45" s="105"/>
      <c r="AW45" s="105"/>
      <c r="AX45" s="103"/>
      <c r="AY45" s="106"/>
      <c r="AZ45" s="107"/>
      <c r="BA45" s="107"/>
      <c r="BB45" s="107"/>
      <c r="BC45" s="107"/>
      <c r="BD45" s="109"/>
      <c r="BE45" s="108"/>
      <c r="BF45" s="108"/>
      <c r="BG45" s="108"/>
      <c r="BH45" s="108"/>
      <c r="BI45" s="99"/>
      <c r="BJ45" s="100"/>
      <c r="BK45" s="100"/>
      <c r="BL45" s="100"/>
      <c r="BM45" s="100"/>
      <c r="BN45" s="101"/>
      <c r="BO45" s="102"/>
      <c r="BP45" s="102"/>
      <c r="BQ45" s="102"/>
      <c r="BR45" s="102"/>
      <c r="BS45" s="103"/>
      <c r="BT45" s="104"/>
      <c r="BU45" s="105"/>
      <c r="BV45" s="105"/>
      <c r="BW45" s="103"/>
      <c r="BX45" s="106"/>
      <c r="BY45" s="107"/>
      <c r="BZ45" s="107"/>
      <c r="CA45" s="107"/>
      <c r="CB45" s="107"/>
      <c r="CC45" s="74"/>
    </row>
    <row r="46" spans="2:81" ht="45">
      <c r="B46" s="47" t="s">
        <v>899</v>
      </c>
      <c r="C46" s="48" t="s">
        <v>950</v>
      </c>
      <c r="D46" s="49" t="s">
        <v>951</v>
      </c>
      <c r="E46" s="81" t="s">
        <v>952</v>
      </c>
      <c r="F46" s="97" t="s">
        <v>1736</v>
      </c>
      <c r="G46" s="98" t="s">
        <v>1737</v>
      </c>
      <c r="H46" s="49" t="s">
        <v>33</v>
      </c>
      <c r="I46" s="49" t="s">
        <v>1559</v>
      </c>
      <c r="J46" s="49" t="s">
        <v>1560</v>
      </c>
      <c r="BK46" s="141" t="s">
        <v>860</v>
      </c>
      <c r="BN46" s="95" t="s">
        <v>861</v>
      </c>
    </row>
    <row r="47" spans="2:81" ht="45">
      <c r="B47" s="47" t="s">
        <v>899</v>
      </c>
      <c r="C47" s="48" t="s">
        <v>950</v>
      </c>
      <c r="D47" s="49" t="s">
        <v>953</v>
      </c>
      <c r="E47" s="81" t="s">
        <v>954</v>
      </c>
      <c r="F47" s="97" t="s">
        <v>1736</v>
      </c>
      <c r="G47" s="98" t="s">
        <v>1737</v>
      </c>
      <c r="H47" s="49" t="s">
        <v>33</v>
      </c>
      <c r="I47" s="49" t="s">
        <v>1559</v>
      </c>
      <c r="J47" s="49" t="s">
        <v>1560</v>
      </c>
      <c r="BK47" s="141" t="s">
        <v>860</v>
      </c>
      <c r="BN47" s="95" t="s">
        <v>861</v>
      </c>
    </row>
  </sheetData>
  <sheetProtection algorithmName="SHA-512" hashValue="OsWTy8zguo8v2WuoRAmDkk9GnkQLLJIAD5fKscalkuoUkg2eABheoDzWppQW0ChxMkV+hpDT/vk4E2OiA2kr3g==" saltValue="f1Jz8RpsyHiwuH/CV/9+mw==" spinCount="100000" sheet="1" objects="1" scenarios="1" sort="0" autoFilter="0"/>
  <autoFilter ref="B17:CB45" xr:uid="{4502421D-2F48-47FB-A199-BA13FA50A5F3}">
    <sortState xmlns:xlrd2="http://schemas.microsoft.com/office/spreadsheetml/2017/richdata2" ref="B18:CB45">
      <sortCondition ref="F17:F45"/>
    </sortState>
  </autoFilter>
  <mergeCells count="25">
    <mergeCell ref="CC16:CC17"/>
    <mergeCell ref="AY16:BC16"/>
    <mergeCell ref="BD16:BH16"/>
    <mergeCell ref="BI16:BM16"/>
    <mergeCell ref="BN16:BR16"/>
    <mergeCell ref="BS16:BW16"/>
    <mergeCell ref="BX16:CB16"/>
    <mergeCell ref="AT16:AX16"/>
    <mergeCell ref="E9:J9"/>
    <mergeCell ref="E10:J10"/>
    <mergeCell ref="E11:J11"/>
    <mergeCell ref="E12:J12"/>
    <mergeCell ref="K16:O16"/>
    <mergeCell ref="P16:T16"/>
    <mergeCell ref="U16:Y16"/>
    <mergeCell ref="Z16:AD16"/>
    <mergeCell ref="AE16:AI16"/>
    <mergeCell ref="AJ16:AN16"/>
    <mergeCell ref="AO16:AS16"/>
    <mergeCell ref="E8:J8"/>
    <mergeCell ref="E3:J3"/>
    <mergeCell ref="E4:J4"/>
    <mergeCell ref="E5:J5"/>
    <mergeCell ref="E6:J6"/>
    <mergeCell ref="E7:J7"/>
  </mergeCells>
  <phoneticPr fontId="29" type="noConversion"/>
  <conditionalFormatting sqref="K18:O45">
    <cfRule type="expression" dxfId="77" priority="173">
      <formula>(TEXT(TODAY(),"aaaa"))="Thursday"</formula>
    </cfRule>
  </conditionalFormatting>
  <conditionalFormatting sqref="K18:T45">
    <cfRule type="cellIs" dxfId="76" priority="156" operator="equal">
      <formula>"✖"</formula>
    </cfRule>
    <cfRule type="cellIs" dxfId="75" priority="155" operator="equal">
      <formula>"✔"</formula>
    </cfRule>
  </conditionalFormatting>
  <conditionalFormatting sqref="K41:T43 Q18:T18 T26:T40 Q19:S40 K18:O40 T21:T23">
    <cfRule type="iconSet" priority="1563">
      <iconSet iconSet="3Symbols2" showValue="0">
        <cfvo type="percent" val="0"/>
        <cfvo type="percent" val="33"/>
        <cfvo type="percent" val="67"/>
      </iconSet>
    </cfRule>
  </conditionalFormatting>
  <conditionalFormatting sqref="K44:T45">
    <cfRule type="iconSet" priority="1699">
      <iconSet iconSet="3Symbols2" showValue="0">
        <cfvo type="percent" val="0"/>
        <cfvo type="percent" val="33"/>
        <cfvo type="percent" val="67"/>
      </iconSet>
    </cfRule>
  </conditionalFormatting>
  <conditionalFormatting sqref="P18">
    <cfRule type="iconSet" priority="390">
      <iconSet iconSet="3Symbols2" showValue="0">
        <cfvo type="percent" val="0"/>
        <cfvo type="percent" val="33"/>
        <cfvo type="percent" val="67"/>
      </iconSet>
    </cfRule>
  </conditionalFormatting>
  <conditionalFormatting sqref="P18:P23">
    <cfRule type="expression" dxfId="74" priority="161">
      <formula>(TEXT(TODAY(),"aaaa"))="Friday"</formula>
    </cfRule>
  </conditionalFormatting>
  <conditionalFormatting sqref="P19">
    <cfRule type="iconSet" priority="170">
      <iconSet iconSet="3Symbols2" showValue="0">
        <cfvo type="percent" val="0"/>
        <cfvo type="percent" val="33"/>
        <cfvo type="percent" val="67"/>
      </iconSet>
    </cfRule>
  </conditionalFormatting>
  <conditionalFormatting sqref="P20">
    <cfRule type="iconSet" priority="166">
      <iconSet iconSet="3Symbols2" showValue="0">
        <cfvo type="percent" val="0"/>
        <cfvo type="percent" val="33"/>
        <cfvo type="percent" val="67"/>
      </iconSet>
    </cfRule>
  </conditionalFormatting>
  <conditionalFormatting sqref="P21">
    <cfRule type="iconSet" priority="162">
      <iconSet iconSet="3Symbols2" showValue="0">
        <cfvo type="percent" val="0"/>
        <cfvo type="percent" val="33"/>
        <cfvo type="percent" val="67"/>
      </iconSet>
    </cfRule>
  </conditionalFormatting>
  <conditionalFormatting sqref="P24">
    <cfRule type="iconSet" priority="371">
      <iconSet iconSet="3Symbols2" showValue="0">
        <cfvo type="percent" val="0"/>
        <cfvo type="percent" val="33"/>
        <cfvo type="percent" val="67"/>
      </iconSet>
    </cfRule>
  </conditionalFormatting>
  <conditionalFormatting sqref="P24:P25">
    <cfRule type="expression" dxfId="73" priority="366">
      <formula>(TEXT(TODAY(),"aaaa"))="Thursday"</formula>
    </cfRule>
  </conditionalFormatting>
  <conditionalFormatting sqref="P25">
    <cfRule type="iconSet" priority="367">
      <iconSet iconSet="3Symbols2" showValue="0">
        <cfvo type="percent" val="0"/>
        <cfvo type="percent" val="33"/>
        <cfvo type="percent" val="67"/>
      </iconSet>
    </cfRule>
  </conditionalFormatting>
  <conditionalFormatting sqref="P26:P40 P22:P23">
    <cfRule type="iconSet" priority="386">
      <iconSet iconSet="3Symbols2" showValue="0">
        <cfvo type="percent" val="0"/>
        <cfvo type="percent" val="33"/>
        <cfvo type="percent" val="67"/>
      </iconSet>
    </cfRule>
  </conditionalFormatting>
  <conditionalFormatting sqref="P26:P40">
    <cfRule type="expression" dxfId="72" priority="387">
      <formula>(TEXT(TODAY(),"aaaa"))="Friday"</formula>
    </cfRule>
  </conditionalFormatting>
  <conditionalFormatting sqref="Q19:S40 T26:T42 P41:S42 P43:T45">
    <cfRule type="expression" dxfId="71" priority="416">
      <formula>(TEXT(TODAY(),"aaaa"))="Friday"</formula>
    </cfRule>
  </conditionalFormatting>
  <conditionalFormatting sqref="Q18:T18 AO18:AS23 BN18:BR45 AP24:AS36 AO37:AP37 AR37:AS37 AO38:AS43">
    <cfRule type="expression" dxfId="70" priority="455">
      <formula>(TEXT(TODAY(),"aaaa"))="Friday"</formula>
    </cfRule>
  </conditionalFormatting>
  <conditionalFormatting sqref="T19">
    <cfRule type="iconSet" priority="158">
      <iconSet iconSet="3Symbols2" showValue="0">
        <cfvo type="percent" val="0"/>
        <cfvo type="percent" val="33"/>
        <cfvo type="percent" val="67"/>
      </iconSet>
    </cfRule>
  </conditionalFormatting>
  <conditionalFormatting sqref="T19:T23">
    <cfRule type="expression" dxfId="69" priority="153">
      <formula>(TEXT(TODAY(),"aaaa"))="Friday"</formula>
    </cfRule>
  </conditionalFormatting>
  <conditionalFormatting sqref="T20">
    <cfRule type="iconSet" priority="154">
      <iconSet iconSet="3Symbols2" showValue="0">
        <cfvo type="percent" val="0"/>
        <cfvo type="percent" val="33"/>
        <cfvo type="percent" val="67"/>
      </iconSet>
    </cfRule>
  </conditionalFormatting>
  <conditionalFormatting sqref="T24">
    <cfRule type="iconSet" priority="362">
      <iconSet iconSet="3Symbols2" showValue="0">
        <cfvo type="percent" val="0"/>
        <cfvo type="percent" val="33"/>
        <cfvo type="percent" val="67"/>
      </iconSet>
    </cfRule>
  </conditionalFormatting>
  <conditionalFormatting sqref="T24:T25">
    <cfRule type="expression" dxfId="68" priority="359">
      <formula>(TEXT(TODAY(),"aaaa"))="Wednesday"</formula>
    </cfRule>
  </conditionalFormatting>
  <conditionalFormatting sqref="T25">
    <cfRule type="iconSet" priority="358">
      <iconSet iconSet="3Symbols2" showValue="0">
        <cfvo type="percent" val="0"/>
        <cfvo type="percent" val="33"/>
        <cfvo type="percent" val="67"/>
      </iconSet>
    </cfRule>
  </conditionalFormatting>
  <conditionalFormatting sqref="T38:T42">
    <cfRule type="expression" dxfId="67" priority="402">
      <formula>(TEXT(TODAY(),"aaaa"))="Thursday"</formula>
    </cfRule>
  </conditionalFormatting>
  <conditionalFormatting sqref="U22">
    <cfRule type="iconSet" priority="379">
      <iconSet iconSet="3Symbols2" showValue="0">
        <cfvo type="percent" val="0"/>
        <cfvo type="percent" val="33"/>
        <cfvo type="percent" val="67"/>
      </iconSet>
    </cfRule>
  </conditionalFormatting>
  <conditionalFormatting sqref="U22:U23">
    <cfRule type="expression" dxfId="66" priority="374">
      <formula>(TEXT(TODAY(),"aaaa"))="Thursday"</formula>
    </cfRule>
  </conditionalFormatting>
  <conditionalFormatting sqref="U23">
    <cfRule type="iconSet" priority="375">
      <iconSet iconSet="3Symbols2" showValue="0">
        <cfvo type="percent" val="0"/>
        <cfvo type="percent" val="33"/>
        <cfvo type="percent" val="67"/>
      </iconSet>
    </cfRule>
  </conditionalFormatting>
  <conditionalFormatting sqref="U41">
    <cfRule type="iconSet" priority="299">
      <iconSet iconSet="3Symbols2" showValue="0">
        <cfvo type="percent" val="0"/>
        <cfvo type="percent" val="33"/>
        <cfvo type="percent" val="67"/>
      </iconSet>
    </cfRule>
  </conditionalFormatting>
  <conditionalFormatting sqref="U41:U42">
    <cfRule type="expression" dxfId="65" priority="294">
      <formula>(TEXT(TODAY(),"aaaa"))="Thursday"</formula>
    </cfRule>
  </conditionalFormatting>
  <conditionalFormatting sqref="U42">
    <cfRule type="iconSet" priority="295">
      <iconSet iconSet="3Symbols2" showValue="0">
        <cfvo type="percent" val="0"/>
        <cfvo type="percent" val="33"/>
        <cfvo type="percent" val="67"/>
      </iconSet>
    </cfRule>
  </conditionalFormatting>
  <conditionalFormatting sqref="U18:Y21 AT18:AX45 BS18:BW45 U24:U38 U39:X39 U40:Y40 V41:X42 U43:W43 Y43 U44:Y45">
    <cfRule type="expression" dxfId="64" priority="454">
      <formula>(TEXT(TODAY(),"aaaa"))="Monday"</formula>
    </cfRule>
  </conditionalFormatting>
  <conditionalFormatting sqref="U22:Y42">
    <cfRule type="cellIs" dxfId="63" priority="99" operator="equal">
      <formula>"✔"</formula>
    </cfRule>
    <cfRule type="cellIs" dxfId="62" priority="100" operator="equal">
      <formula>"✖"</formula>
    </cfRule>
  </conditionalFormatting>
  <conditionalFormatting sqref="U44:AA44 U45:AH45">
    <cfRule type="cellIs" dxfId="61" priority="1302" operator="equal">
      <formula>"✖"</formula>
    </cfRule>
    <cfRule type="cellIs" dxfId="60" priority="1301" operator="equal">
      <formula>"✔"</formula>
    </cfRule>
  </conditionalFormatting>
  <conditionalFormatting sqref="U45:AD45 U44:AA44 AD44 AG45:AH45 AH44 AJ44:AO45 AQ44:AR45 AT44:CB45">
    <cfRule type="iconSet" priority="1300">
      <iconSet iconSet="3Symbols2" showValue="0">
        <cfvo type="percent" val="0"/>
        <cfvo type="percent" val="33"/>
        <cfvo type="percent" val="67"/>
      </iconSet>
    </cfRule>
  </conditionalFormatting>
  <conditionalFormatting sqref="U18:AH21 Z22:AH23 AB24:AN28 AE41:AH41 AE42:AF42 AG42:AH43 U43:W43 Y43:AA43 AC43:AF43">
    <cfRule type="cellIs" dxfId="59" priority="1384" operator="equal">
      <formula>"✔"</formula>
    </cfRule>
    <cfRule type="cellIs" dxfId="58" priority="1385" operator="equal">
      <formula>"✖"</formula>
    </cfRule>
  </conditionalFormatting>
  <conditionalFormatting sqref="V24">
    <cfRule type="iconSet" priority="150">
      <iconSet iconSet="3Symbols2" showValue="0">
        <cfvo type="percent" val="0"/>
        <cfvo type="percent" val="33"/>
        <cfvo type="percent" val="67"/>
      </iconSet>
    </cfRule>
  </conditionalFormatting>
  <conditionalFormatting sqref="V25">
    <cfRule type="iconSet" priority="146">
      <iconSet iconSet="3Symbols2" showValue="0">
        <cfvo type="percent" val="0"/>
        <cfvo type="percent" val="33"/>
        <cfvo type="percent" val="67"/>
      </iconSet>
    </cfRule>
  </conditionalFormatting>
  <conditionalFormatting sqref="V26">
    <cfRule type="iconSet" priority="142">
      <iconSet iconSet="3Symbols2" showValue="0">
        <cfvo type="percent" val="0"/>
        <cfvo type="percent" val="33"/>
        <cfvo type="percent" val="67"/>
      </iconSet>
    </cfRule>
  </conditionalFormatting>
  <conditionalFormatting sqref="V27">
    <cfRule type="iconSet" priority="134">
      <iconSet iconSet="3Symbols2" showValue="0">
        <cfvo type="percent" val="0"/>
        <cfvo type="percent" val="33"/>
        <cfvo type="percent" val="67"/>
      </iconSet>
    </cfRule>
  </conditionalFormatting>
  <conditionalFormatting sqref="V28">
    <cfRule type="iconSet" priority="138">
      <iconSet iconSet="3Symbols2" showValue="0">
        <cfvo type="percent" val="0"/>
        <cfvo type="percent" val="33"/>
        <cfvo type="percent" val="67"/>
      </iconSet>
    </cfRule>
  </conditionalFormatting>
  <conditionalFormatting sqref="V29">
    <cfRule type="iconSet" priority="130">
      <iconSet iconSet="3Symbols2" showValue="0">
        <cfvo type="percent" val="0"/>
        <cfvo type="percent" val="33"/>
        <cfvo type="percent" val="67"/>
      </iconSet>
    </cfRule>
  </conditionalFormatting>
  <conditionalFormatting sqref="V30">
    <cfRule type="iconSet" priority="126">
      <iconSet iconSet="3Symbols2" showValue="0">
        <cfvo type="percent" val="0"/>
        <cfvo type="percent" val="33"/>
        <cfvo type="percent" val="67"/>
      </iconSet>
    </cfRule>
  </conditionalFormatting>
  <conditionalFormatting sqref="V31">
    <cfRule type="iconSet" priority="122">
      <iconSet iconSet="3Symbols2" showValue="0">
        <cfvo type="percent" val="0"/>
        <cfvo type="percent" val="33"/>
        <cfvo type="percent" val="67"/>
      </iconSet>
    </cfRule>
  </conditionalFormatting>
  <conditionalFormatting sqref="V32">
    <cfRule type="iconSet" priority="118">
      <iconSet iconSet="3Symbols2" showValue="0">
        <cfvo type="percent" val="0"/>
        <cfvo type="percent" val="33"/>
        <cfvo type="percent" val="67"/>
      </iconSet>
    </cfRule>
  </conditionalFormatting>
  <conditionalFormatting sqref="V33">
    <cfRule type="iconSet" priority="114">
      <iconSet iconSet="3Symbols2" showValue="0">
        <cfvo type="percent" val="0"/>
        <cfvo type="percent" val="33"/>
        <cfvo type="percent" val="67"/>
      </iconSet>
    </cfRule>
  </conditionalFormatting>
  <conditionalFormatting sqref="V34">
    <cfRule type="iconSet" priority="110">
      <iconSet iconSet="3Symbols2" showValue="0">
        <cfvo type="percent" val="0"/>
        <cfvo type="percent" val="33"/>
        <cfvo type="percent" val="67"/>
      </iconSet>
    </cfRule>
  </conditionalFormatting>
  <conditionalFormatting sqref="V35">
    <cfRule type="iconSet" priority="106">
      <iconSet iconSet="3Symbols2" showValue="0">
        <cfvo type="percent" val="0"/>
        <cfvo type="percent" val="33"/>
        <cfvo type="percent" val="67"/>
      </iconSet>
    </cfRule>
  </conditionalFormatting>
  <conditionalFormatting sqref="V36">
    <cfRule type="iconSet" priority="102">
      <iconSet iconSet="3Symbols2" showValue="0">
        <cfvo type="percent" val="0"/>
        <cfvo type="percent" val="33"/>
        <cfvo type="percent" val="67"/>
      </iconSet>
    </cfRule>
  </conditionalFormatting>
  <conditionalFormatting sqref="V22:X38">
    <cfRule type="expression" dxfId="57" priority="101">
      <formula>(TEXT(TODAY(),"aaaa"))="Monday"</formula>
    </cfRule>
  </conditionalFormatting>
  <conditionalFormatting sqref="Y22">
    <cfRule type="expression" dxfId="56" priority="355">
      <formula>(TEXT(TODAY(),"aaaa"))="Wednesday"</formula>
    </cfRule>
    <cfRule type="iconSet" priority="354">
      <iconSet iconSet="3Symbols2" showValue="0">
        <cfvo type="percent" val="0"/>
        <cfvo type="percent" val="33"/>
        <cfvo type="percent" val="67"/>
      </iconSet>
    </cfRule>
  </conditionalFormatting>
  <conditionalFormatting sqref="Y23">
    <cfRule type="iconSet" priority="226">
      <iconSet iconSet="3Symbols2" showValue="0">
        <cfvo type="percent" val="0"/>
        <cfvo type="percent" val="33"/>
        <cfvo type="percent" val="67"/>
      </iconSet>
    </cfRule>
  </conditionalFormatting>
  <conditionalFormatting sqref="Y23:Y37">
    <cfRule type="expression" dxfId="55" priority="97">
      <formula>(TEXT(TODAY(),"aaaa"))="Monday"</formula>
    </cfRule>
  </conditionalFormatting>
  <conditionalFormatting sqref="Y24:Y36">
    <cfRule type="iconSet" priority="222">
      <iconSet iconSet="3Symbols2" showValue="0">
        <cfvo type="percent" val="0"/>
        <cfvo type="percent" val="33"/>
        <cfvo type="percent" val="67"/>
      </iconSet>
    </cfRule>
  </conditionalFormatting>
  <conditionalFormatting sqref="Y37">
    <cfRule type="iconSet" priority="98">
      <iconSet iconSet="3Symbols2" showValue="0">
        <cfvo type="percent" val="0"/>
        <cfvo type="percent" val="33"/>
        <cfvo type="percent" val="67"/>
      </iconSet>
    </cfRule>
  </conditionalFormatting>
  <conditionalFormatting sqref="Y38">
    <cfRule type="iconSet" priority="287">
      <iconSet iconSet="3Symbols2" showValue="0">
        <cfvo type="percent" val="0"/>
        <cfvo type="percent" val="33"/>
        <cfvo type="percent" val="67"/>
      </iconSet>
    </cfRule>
  </conditionalFormatting>
  <conditionalFormatting sqref="Y38:Y39">
    <cfRule type="expression" dxfId="54" priority="286">
      <formula>(TEXT(TODAY(),"aaaa"))="Thursday"</formula>
    </cfRule>
  </conditionalFormatting>
  <conditionalFormatting sqref="Y39">
    <cfRule type="iconSet" priority="335">
      <iconSet iconSet="3Symbols2" showValue="0">
        <cfvo type="percent" val="0"/>
        <cfvo type="percent" val="33"/>
        <cfvo type="percent" val="67"/>
      </iconSet>
    </cfRule>
  </conditionalFormatting>
  <conditionalFormatting sqref="Y41">
    <cfRule type="iconSet" priority="318">
      <iconSet iconSet="3Symbols2" showValue="0">
        <cfvo type="percent" val="0"/>
        <cfvo type="percent" val="33"/>
        <cfvo type="percent" val="67"/>
      </iconSet>
    </cfRule>
  </conditionalFormatting>
  <conditionalFormatting sqref="Y41:Y42">
    <cfRule type="expression" dxfId="53" priority="315">
      <formula>(TEXT(TODAY(),"aaaa"))="Wednesday"</formula>
    </cfRule>
  </conditionalFormatting>
  <conditionalFormatting sqref="Y42">
    <cfRule type="iconSet" priority="314">
      <iconSet iconSet="3Symbols2" showValue="0">
        <cfvo type="percent" val="0"/>
        <cfvo type="percent" val="33"/>
        <cfvo type="percent" val="67"/>
      </iconSet>
    </cfRule>
  </conditionalFormatting>
  <conditionalFormatting sqref="Z38:Z39">
    <cfRule type="expression" dxfId="52" priority="215">
      <formula>(TEXT(TODAY(),"aaaa"))="Tuesday"</formula>
    </cfRule>
  </conditionalFormatting>
  <conditionalFormatting sqref="Z39">
    <cfRule type="iconSet" priority="214">
      <iconSet iconSet="3Symbols2" showValue="0">
        <cfvo type="percent" val="0"/>
        <cfvo type="percent" val="33"/>
        <cfvo type="percent" val="67"/>
      </iconSet>
    </cfRule>
  </conditionalFormatting>
  <conditionalFormatting sqref="Z24:AA42">
    <cfRule type="cellIs" dxfId="51" priority="87" operator="equal">
      <formula>"✔"</formula>
    </cfRule>
    <cfRule type="cellIs" dxfId="50" priority="88" operator="equal">
      <formula>"✖"</formula>
    </cfRule>
  </conditionalFormatting>
  <conditionalFormatting sqref="Z40:AA44 AD44 Z45:AD45">
    <cfRule type="expression" dxfId="49" priority="442">
      <formula>(TEXT(TODAY(),"aaaa"))="Tuesday"</formula>
    </cfRule>
  </conditionalFormatting>
  <conditionalFormatting sqref="Z18:AD23 AY18:BC37 BX18:CB45 AB24:AD28 Z24:Z36 AC29:AD36 Z37:AA37 AD37:AD39 AY38:BB38 AY39:BC45 AC40 AC41:AD43">
    <cfRule type="expression" dxfId="48" priority="456">
      <formula>(TEXT(TODAY(),"aaaa"))="Tuesday"</formula>
    </cfRule>
  </conditionalFormatting>
  <conditionalFormatting sqref="AA24:AA35">
    <cfRule type="expression" dxfId="47" priority="93">
      <formula>(TEXT(TODAY(),"aaaa"))="Tuesday"</formula>
    </cfRule>
    <cfRule type="iconSet" priority="94">
      <iconSet iconSet="3Symbols2" showValue="0">
        <cfvo type="percent" val="0"/>
        <cfvo type="percent" val="33"/>
        <cfvo type="percent" val="67"/>
      </iconSet>
    </cfRule>
  </conditionalFormatting>
  <conditionalFormatting sqref="AA36">
    <cfRule type="iconSet" priority="90">
      <iconSet iconSet="3Symbols2" showValue="0">
        <cfvo type="percent" val="0"/>
        <cfvo type="percent" val="33"/>
        <cfvo type="percent" val="67"/>
      </iconSet>
    </cfRule>
    <cfRule type="expression" dxfId="46" priority="89">
      <formula>(TEXT(TODAY(),"aaaa"))="Thursday"</formula>
    </cfRule>
  </conditionalFormatting>
  <conditionalFormatting sqref="AA38">
    <cfRule type="iconSet" priority="86">
      <iconSet iconSet="3Symbols2" showValue="0">
        <cfvo type="percent" val="0"/>
        <cfvo type="percent" val="33"/>
        <cfvo type="percent" val="67"/>
      </iconSet>
    </cfRule>
  </conditionalFormatting>
  <conditionalFormatting sqref="AA38:AA39">
    <cfRule type="expression" dxfId="45" priority="85">
      <formula>(TEXT(TODAY(),"aaaa"))="Thursday"</formula>
    </cfRule>
  </conditionalFormatting>
  <conditionalFormatting sqref="AA39">
    <cfRule type="iconSet" priority="259">
      <iconSet iconSet="3Symbols2" showValue="0">
        <cfvo type="percent" val="0"/>
        <cfvo type="percent" val="33"/>
        <cfvo type="percent" val="67"/>
      </iconSet>
    </cfRule>
  </conditionalFormatting>
  <conditionalFormatting sqref="AB29">
    <cfRule type="iconSet" priority="351">
      <iconSet iconSet="3Symbols2" showValue="0">
        <cfvo type="percent" val="0"/>
        <cfvo type="percent" val="33"/>
        <cfvo type="percent" val="67"/>
      </iconSet>
    </cfRule>
  </conditionalFormatting>
  <conditionalFormatting sqref="AB29:AB38">
    <cfRule type="expression" dxfId="44" priority="342">
      <formula>(TEXT(TODAY(),"aaaa"))="Thursday"</formula>
    </cfRule>
  </conditionalFormatting>
  <conditionalFormatting sqref="AB29:AB44">
    <cfRule type="cellIs" dxfId="43" priority="63" operator="equal">
      <formula>"✔"</formula>
    </cfRule>
    <cfRule type="cellIs" dxfId="42" priority="64" operator="equal">
      <formula>"✖"</formula>
    </cfRule>
  </conditionalFormatting>
  <conditionalFormatting sqref="AB30">
    <cfRule type="iconSet" priority="347">
      <iconSet iconSet="3Symbols2" showValue="0">
        <cfvo type="percent" val="0"/>
        <cfvo type="percent" val="33"/>
        <cfvo type="percent" val="67"/>
      </iconSet>
    </cfRule>
  </conditionalFormatting>
  <conditionalFormatting sqref="AB31:AB38">
    <cfRule type="iconSet" priority="343">
      <iconSet iconSet="3Symbols2" showValue="0">
        <cfvo type="percent" val="0"/>
        <cfvo type="percent" val="33"/>
        <cfvo type="percent" val="67"/>
      </iconSet>
    </cfRule>
  </conditionalFormatting>
  <conditionalFormatting sqref="AB39:AB40">
    <cfRule type="iconSet" priority="1588">
      <iconSet iconSet="3Symbols2" showValue="0">
        <cfvo type="percent" val="0"/>
        <cfvo type="percent" val="33"/>
        <cfvo type="percent" val="67"/>
      </iconSet>
    </cfRule>
    <cfRule type="expression" dxfId="41" priority="211">
      <formula>(TEXT(TODAY(),"aaaa"))="Tuesday"</formula>
    </cfRule>
  </conditionalFormatting>
  <conditionalFormatting sqref="AB41">
    <cfRule type="iconSet" priority="74">
      <iconSet iconSet="3Symbols2" showValue="0">
        <cfvo type="percent" val="0"/>
        <cfvo type="percent" val="33"/>
        <cfvo type="percent" val="67"/>
      </iconSet>
    </cfRule>
  </conditionalFormatting>
  <conditionalFormatting sqref="AB41:AB44">
    <cfRule type="expression" dxfId="40" priority="61">
      <formula>(TEXT(TODAY(),"aaaa"))="Thursday"</formula>
    </cfRule>
  </conditionalFormatting>
  <conditionalFormatting sqref="AB42">
    <cfRule type="iconSet" priority="70">
      <iconSet iconSet="3Symbols2" showValue="0">
        <cfvo type="percent" val="0"/>
        <cfvo type="percent" val="33"/>
        <cfvo type="percent" val="67"/>
      </iconSet>
    </cfRule>
  </conditionalFormatting>
  <conditionalFormatting sqref="AB43">
    <cfRule type="iconSet" priority="66">
      <iconSet iconSet="3Symbols2" showValue="0">
        <cfvo type="percent" val="0"/>
        <cfvo type="percent" val="33"/>
        <cfvo type="percent" val="67"/>
      </iconSet>
    </cfRule>
  </conditionalFormatting>
  <conditionalFormatting sqref="AB44">
    <cfRule type="iconSet" priority="62">
      <iconSet iconSet="3Symbols2" showValue="0">
        <cfvo type="percent" val="0"/>
        <cfvo type="percent" val="33"/>
        <cfvo type="percent" val="67"/>
      </iconSet>
    </cfRule>
  </conditionalFormatting>
  <conditionalFormatting sqref="AC37">
    <cfRule type="iconSet" priority="82">
      <iconSet iconSet="3Symbols2" showValue="0">
        <cfvo type="percent" val="0"/>
        <cfvo type="percent" val="33"/>
        <cfvo type="percent" val="67"/>
      </iconSet>
    </cfRule>
    <cfRule type="expression" dxfId="39" priority="81">
      <formula>(TEXT(TODAY(),"aaaa"))="Thursday"</formula>
    </cfRule>
  </conditionalFormatting>
  <conditionalFormatting sqref="AC38">
    <cfRule type="expression" dxfId="38" priority="263">
      <formula>(TEXT(TODAY(),"aaaa"))="Wednesday"</formula>
    </cfRule>
    <cfRule type="iconSet" priority="262">
      <iconSet iconSet="3Symbols2" showValue="0">
        <cfvo type="percent" val="0"/>
        <cfvo type="percent" val="33"/>
        <cfvo type="percent" val="67"/>
      </iconSet>
    </cfRule>
  </conditionalFormatting>
  <conditionalFormatting sqref="AC39">
    <cfRule type="expression" dxfId="37" priority="77">
      <formula>(TEXT(TODAY(),"aaaa"))="Thursday"</formula>
    </cfRule>
    <cfRule type="iconSet" priority="78">
      <iconSet iconSet="3Symbols2" showValue="0">
        <cfvo type="percent" val="0"/>
        <cfvo type="percent" val="33"/>
        <cfvo type="percent" val="67"/>
      </iconSet>
    </cfRule>
  </conditionalFormatting>
  <conditionalFormatting sqref="AC44">
    <cfRule type="expression" dxfId="36" priority="250">
      <formula>(TEXT(TODAY(),"aaaa"))="Thursday"</formula>
    </cfRule>
    <cfRule type="iconSet" priority="251">
      <iconSet iconSet="3Symbols2" showValue="0">
        <cfvo type="percent" val="0"/>
        <cfvo type="percent" val="33"/>
        <cfvo type="percent" val="67"/>
      </iconSet>
    </cfRule>
  </conditionalFormatting>
  <conditionalFormatting sqref="AC37:AD42">
    <cfRule type="cellIs" dxfId="35" priority="59" operator="equal">
      <formula>"✔"</formula>
    </cfRule>
    <cfRule type="cellIs" dxfId="34" priority="60" operator="equal">
      <formula>"✖"</formula>
    </cfRule>
  </conditionalFormatting>
  <conditionalFormatting sqref="AC44:AH44">
    <cfRule type="cellIs" dxfId="33" priority="253" operator="equal">
      <formula>"✖"</formula>
    </cfRule>
    <cfRule type="cellIs" dxfId="32" priority="252" operator="equal">
      <formula>"✔"</formula>
    </cfRule>
  </conditionalFormatting>
  <conditionalFormatting sqref="AC29:AN36">
    <cfRule type="cellIs" dxfId="31" priority="324" operator="equal">
      <formula>"✔"</formula>
    </cfRule>
    <cfRule type="cellIs" dxfId="30" priority="325" operator="equal">
      <formula>"✖"</formula>
    </cfRule>
  </conditionalFormatting>
  <conditionalFormatting sqref="AD40">
    <cfRule type="iconSet" priority="58">
      <iconSet iconSet="3Symbols2" showValue="0">
        <cfvo type="percent" val="0"/>
        <cfvo type="percent" val="33"/>
        <cfvo type="percent" val="67"/>
      </iconSet>
    </cfRule>
    <cfRule type="expression" dxfId="29" priority="57">
      <formula>(TEXT(TODAY(),"aaaa"))="Thursday"</formula>
    </cfRule>
  </conditionalFormatting>
  <conditionalFormatting sqref="AE37">
    <cfRule type="iconSet" priority="219">
      <iconSet iconSet="3Symbols2" showValue="0">
        <cfvo type="percent" val="0"/>
        <cfvo type="percent" val="33"/>
        <cfvo type="percent" val="67"/>
      </iconSet>
    </cfRule>
    <cfRule type="expression" dxfId="28" priority="218">
      <formula>(TEXT(TODAY(),"aaaa"))="Thursday"</formula>
    </cfRule>
  </conditionalFormatting>
  <conditionalFormatting sqref="AE45">
    <cfRule type="iconSet" priority="1351">
      <iconSet iconSet="3Symbols2" showValue="0">
        <cfvo type="percent" val="0"/>
        <cfvo type="percent" val="33"/>
        <cfvo type="percent" val="67"/>
      </iconSet>
    </cfRule>
    <cfRule type="expression" dxfId="27" priority="306">
      <formula>(TEXT(TODAY(),"aaaa"))="Thursday"</formula>
    </cfRule>
  </conditionalFormatting>
  <conditionalFormatting sqref="AE18:AI36">
    <cfRule type="expression" dxfId="26" priority="50">
      <formula>(TEXT(TODAY(),"aaaa"))="Wednesday"</formula>
    </cfRule>
  </conditionalFormatting>
  <conditionalFormatting sqref="AE38:AI44">
    <cfRule type="expression" dxfId="25" priority="279">
      <formula>(TEXT(TODAY(),"aaaa"))="Wednesday"</formula>
    </cfRule>
  </conditionalFormatting>
  <conditionalFormatting sqref="AE37:CB40">
    <cfRule type="cellIs" dxfId="24" priority="11" operator="equal">
      <formula>"✔"</formula>
    </cfRule>
    <cfRule type="cellIs" dxfId="23" priority="12" operator="equal">
      <formula>"✖"</formula>
    </cfRule>
  </conditionalFormatting>
  <conditionalFormatting sqref="AF29">
    <cfRule type="iconSet" priority="330">
      <iconSet iconSet="3Symbols2" showValue="0">
        <cfvo type="percent" val="0"/>
        <cfvo type="percent" val="33"/>
        <cfvo type="percent" val="67"/>
      </iconSet>
    </cfRule>
  </conditionalFormatting>
  <conditionalFormatting sqref="AF30">
    <cfRule type="iconSet" priority="326">
      <iconSet iconSet="3Symbols2" showValue="0">
        <cfvo type="percent" val="0"/>
        <cfvo type="percent" val="33"/>
        <cfvo type="percent" val="67"/>
      </iconSet>
    </cfRule>
  </conditionalFormatting>
  <conditionalFormatting sqref="AF31">
    <cfRule type="iconSet" priority="322">
      <iconSet iconSet="3Symbols2" showValue="0">
        <cfvo type="percent" val="0"/>
        <cfvo type="percent" val="33"/>
        <cfvo type="percent" val="67"/>
      </iconSet>
    </cfRule>
  </conditionalFormatting>
  <conditionalFormatting sqref="AF45 Y43:AA43 U40:Y40 U43:W43 U39:X39 AC29:AE31 AG29:AN31 V41:X42 V22:X23 AG42:AH43 AI41:CB43 Z37:AA37 AC41:AD42 Z40:AA42 W24:X36 V37:X38 U24:U38 Z24:Z36 AF37:AP37 Z38 AD37:AD39 AC40 AE40:CB40 AE44:AF44 AC43:AF43 AE42:AF42 AE41:AH41 AJ18 AL18:CB18 U18:AH21 Z22:AH23 AN19:CB23 AJ19:AL23 AB24:AN28 AC32:AN36 AP24:CB36 AR37:CB37 AE38:BB38 BD38:CB38 AE39:BE39 BG39:CB39">
    <cfRule type="iconSet" priority="1383">
      <iconSet iconSet="3Symbols2" showValue="0">
        <cfvo type="percent" val="0"/>
        <cfvo type="percent" val="33"/>
        <cfvo type="percent" val="67"/>
      </iconSet>
    </cfRule>
  </conditionalFormatting>
  <conditionalFormatting sqref="AF37:AI37 AF45:AI45">
    <cfRule type="expression" dxfId="22" priority="457">
      <formula>(TEXT(TODAY(),"aaaa"))="Wednesday"</formula>
    </cfRule>
  </conditionalFormatting>
  <conditionalFormatting sqref="AG44">
    <cfRule type="iconSet" priority="278">
      <iconSet iconSet="3Symbols2" showValue="0">
        <cfvo type="percent" val="0"/>
        <cfvo type="percent" val="33"/>
        <cfvo type="percent" val="67"/>
      </iconSet>
    </cfRule>
  </conditionalFormatting>
  <conditionalFormatting sqref="AI18:AI23">
    <cfRule type="iconSet" priority="49">
      <iconSet iconSet="3Symbols2" showValue="0">
        <cfvo type="percent" val="0"/>
        <cfvo type="percent" val="33"/>
        <cfvo type="percent" val="67"/>
      </iconSet>
    </cfRule>
  </conditionalFormatting>
  <conditionalFormatting sqref="AI44">
    <cfRule type="iconSet" priority="1584">
      <iconSet iconSet="3Symbols2" showValue="0">
        <cfvo type="percent" val="0"/>
        <cfvo type="percent" val="33"/>
        <cfvo type="percent" val="67"/>
      </iconSet>
    </cfRule>
  </conditionalFormatting>
  <conditionalFormatting sqref="AI45">
    <cfRule type="iconSet" priority="1539">
      <iconSet iconSet="3Symbols2" showValue="0">
        <cfvo type="percent" val="0"/>
        <cfvo type="percent" val="33"/>
        <cfvo type="percent" val="67"/>
      </iconSet>
    </cfRule>
  </conditionalFormatting>
  <conditionalFormatting sqref="AI18:CB23">
    <cfRule type="cellIs" dxfId="21" priority="43" operator="equal">
      <formula>"✔"</formula>
    </cfRule>
    <cfRule type="cellIs" dxfId="20" priority="44" operator="equal">
      <formula>"✖"</formula>
    </cfRule>
  </conditionalFormatting>
  <conditionalFormatting sqref="AI41:CB45">
    <cfRule type="cellIs" dxfId="19" priority="55" operator="equal">
      <formula>"✔"</formula>
    </cfRule>
    <cfRule type="cellIs" dxfId="18" priority="56" operator="equal">
      <formula>"✖"</formula>
    </cfRule>
  </conditionalFormatting>
  <conditionalFormatting sqref="AJ18 AL18:AN18 BI18:BM45 AJ19:AL23 AN19:AN23 AJ24:AN45">
    <cfRule type="expression" dxfId="17" priority="458">
      <formula>(TEXT(TODAY(),"aaaa"))="Thursday"</formula>
    </cfRule>
  </conditionalFormatting>
  <conditionalFormatting sqref="AK18">
    <cfRule type="iconSet" priority="45">
      <iconSet iconSet="3Symbols2" showValue="0">
        <cfvo type="percent" val="0"/>
        <cfvo type="percent" val="33"/>
        <cfvo type="percent" val="67"/>
      </iconSet>
    </cfRule>
    <cfRule type="expression" dxfId="16" priority="46">
      <formula>(TEXT(TODAY(),"aaaa"))="Wednesday"</formula>
    </cfRule>
  </conditionalFormatting>
  <conditionalFormatting sqref="AM19:AM23">
    <cfRule type="iconSet" priority="41">
      <iconSet iconSet="3Symbols2" showValue="0">
        <cfvo type="percent" val="0"/>
        <cfvo type="percent" val="33"/>
        <cfvo type="percent" val="67"/>
      </iconSet>
    </cfRule>
    <cfRule type="expression" dxfId="15" priority="42">
      <formula>(TEXT(TODAY(),"aaaa"))="Wednesday"</formula>
    </cfRule>
  </conditionalFormatting>
  <conditionalFormatting sqref="AO24">
    <cfRule type="iconSet" priority="37">
      <iconSet iconSet="3Symbols2" showValue="0">
        <cfvo type="percent" val="0"/>
        <cfvo type="percent" val="33"/>
        <cfvo type="percent" val="67"/>
      </iconSet>
    </cfRule>
  </conditionalFormatting>
  <conditionalFormatting sqref="AO24:AO36">
    <cfRule type="expression" dxfId="14" priority="22">
      <formula>(TEXT(TODAY(),"aaaa"))="Wednesday"</formula>
    </cfRule>
  </conditionalFormatting>
  <conditionalFormatting sqref="AO25">
    <cfRule type="iconSet" priority="33">
      <iconSet iconSet="3Symbols2" showValue="0">
        <cfvo type="percent" val="0"/>
        <cfvo type="percent" val="33"/>
        <cfvo type="percent" val="67"/>
      </iconSet>
    </cfRule>
  </conditionalFormatting>
  <conditionalFormatting sqref="AO26">
    <cfRule type="iconSet" priority="29">
      <iconSet iconSet="3Symbols2" showValue="0">
        <cfvo type="percent" val="0"/>
        <cfvo type="percent" val="33"/>
        <cfvo type="percent" val="67"/>
      </iconSet>
    </cfRule>
  </conditionalFormatting>
  <conditionalFormatting sqref="AO27">
    <cfRule type="iconSet" priority="25">
      <iconSet iconSet="3Symbols2" showValue="0">
        <cfvo type="percent" val="0"/>
        <cfvo type="percent" val="33"/>
        <cfvo type="percent" val="67"/>
      </iconSet>
    </cfRule>
  </conditionalFormatting>
  <conditionalFormatting sqref="AO28:AO36">
    <cfRule type="iconSet" priority="21">
      <iconSet iconSet="3Symbols2" showValue="0">
        <cfvo type="percent" val="0"/>
        <cfvo type="percent" val="33"/>
        <cfvo type="percent" val="67"/>
      </iconSet>
    </cfRule>
  </conditionalFormatting>
  <conditionalFormatting sqref="AO44:AR45">
    <cfRule type="expression" dxfId="13" priority="53">
      <formula>(TEXT(TODAY(),"aaaa"))="Friday"</formula>
    </cfRule>
  </conditionalFormatting>
  <conditionalFormatting sqref="AO24:CB36">
    <cfRule type="cellIs" dxfId="12" priority="24" operator="equal">
      <formula>"✖"</formula>
    </cfRule>
    <cfRule type="cellIs" dxfId="11" priority="23" operator="equal">
      <formula>"✔"</formula>
    </cfRule>
  </conditionalFormatting>
  <conditionalFormatting sqref="AP44">
    <cfRule type="iconSet" priority="270">
      <iconSet iconSet="3Symbols2" showValue="0">
        <cfvo type="percent" val="0"/>
        <cfvo type="percent" val="33"/>
        <cfvo type="percent" val="67"/>
      </iconSet>
    </cfRule>
  </conditionalFormatting>
  <conditionalFormatting sqref="AP45">
    <cfRule type="iconSet" priority="54">
      <iconSet iconSet="3Symbols2" showValue="0">
        <cfvo type="percent" val="0"/>
        <cfvo type="percent" val="33"/>
        <cfvo type="percent" val="67"/>
      </iconSet>
    </cfRule>
  </conditionalFormatting>
  <conditionalFormatting sqref="AQ37">
    <cfRule type="iconSet" priority="17">
      <iconSet iconSet="3Symbols2" showValue="0">
        <cfvo type="percent" val="0"/>
        <cfvo type="percent" val="33"/>
        <cfvo type="percent" val="67"/>
      </iconSet>
    </cfRule>
    <cfRule type="expression" dxfId="10" priority="18">
      <formula>(TEXT(TODAY(),"aaaa"))="Wednesday"</formula>
    </cfRule>
  </conditionalFormatting>
  <conditionalFormatting sqref="AS44">
    <cfRule type="expression" dxfId="9" priority="267">
      <formula>(TEXT(TODAY(),"aaaa"))="Friday"</formula>
    </cfRule>
    <cfRule type="iconSet" priority="266">
      <iconSet iconSet="3Symbols2" showValue="0">
        <cfvo type="percent" val="0"/>
        <cfvo type="percent" val="33"/>
        <cfvo type="percent" val="67"/>
      </iconSet>
    </cfRule>
  </conditionalFormatting>
  <conditionalFormatting sqref="AS45">
    <cfRule type="expression" dxfId="8" priority="183">
      <formula>(TEXT(TODAY(),"aaaa"))="Wednesday"</formula>
    </cfRule>
    <cfRule type="iconSet" priority="182">
      <iconSet iconSet="3Symbols2" showValue="0">
        <cfvo type="percent" val="0"/>
        <cfvo type="percent" val="33"/>
        <cfvo type="percent" val="67"/>
      </iconSet>
    </cfRule>
  </conditionalFormatting>
  <conditionalFormatting sqref="BC38">
    <cfRule type="expression" dxfId="7" priority="14">
      <formula>(TEXT(TODAY(),"aaaa"))="Wednesday"</formula>
    </cfRule>
    <cfRule type="iconSet" priority="13">
      <iconSet iconSet="3Symbols2" showValue="0">
        <cfvo type="percent" val="0"/>
        <cfvo type="percent" val="33"/>
        <cfvo type="percent" val="67"/>
      </iconSet>
    </cfRule>
  </conditionalFormatting>
  <conditionalFormatting sqref="BD18:BH45">
    <cfRule type="expression" dxfId="6" priority="10">
      <formula>(TEXT(TODAY(),"aaaa"))="Wednesday"</formula>
    </cfRule>
  </conditionalFormatting>
  <conditionalFormatting sqref="BF39">
    <cfRule type="iconSet" priority="9">
      <iconSet iconSet="3Symbols2" showValue="0">
        <cfvo type="percent" val="0"/>
        <cfvo type="percent" val="33"/>
        <cfvo type="percent" val="67"/>
      </iconSet>
    </cfRule>
  </conditionalFormatting>
  <conditionalFormatting sqref="BK46:BK47">
    <cfRule type="cellIs" dxfId="5" priority="8" operator="equal">
      <formula>"✖"</formula>
    </cfRule>
    <cfRule type="cellIs" dxfId="4" priority="7" operator="equal">
      <formula>"✔"</formula>
    </cfRule>
    <cfRule type="iconSet" priority="6">
      <iconSet iconSet="3Symbols2" showValue="0">
        <cfvo type="percent" val="0"/>
        <cfvo type="percent" val="33"/>
        <cfvo type="percent" val="67"/>
      </iconSet>
    </cfRule>
    <cfRule type="expression" dxfId="3" priority="5">
      <formula>(TEXT(TODAY(),"aaaa"))="Wednesday"</formula>
    </cfRule>
  </conditionalFormatting>
  <conditionalFormatting sqref="BN46:BN47">
    <cfRule type="cellIs" dxfId="2" priority="3" operator="equal">
      <formula>"✔"</formula>
    </cfRule>
    <cfRule type="expression" dxfId="1" priority="2">
      <formula>(TEXT(TODAY(),"aaaa"))="Wednesday"</formula>
    </cfRule>
    <cfRule type="iconSet" priority="1">
      <iconSet iconSet="3Symbols2" showValue="0">
        <cfvo type="percent" val="0"/>
        <cfvo type="percent" val="33"/>
        <cfvo type="percent" val="67"/>
      </iconSet>
    </cfRule>
    <cfRule type="cellIs" dxfId="0" priority="4" operator="equal">
      <formula>"✖"</formula>
    </cfRule>
  </conditionalFormatting>
  <dataValidations count="3">
    <dataValidation allowBlank="1" showInputMessage="1" showErrorMessage="1" prompt="Enter Period time in next cell T7." sqref="AE14 BD14" xr:uid="{1BD80FF7-8497-4889-B329-7DC70DD83B69}"/>
    <dataValidation allowBlank="1" showInputMessage="1" showErrorMessage="1" prompt="Enter Period time in this cell." sqref="AJ14 K14 BI14" xr:uid="{FB380CC5-3014-4E29-B9D7-828C1045AC3F}"/>
    <dataValidation allowBlank="1" showInputMessage="1" showErrorMessage="1" prompt="Enter Time in this cell." sqref="Z14 BX14 AY14" xr:uid="{E45D4D47-F8AF-4B16-B009-2ABFC4D2F16E}"/>
  </dataValidation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4275B-9A6C-4334-AE82-FB8BB35E76FC}">
  <sheetPr codeName="Sheet1"/>
  <dimension ref="A1:G4"/>
  <sheetViews>
    <sheetView topLeftCell="B1" zoomScale="85" zoomScaleNormal="85" workbookViewId="0">
      <pane ySplit="1" topLeftCell="A3" activePane="bottomLeft" state="frozen"/>
      <selection pane="bottomLeft" activeCell="E3" sqref="E3"/>
    </sheetView>
  </sheetViews>
  <sheetFormatPr defaultColWidth="9.140625" defaultRowHeight="15"/>
  <cols>
    <col min="1" max="1" width="11.5703125" style="4" bestFit="1" customWidth="1"/>
    <col min="2" max="2" width="16.7109375" style="4" customWidth="1"/>
    <col min="3" max="3" width="17.140625" style="4" bestFit="1" customWidth="1"/>
    <col min="4" max="4" width="23" style="4" customWidth="1"/>
    <col min="5" max="5" width="16.5703125" style="4" bestFit="1" customWidth="1"/>
    <col min="6" max="6" width="91" style="4" customWidth="1"/>
    <col min="7" max="7" width="91.85546875" style="4" bestFit="1" customWidth="1"/>
    <col min="8" max="16384" width="9.140625" style="4"/>
  </cols>
  <sheetData>
    <row r="1" spans="1:7" ht="30">
      <c r="A1" s="1" t="s">
        <v>137</v>
      </c>
      <c r="B1" s="1" t="s">
        <v>138</v>
      </c>
      <c r="C1" s="1" t="s">
        <v>139</v>
      </c>
      <c r="D1" s="1" t="s">
        <v>140</v>
      </c>
      <c r="E1" s="1" t="s">
        <v>141</v>
      </c>
      <c r="F1" s="1" t="s">
        <v>142</v>
      </c>
      <c r="G1" s="1" t="s">
        <v>143</v>
      </c>
    </row>
    <row r="2" spans="1:7" ht="225">
      <c r="A2" s="133">
        <v>44897</v>
      </c>
      <c r="B2" s="125" t="s">
        <v>7</v>
      </c>
      <c r="C2" s="125" t="s">
        <v>1637</v>
      </c>
      <c r="D2" s="125" t="s">
        <v>1495</v>
      </c>
      <c r="E2" s="125" t="s">
        <v>1738</v>
      </c>
      <c r="F2" s="134" t="s">
        <v>1739</v>
      </c>
      <c r="G2" s="5" t="s">
        <v>1740</v>
      </c>
    </row>
    <row r="3" spans="1:7" ht="75">
      <c r="A3" s="133">
        <v>44911</v>
      </c>
      <c r="B3" s="125" t="s">
        <v>7</v>
      </c>
      <c r="C3" s="125" t="s">
        <v>1608</v>
      </c>
      <c r="D3" s="125" t="s">
        <v>1493</v>
      </c>
      <c r="E3" s="125" t="s">
        <v>1741</v>
      </c>
      <c r="F3" s="134" t="s">
        <v>1742</v>
      </c>
      <c r="G3" s="5" t="s">
        <v>1743</v>
      </c>
    </row>
    <row r="4" spans="1:7" ht="75">
      <c r="A4" s="133">
        <v>44918</v>
      </c>
      <c r="B4" s="125" t="s">
        <v>7</v>
      </c>
      <c r="C4" s="125" t="s">
        <v>1608</v>
      </c>
      <c r="D4" s="125" t="s">
        <v>1494</v>
      </c>
      <c r="E4" s="125" t="s">
        <v>1744</v>
      </c>
      <c r="F4" s="134" t="s">
        <v>1745</v>
      </c>
      <c r="G4" s="5" t="s">
        <v>1743</v>
      </c>
    </row>
  </sheetData>
  <sheetProtection algorithmName="SHA-512" hashValue="9UNBJHxGURBTTWk5nEJw5WI7/6Lk6wGvYAS018wi7AvLQtLc12GyNQdYDY3m25iGGg8CqKz8uE8hmc/cQNwJBg==" saltValue="x8VZeh0mAp7S4KfkvO8LIA==" spinCount="100000" sheet="1" objects="1" scenarios="1" sort="0" autoFilter="0"/>
  <phoneticPr fontId="29"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06BDC2DCC6CC4AA83BE4295E9D335F" ma:contentTypeVersion="16" ma:contentTypeDescription="Create a new document." ma:contentTypeScope="" ma:versionID="67664f70b5b63c82df175c0e569deec7">
  <xsd:schema xmlns:xsd="http://www.w3.org/2001/XMLSchema" xmlns:xs="http://www.w3.org/2001/XMLSchema" xmlns:p="http://schemas.microsoft.com/office/2006/metadata/properties" xmlns:ns2="b4ad5c5b-84e7-43dc-8c80-e9e6b4f29607" xmlns:ns3="150a4fe5-a13a-47cc-af17-4355d16bf895" targetNamespace="http://schemas.microsoft.com/office/2006/metadata/properties" ma:root="true" ma:fieldsID="fc902f5e5f7ddff8a0b0b9b83b4401af" ns2:_="" ns3:_="">
    <xsd:import namespace="b4ad5c5b-84e7-43dc-8c80-e9e6b4f29607"/>
    <xsd:import namespace="150a4fe5-a13a-47cc-af17-4355d16bf8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LengthInSeconds" minOccurs="0"/>
                <xsd:element ref="ns2:MediaServiceDateTaken"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ad5c5b-84e7-43dc-8c80-e9e6b4f296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a4fe5-a13a-47cc-af17-4355d16bf89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c2d52b4-42a3-4c4a-a19b-0fb4f39745c8}" ma:internalName="TaxCatchAll" ma:showField="CatchAllData" ma:web="150a4fe5-a13a-47cc-af17-4355d16bf8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0a4fe5-a13a-47cc-af17-4355d16bf895" xsi:nil="true"/>
    <lcf76f155ced4ddcb4097134ff3c332f xmlns="b4ad5c5b-84e7-43dc-8c80-e9e6b4f29607">
      <Terms xmlns="http://schemas.microsoft.com/office/infopath/2007/PartnerControls"/>
    </lcf76f155ced4ddcb4097134ff3c332f>
    <MediaLengthInSeconds xmlns="b4ad5c5b-84e7-43dc-8c80-e9e6b4f29607" xsi:nil="true"/>
    <SharedWithUsers xmlns="150a4fe5-a13a-47cc-af17-4355d16bf895">
      <UserInfo>
        <DisplayName>Yamoji, Tanuja (CW)</DisplayName>
        <AccountId>393</AccountId>
        <AccountType/>
      </UserInfo>
    </SharedWithUsers>
  </documentManagement>
</p:properties>
</file>

<file path=customXml/itemProps1.xml><?xml version="1.0" encoding="utf-8"?>
<ds:datastoreItem xmlns:ds="http://schemas.openxmlformats.org/officeDocument/2006/customXml" ds:itemID="{C9F77D84-ADE7-46DC-8AD1-B0FA881A7747}"/>
</file>

<file path=customXml/itemProps2.xml><?xml version="1.0" encoding="utf-8"?>
<ds:datastoreItem xmlns:ds="http://schemas.openxmlformats.org/officeDocument/2006/customXml" ds:itemID="{55D89484-A334-4A8F-BF7F-0AC8F2BC4064}"/>
</file>

<file path=customXml/itemProps3.xml><?xml version="1.0" encoding="utf-8"?>
<ds:datastoreItem xmlns:ds="http://schemas.openxmlformats.org/officeDocument/2006/customXml" ds:itemID="{CB4BB8B0-430F-41F0-A4FD-2F26B0C102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Su-Hau</dc:creator>
  <cp:keywords/>
  <dc:description/>
  <cp:lastModifiedBy/>
  <cp:revision/>
  <dcterms:created xsi:type="dcterms:W3CDTF">2022-10-12T10:07:39Z</dcterms:created>
  <dcterms:modified xsi:type="dcterms:W3CDTF">2025-11-10T20:27:23Z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0x0101007F06BDC2DCC6CC4AA83BE4295E9D335F</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